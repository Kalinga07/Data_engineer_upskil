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🎯 Command Center" sheetId="1" state="visible" r:id="rId3"/>
    <sheet name="📝 Daily Log" sheetId="2" state="visible" r:id="rId4"/>
    <sheet name="📈 Weekly Review" sheetId="3" state="visible" r:id="rId5"/>
    <sheet name="📊 Dashboard" sheetId="4" state="visible" r:id="rId6"/>
    <sheet name="🔢 Stats (Do Not Edit)" sheetId="5" state="visible" r:id="rId7"/>
    <sheet name="🔗 Resource Links" sheetId="6" state="visible" r:id="rId8"/>
    <sheet name="🔥 Habit Streaks" sheetId="7" state="visible" r:id="rId9"/>
    <sheet name="🏆 Cert Countdown" sheetId="8" state="visible" r:id="rId10"/>
    <sheet name="⚡ Energy &amp; Peak Hours" sheetId="9" state="visible" r:id="rId11"/>
    <sheet name="📋 Swap History" sheetId="10" state="visible" r:id="rId12"/>
    <sheet name="🔄 Topic Pool" sheetId="11" state="visible" r:id="rId13"/>
    <sheet name="📆 Daily Schedule" sheetId="12" state="visible" r:id="rId14"/>
  </sheets>
  <definedNames>
    <definedName function="false" hidden="true" localSheetId="10" name="_xlnm._FilterDatabase" vbProcedure="false">'🔄 Topic Pool'!$A$3:$Q$374</definedName>
    <definedName function="false" hidden="true" localSheetId="5" name="_xlnm._FilterDatabase" vbProcedure="false">'🔗 Resource Links'!$B$2:$I$61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<sst xmlns="http://schemas.openxmlformats.org/spreadsheetml/2006/main" count="6396" uniqueCount="1447">
  <si>
    <t xml:space="preserve">🎯  COMMAND CENTER  —  Smart Daily Plan · Dependency Aware · Month-Locked · Overdue Enforced</t>
  </si>
  <si>
    <t xml:space="preserve">Enter available hours → auto-plan fills. Hard prereqs block topics. Overdue topics jump to top. Last-2-wk-of-month: overdue locked + force-inserted. Swap pool = cur+next week (default) or same month (Settings).</t>
  </si>
  <si>
    <t xml:space="preserve">⚙️  SETTINGS PANEL  —  Yellow cells = editable. Toggle column = ON/OFF instantly.</t>
  </si>
  <si>
    <t xml:space="preserve">Setting</t>
  </si>
  <si>
    <t xml:space="preserve">Value</t>
  </si>
  <si>
    <t xml:space="preserve">Toggle</t>
  </si>
  <si>
    <t xml:space="preserve">Description</t>
  </si>
  <si>
    <t xml:space="preserve">Max swaps per WEEK</t>
  </si>
  <si>
    <t xml:space="preserve">✅ ON</t>
  </si>
  <si>
    <t xml:space="preserve">Resets Monday. Counter shown in today's bar.</t>
  </si>
  <si>
    <t xml:space="preserve">Max swaps per MONTH</t>
  </si>
  <si>
    <t xml:space="preserve">Counted from 1st to last day of month.</t>
  </si>
  <si>
    <t xml:space="preserve">Max swaps per TOPIC (lifetime)</t>
  </si>
  <si>
    <t xml:space="preserve">Each topic can be deferred this many times total.</t>
  </si>
  <si>
    <t xml:space="preserve">Overdue window (days)</t>
  </si>
  <si>
    <t xml:space="preserve">Topic missed &gt; this many days = ⏰ OVERDUE.</t>
  </si>
  <si>
    <t xml:space="preserve">Max topics in today's plan</t>
  </si>
  <si>
    <t xml:space="preserve">Plan shows up to N topics fitting your hours.</t>
  </si>
  <si>
    <t xml:space="preserve">Force-insert overdue (last 2 wks of month)</t>
  </si>
  <si>
    <t xml:space="preserve">Max overdue topics force-added even if over budget.</t>
  </si>
  <si>
    <t xml:space="preserve">Weekday hours budget</t>
  </si>
  <si>
    <t xml:space="preserve">Default Mon-Fri. Override cell L24 daily.</t>
  </si>
  <si>
    <t xml:space="preserve">Weekend hours budget</t>
  </si>
  <si>
    <t xml:space="preserve">Default Sat-Sun.</t>
  </si>
  <si>
    <t xml:space="preserve">Swap pool mode</t>
  </si>
  <si>
    <t xml:space="preserve">Option 2 — Current+Next Week</t>
  </si>
  <si>
    <t xml:space="preserve">—</t>
  </si>
  <si>
    <t xml:space="preserve">Option 1 = Same month only | Option 2 = Current week + next week (default).</t>
  </si>
  <si>
    <t xml:space="preserve">Hard prereq enforcement</t>
  </si>
  <si>
    <t xml:space="preserve">Topics with unfinished prereqs hidden from plan.</t>
  </si>
  <si>
    <t xml:space="preserve">Lock swaps in last 2 wks of month</t>
  </si>
  <si>
    <t xml:space="preserve">Overdue topics locked (🔒). Non-overdue still swappable within same month.</t>
  </si>
  <si>
    <t xml:space="preserve">Auto-status from Daily Log</t>
  </si>
  <si>
    <t xml:space="preserve">Pool Final Status reads from Daily Log automatically.</t>
  </si>
  <si>
    <t xml:space="preserve">📊  FEASIBILITY CHECK  —  Avg pace × remaining weeks vs topics left this month.</t>
  </si>
  <si>
    <t xml:space="preserve">📅  TODAY'S PLAN</t>
  </si>
  <si>
    <t xml:space="preserve">Today</t>
  </si>
  <si>
    <t xml:space="preserve">Avail hrs →</t>
  </si>
  <si>
    <t xml:space="preserve">← override</t>
  </si>
  <si>
    <t xml:space="preserve"> 🚨 MUST DO = force-inserted overdue (last 2 wks of month)  |  ⏰ OVERDUE = missed &gt; 14 days  |  🔒 LOCKED = can't swap  |  ⬜ = prereq not done (hidden)</t>
  </si>
  <si>
    <t xml:space="preserve">#</t>
  </si>
  <si>
    <t xml:space="preserve">Badge</t>
  </si>
  <si>
    <t xml:space="preserve">Priority</t>
  </si>
  <si>
    <t xml:space="preserve">Topic (prereq-cleared, due today)</t>
  </si>
  <si>
    <t xml:space="preserve">Phase</t>
  </si>
  <si>
    <t xml:space="preserve">Min</t>
  </si>
  <si>
    <t xml:space="preserve">Avg</t>
  </si>
  <si>
    <t xml:space="preserve">Max</t>
  </si>
  <si>
    <t xml:space="preserve">Cum
hrs</t>
  </si>
  <si>
    <t xml:space="preserve">Hrs
left</t>
  </si>
  <si>
    <t xml:space="preserve">Status</t>
  </si>
  <si>
    <t xml:space="preserve">Swap?
🔄=yes</t>
  </si>
  <si>
    <t xml:space="preserve">Resource</t>
  </si>
  <si>
    <t xml:space="preserve">— Keep</t>
  </si>
  <si>
    <t xml:space="preserve">Total →</t>
  </si>
  <si>
    <t xml:space="preserve">✅ Plan ready</t>
  </si>
  <si>
    <t xml:space="preserve">🔄  SWAP PANEL  —  Flag a row above (🔄 SWAP ME) → pick replacement below. Pool mode = C14 setting. Locked rows (🔒) cannot be swapped.</t>
  </si>
  <si>
    <t xml:space="preserve">Pool
ID</t>
  </si>
  <si>
    <t xml:space="preserve">Replacement Topic (available, same month / cur+next wk, not done)</t>
  </si>
  <si>
    <t xml:space="preserve">Avg
hrs</t>
  </si>
  <si>
    <t xml:space="preserve">Flag</t>
  </si>
  <si>
    <t xml:space="preserve">Times
Swapped</t>
  </si>
  <si>
    <t xml:space="preserve">Lock
Status</t>
  </si>
  <si>
    <t xml:space="preserve">Reason to Choose</t>
  </si>
  <si>
    <t xml:space="preserve">📋  SWAP LOG  —  Fill: original topic (col H) + replacement (col L) + reason. Date / week / month / day auto-fill. Counters update automatically.</t>
  </si>
  <si>
    <t xml:space="preserve">Date</t>
  </si>
  <si>
    <t xml:space="preserve">Wk</t>
  </si>
  <si>
    <t xml:space="preserve">Mo</t>
  </si>
  <si>
    <t xml:space="preserve">Day</t>
  </si>
  <si>
    <t xml:space="preserve">Original Topic</t>
  </si>
  <si>
    <t xml:space="preserve">Replaced With</t>
  </si>
  <si>
    <t xml:space="preserve">Reason</t>
  </si>
  <si>
    <t xml:space="preserve">Topic
Swap #</t>
  </si>
  <si>
    <t xml:space="preserve">Notes</t>
  </si>
  <si>
    <t xml:space="preserve">📖  DAILY ROUTINE  —  5 steps, under 4 minutes</t>
  </si>
  <si>
    <t xml:space="preserve">Step 1</t>
  </si>
  <si>
    <t xml:space="preserve">Check M22 (available hours). Override if today differs from default. Plan auto-fills.</t>
  </si>
  <si>
    <t xml:space="preserve">M22</t>
  </si>
  <si>
    <t xml:space="preserve">Step 2</t>
  </si>
  <si>
    <t xml:space="preserve">🚨 MUST DO rows = overdue topics in last 2 weeks. These appear even over budget — do them first.</t>
  </si>
  <si>
    <t xml:space="preserve">Rows 27+</t>
  </si>
  <si>
    <t xml:space="preserve">Step 3</t>
  </si>
  <si>
    <t xml:space="preserve">⏰ OVERDUE rows follow. Then scheduled topics. Topics with uncleared prereqs are hidden.</t>
  </si>
  <si>
    <t xml:space="preserve">Prereq col Q</t>
  </si>
  <si>
    <t xml:space="preserve">Step 4</t>
  </si>
  <si>
    <t xml:space="preserve">To swap: set col T = 🔄 SWAP ME → scroll to swap panel → pick from list → fill swap log.</t>
  </si>
  <si>
    <t xml:space="preserve">Col T + Log</t>
  </si>
  <si>
    <t xml:space="preserve">Step 5</t>
  </si>
  <si>
    <t xml:space="preserve">After studying: log in '📝 Daily Log'. Pool status auto-updates. Tomorrow's plan refreshes.</t>
  </si>
  <si>
    <t xml:space="preserve">Daily Log</t>
  </si>
  <si>
    <t xml:space="preserve">15</t>
  </si>
  <si>
    <t xml:space="preserve">19</t>
  </si>
  <si>
    <t xml:space="preserve">1</t>
  </si>
  <si>
    <t xml:space="preserve">2</t>
  </si>
  <si>
    <t xml:space="preserve">3</t>
  </si>
  <si>
    <t xml:space="preserve">5</t>
  </si>
  <si>
    <t xml:space="preserve">7</t>
  </si>
  <si>
    <t xml:space="preserve">8</t>
  </si>
  <si>
    <t xml:space="preserve">9</t>
  </si>
  <si>
    <t xml:space="preserve">10</t>
  </si>
  <si>
    <t xml:space="preserve">12</t>
  </si>
  <si>
    <t xml:space="preserve">14</t>
  </si>
  <si>
    <t xml:space="preserve">16</t>
  </si>
  <si>
    <t xml:space="preserve">17</t>
  </si>
  <si>
    <t xml:space="preserve">21</t>
  </si>
  <si>
    <t xml:space="preserve">22</t>
  </si>
  <si>
    <t xml:space="preserve">23</t>
  </si>
  <si>
    <t xml:space="preserve">24</t>
  </si>
  <si>
    <t xml:space="preserve">26</t>
  </si>
  <si>
    <t xml:space="preserve">25</t>
  </si>
  <si>
    <t xml:space="preserve">DAILY LEARNING LOG — Log every session here</t>
  </si>
  <si>
    <t xml:space="preserve">Week #</t>
  </si>
  <si>
    <t xml:space="preserve">Topic Studied</t>
  </si>
  <si>
    <t xml:space="preserve">Hours</t>
  </si>
  <si>
    <t xml:space="preserve">Confidence
(1-5)</t>
  </si>
  <si>
    <t xml:space="preserve">DSA
Problems</t>
  </si>
  <si>
    <t xml:space="preserve">Proj /
Cert</t>
  </si>
  <si>
    <t xml:space="preserve">Notes / Blockers</t>
  </si>
  <si>
    <t xml:space="preserve">Mon</t>
  </si>
  <si>
    <t xml:space="preserve">Python OOP — Classes &amp; Dunder Methods</t>
  </si>
  <si>
    <t xml:space="preserve">M1 - Python/SQL</t>
  </si>
  <si>
    <t xml:space="preserve">✅ Done</t>
  </si>
  <si>
    <t xml:space="preserve">Finished Fluent Python Ch.1. Built 3 ETL classes. Felt good about decorators.</t>
  </si>
  <si>
    <t xml:space="preserve">Tue</t>
  </si>
  <si>
    <t xml:space="preserve">Python OOP — Inheritance &amp; Composition</t>
  </si>
  <si>
    <t xml:space="preserve">Struggled with MRO. Need to revisit tomorrow.</t>
  </si>
  <si>
    <t xml:space="preserve">Wed</t>
  </si>
  <si>
    <t xml:space="preserve">Python Advanced — Generators</t>
  </si>
  <si>
    <t xml:space="preserve">🔄 Partial</t>
  </si>
  <si>
    <t xml:space="preserve">Only got through half the generators content. Generator expressions still unclear.</t>
  </si>
  <si>
    <t xml:space="preserve">Thu</t>
  </si>
  <si>
    <t xml:space="preserve">Python Advanced — Decorators</t>
  </si>
  <si>
    <t xml:space="preserve">Decorators clicked today. Built timer + logging decorator for ETL.</t>
  </si>
  <si>
    <t xml:space="preserve">Fri</t>
  </si>
  <si>
    <t xml:space="preserve">LeetCode — Arrays &amp; Hashing</t>
  </si>
  <si>
    <t xml:space="preserve">Two Sum, Group Anagrams, Top K Frequent — all solved.</t>
  </si>
  <si>
    <t xml:space="preserve">WEEKLY REVIEW — Fill in every Sunday evening</t>
  </si>
  <si>
    <t xml:space="preserve">Week</t>
  </si>
  <si>
    <t xml:space="preserve">What I completed</t>
  </si>
  <si>
    <t xml:space="preserve">Topics I felt confident in</t>
  </si>
  <si>
    <t xml:space="preserve">Topics I struggled with</t>
  </si>
  <si>
    <t xml:space="preserve">% of plan done</t>
  </si>
  <si>
    <t xml:space="preserve">Avg confidence</t>
  </si>
  <si>
    <t xml:space="preserve">DSA total</t>
  </si>
  <si>
    <t xml:space="preserve">Priorities next week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</si>
  <si>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</si>
  <si>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</si>
  <si>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</si>
  <si>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</si>
  <si>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</si>
  <si>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</si>
  <si>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</si>
  <si>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</si>
  <si>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</si>
  <si>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</si>
  <si>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</si>
  <si>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</si>
  <si>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</si>
  <si>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t xml:space="preserve">W14</t>
  </si>
  <si>
    <t xml:space="preserve">W15</t>
  </si>
  <si>
    <t xml:space="preserve">W16</t>
  </si>
  <si>
    <t xml:space="preserve">W17</t>
  </si>
  <si>
    <t xml:space="preserve">W18</t>
  </si>
  <si>
    <t xml:space="preserve">W19</t>
  </si>
  <si>
    <t xml:space="preserve">W20</t>
  </si>
  <si>
    <t xml:space="preserve">W21</t>
  </si>
  <si>
    <t xml:space="preserve">W22</t>
  </si>
  <si>
    <t xml:space="preserve">W23</t>
  </si>
  <si>
    <t xml:space="preserve">W24</t>
  </si>
  <si>
    <t xml:space="preserve">W25</t>
  </si>
  <si>
    <t xml:space="preserve">W26</t>
  </si>
  <si>
    <t xml:space="preserve">W27</t>
  </si>
  <si>
    <t xml:space="preserve">W28</t>
  </si>
  <si>
    <t xml:space="preserve">W29</t>
  </si>
  <si>
    <t xml:space="preserve">W30</t>
  </si>
  <si>
    <t xml:space="preserve">W31</t>
  </si>
  <si>
    <t xml:space="preserve">W32</t>
  </si>
  <si>
    <t xml:space="preserve">W33</t>
  </si>
  <si>
    <t xml:space="preserve">W34</t>
  </si>
  <si>
    <t xml:space="preserve">W35</t>
  </si>
  <si>
    <t xml:space="preserve">W36</t>
  </si>
  <si>
    <t xml:space="preserve">W37</t>
  </si>
  <si>
    <t xml:space="preserve">W38</t>
  </si>
  <si>
    <t xml:space="preserve">W39</t>
  </si>
  <si>
    <t xml:space="preserve">DE LEARNING TRACKER — PROGRESS DASHBOARD</t>
  </si>
  <si>
    <t xml:space="preserve">Total Hours Logged</t>
  </si>
  <si>
    <t xml:space="preserve">Sessions Done</t>
  </si>
  <si>
    <t xml:space="preserve">Sessions Missed</t>
  </si>
  <si>
    <t xml:space="preserve">DSA Problems Solved</t>
  </si>
  <si>
    <t xml:space="preserve">Avg Confidence (1-5)</t>
  </si>
  <si>
    <t xml:space="preserve">Weeks Active</t>
  </si>
  <si>
    <t xml:space="preserve">PHASE-BY-PHASE PROGRESS</t>
  </si>
  <si>
    <t xml:space="preserve">Sessions
Done</t>
  </si>
  <si>
    <t xml:space="preserve">Avg Conf</t>
  </si>
  <si>
    <t xml:space="preserve">DSA done</t>
  </si>
  <si>
    <t xml:space="preserve">% Complete</t>
  </si>
  <si>
    <t xml:space="preserve">M2 - Spark</t>
  </si>
  <si>
    <t xml:space="preserve">M3 - Kafka</t>
  </si>
  <si>
    <t xml:space="preserve">M4 - Cloud</t>
  </si>
  <si>
    <t xml:space="preserve">M5 - SysDesign</t>
  </si>
  <si>
    <t xml:space="preserve">M6 - Interview</t>
  </si>
  <si>
    <t xml:space="preserve">M7 - LLM</t>
  </si>
  <si>
    <t xml:space="preserve">M8 - Agents</t>
  </si>
  <si>
    <t xml:space="preserve">M9 - LLMOps</t>
  </si>
  <si>
    <t xml:space="preserve">📈  WEEKLY VELOCITY (Hrs per week — are you speeding up or slowing down?)</t>
  </si>
  <si>
    <t xml:space="preserve">vs Target (14hrs)</t>
  </si>
  <si>
    <t xml:space="preserve">vs Last Week</t>
  </si>
  <si>
    <t xml:space="preserve">Trend</t>
  </si>
  <si>
    <t xml:space="preserve">Done</t>
  </si>
  <si>
    <t xml:space="preserve">Missed</t>
  </si>
  <si>
    <t xml:space="preserve">AvgConf</t>
  </si>
  <si>
    <t xml:space="preserve">DSA</t>
  </si>
  <si>
    <t xml:space="preserve">🔗  RESOURCE LINKS — All study materials, courses, books, practice platforms per module</t>
  </si>
  <si>
    <t xml:space="preserve">[COURSE]=GrowDataSkills purchased course  |  FREE=no cost  |  Paid=buy separately</t>
  </si>
  <si>
    <t xml:space="preserve">Chapter / Section</t>
  </si>
  <si>
    <t xml:space="preserve">Free?</t>
  </si>
  <si>
    <t xml:space="preserve">Module</t>
  </si>
  <si>
    <t xml:space="preserve">Resource Name</t>
  </si>
  <si>
    <t xml:space="preserve">Type</t>
  </si>
  <si>
    <t xml:space="preserve">Cost</t>
  </si>
  <si>
    <t xml:space="preserve">URL</t>
  </si>
  <si>
    <t xml:space="preserve">Ch.1 pp.1-28, Ch.2 pp.29-80</t>
  </si>
  <si>
    <t xml:space="preserve">No</t>
  </si>
  <si>
    <t xml:space="preserve">── M0-Orientation ──</t>
  </si>
  <si>
    <t xml:space="preserve">Section: 'Object Oriented Programming' (~1h40m in)</t>
  </si>
  <si>
    <t xml:space="preserve">Free</t>
  </si>
  <si>
    <t xml:space="preserve">M0-Orientation</t>
  </si>
  <si>
    <t xml:space="preserve">Fundamentals of Data Engineering (Joe Reis)</t>
  </si>
  <si>
    <t xml:space="preserve">Book</t>
  </si>
  <si>
    <t xml:space="preserve">~$50</t>
  </si>
  <si>
    <t xml:space="preserve">amazon.com/Fundamentals-Data-Engineering</t>
  </si>
  <si>
    <t xml:space="preserve">Ch.9 pp.287-340 (Decorators), Ch.17 pp.567-620 (Generators)</t>
  </si>
  <si>
    <t xml:space="preserve">roadmap.sh/data-engineer</t>
  </si>
  <si>
    <t xml:space="preserve">Visual roadmap</t>
  </si>
  <si>
    <t xml:space="preserve">FREE</t>
  </si>
  <si>
    <t xml:space="preserve">Full article (30 min read)</t>
  </si>
  <si>
    <t xml:space="preserve">E-Learning Bridge (Shashank Mishra) — YouTube</t>
  </si>
  <si>
    <t xml:space="preserve">YouTube</t>
  </si>
  <si>
    <t xml:space="preserve">youtube.com/@shashank_mishra</t>
  </si>
  <si>
    <t xml:space="preserve">Full article (45 min read)</t>
  </si>
  <si>
    <t xml:space="preserve">neetcode.io — DSA roadmap (start Day 1!)</t>
  </si>
  <si>
    <t xml:space="preserve">Daily DSA</t>
  </si>
  <si>
    <t xml:space="preserve">neetcode.io</t>
  </si>
  <si>
    <t xml:space="preserve">Ch.16 pp.373-402 (Analytic Functions)</t>
  </si>
  <si>
    <t xml:space="preserve">── M1-SQL ──</t>
  </si>
  <si>
    <t xml:space="preserve">Lesson: 'Window Functions' sections 1-3</t>
  </si>
  <si>
    <t xml:space="preserve">M1-SQL</t>
  </si>
  <si>
    <t xml:space="preserve">GrowDataSkills AWS Module 1 (4 classes)</t>
  </si>
  <si>
    <t xml:space="preserve">Course</t>
  </si>
  <si>
    <t xml:space="preserve">Purchased ✅</t>
  </si>
  <si>
    <t xml:space="preserve">academy.growdataskills.com</t>
  </si>
  <si>
    <t xml:space="preserve">Filter: Amazon + Data Engineer + Hard</t>
  </si>
  <si>
    <t xml:space="preserve">Free tier</t>
  </si>
  <si>
    <t xml:space="preserve">Mode Analytics SQL Tutorial (all 3 levels)</t>
  </si>
  <si>
    <t xml:space="preserve">Tutorial</t>
  </si>
  <si>
    <t xml:space="preserve">mode.com/sql-tutorial</t>
  </si>
  <si>
    <t xml:space="preserve">Ch.13 pp.289-318 (Indexes &amp; Optimization)</t>
  </si>
  <si>
    <t xml:space="preserve">StrataScratch — filter Amazon + Flipkart SQL</t>
  </si>
  <si>
    <t xml:space="preserve">Practice</t>
  </si>
  <si>
    <t xml:space="preserve">stratascratch.com</t>
  </si>
  <si>
    <t xml:space="preserve">Ch.3 pp.57-98 (Branching), Ch.5 pp.131-166 (Workflows)</t>
  </si>
  <si>
    <t xml:space="preserve">LeetCode SQL problems (#175 → #1158 → #185)</t>
  </si>
  <si>
    <t xml:space="preserve">leetcode.com/problemset/database/</t>
  </si>
  <si>
    <t xml:space="preserve">Ch.1 pp.1-30 (Architecture), Ch.3 pp.61-96 (DataFrames)</t>
  </si>
  <si>
    <t xml:space="preserve">HackerRank SQL Advanced Certification</t>
  </si>
  <si>
    <t xml:space="preserve">Assessment</t>
  </si>
  <si>
    <t xml:space="preserve">hackerrank.com/domains/sql</t>
  </si>
  <si>
    <t xml:space="preserve">Video 1 'Introduction to Apache Spark' (45 min)</t>
  </si>
  <si>
    <t xml:space="preserve">── M2-Python ──</t>
  </si>
  <si>
    <t xml:space="preserve">Ch.4 pp.97-134 (Spark SQL), Ch.8 joins section</t>
  </si>
  <si>
    <t xml:space="preserve">M2-Python</t>
  </si>
  <si>
    <t xml:space="preserve">Fluent Python 2E (Luciano Ramalho)</t>
  </si>
  <si>
    <t xml:space="preserve">~$60</t>
  </si>
  <si>
    <t xml:space="preserve">oreilly.com/library/view/fluent-python-2nd</t>
  </si>
  <si>
    <t xml:space="preserve">Video 10 'Spark SQL', Video 12 'Joins in PySpark'</t>
  </si>
  <si>
    <t xml:space="preserve">realpython.com — OOP, async, decorators</t>
  </si>
  <si>
    <t xml:space="preserve">Articles</t>
  </si>
  <si>
    <t xml:space="preserve">realpython.com</t>
  </si>
  <si>
    <t xml:space="preserve">Ch.19 pp.381-430 (Performance Tuning), Ch.18 pp.355-380 (Monitoring)</t>
  </si>
  <si>
    <t xml:space="preserve">Exercism.io Python track (130 exercises)</t>
  </si>
  <si>
    <t xml:space="preserve">exercism.io/tracks/python</t>
  </si>
  <si>
    <t xml:space="preserve">Search: 'Databricks Spark Performance Tuning' Tech Talk</t>
  </si>
  <si>
    <t xml:space="preserve">docs.pydantic.dev v2</t>
  </si>
  <si>
    <t xml:space="preserve">Docs</t>
  </si>
  <si>
    <t xml:space="preserve">docs.pydantic.dev</t>
  </si>
  <si>
    <t xml:space="preserve">'Guides' → 'Delta Lake operations' (OPTIMIZE, VACUUM, MERGE)</t>
  </si>
  <si>
    <t xml:space="preserve">docs.pytest.org Getting Started</t>
  </si>
  <si>
    <t xml:space="preserve">docs.pytest.org</t>
  </si>
  <si>
    <t xml:space="preserve">Course: 'Building with Delta Lake' — all modules</t>
  </si>
  <si>
    <t xml:space="preserve">Paid</t>
  </si>
  <si>
    <t xml:space="preserve">── M3-BigData ──</t>
  </si>
  <si>
    <t xml:space="preserve">Ch.1 pp.1-16 (Concepts), Ch.3 pp.41-62 (Producers), Ch.4 pp.63-94 (Consumers)</t>
  </si>
  <si>
    <t xml:space="preserve">M3-BigData</t>
  </si>
  <si>
    <t xml:space="preserve">GrowDataSkills AWS Modules 2-3 (5 classes)</t>
  </si>
  <si>
    <t xml:space="preserve">Lessons 1-7 (Events→Consumer Groups)</t>
  </si>
  <si>
    <t xml:space="preserve">parquet.apache.org — technical spec</t>
  </si>
  <si>
    <t xml:space="preserve">parquet.apache.org</t>
  </si>
  <si>
    <t xml:space="preserve">Ch.6 pp.115-148 (Reliability), Ch.7 pp.149-180 (Pipelines)</t>
  </si>
  <si>
    <t xml:space="preserve">Fundamentals of Data Engineering Ch.6</t>
  </si>
  <si>
    <t xml:space="preserve">Book chapter</t>
  </si>
  <si>
    <t xml:space="preserve">oreilly.com</t>
  </si>
  <si>
    <t xml:space="preserve">Ch.8 pp.229-274 (Streaming)</t>
  </si>
  <si>
    <t xml:space="preserve">Hadoop: The Definitive Guide 4E (Tom White)</t>
  </si>
  <si>
    <t xml:space="preserve">~$55</t>
  </si>
  <si>
    <t xml:space="preserve">amazon.com</t>
  </si>
  <si>
    <t xml:space="preserve">Ch.5 pp.99-140 (DataStream API), Ch.6 pp.141-172 (Time &amp; Watermarks)</t>
  </si>
  <si>
    <t xml:space="preserve">── M4-Kafka ──</t>
  </si>
  <si>
    <t xml:space="preserve">Courses: S3(1hr) + Glue(3hr) + Kinesis(2hr) + Redshift(4hr) + EMR(2hr)</t>
  </si>
  <si>
    <t xml:space="preserve">M4-Kafka</t>
  </si>
  <si>
    <t xml:space="preserve">GrowDataSkills AWS Module 3 (2 classes)</t>
  </si>
  <si>
    <t xml:space="preserve">Video: 'Complete Data Engineering Project on AWS' (1.5 hrs)</t>
  </si>
  <si>
    <t xml:space="preserve">Kafka: The Definitive Guide 2E</t>
  </si>
  <si>
    <t xml:space="preserve">FREE via Confluent</t>
  </si>
  <si>
    <t xml:space="preserve">confluent.io/resources/kafka-the-definitive-guide-v2</t>
  </si>
  <si>
    <t xml:space="preserve">Courses: BigQuery(3hr) + Dataflow(6hr) + Pub/Sub streaming(6hr)</t>
  </si>
  <si>
    <t xml:space="preserve">Free credits</t>
  </si>
  <si>
    <t xml:space="preserve">developer.confluent.io — Kafka 101 (18 free lessons)</t>
  </si>
  <si>
    <t xml:space="preserve">Video course</t>
  </si>
  <si>
    <t xml:space="preserve">developer.confluent.io/courses/apache-kafka/events/</t>
  </si>
  <si>
    <t xml:space="preserve">Ch.2 pp.25-56 (DAGs), Ch.4 pp.85-120 (Templates/XCom), Ch.5 pp.121-152 (Dependencies)</t>
  </si>
  <si>
    <t xml:space="preserve">Microsoft Learn: Azure Event Hubs</t>
  </si>
  <si>
    <t xml:space="preserve">Docs + quickstart</t>
  </si>
  <si>
    <t xml:space="preserve">learn.microsoft.com/azure/event-hubs/</t>
  </si>
  <si>
    <t xml:space="preserve">Search: 'Apache Airflow Tutorial coder2j' — Parts 1-4</t>
  </si>
  <si>
    <t xml:space="preserve">── M5-NoSQL ──</t>
  </si>
  <si>
    <t xml:space="preserve">Course: 'dbt Fundamentals' (5 modules, 5hrs) + 'Advanced dbt'</t>
  </si>
  <si>
    <t xml:space="preserve">M5-NoSQL</t>
  </si>
  <si>
    <t xml:space="preserve">GrowDataSkills AWS Module 4 (4 classes)</t>
  </si>
  <si>
    <t xml:space="preserve">Ch.1 pp.3-22 (Reliability/Scalability), Ch.5-6 pp.151-228 (Replication/Partitioning)</t>
  </si>
  <si>
    <t xml:space="preserve">MongoDB University M001 (Introduction)</t>
  </si>
  <si>
    <t xml:space="preserve">Free course</t>
  </si>
  <si>
    <t xml:space="preserve">learn.mongodb.com</t>
  </si>
  <si>
    <t xml:space="preserve">Ch.7 pp.221-264 (Transactions), Ch.10-11 pp.389-489 (Batch+Streaming)</t>
  </si>
  <si>
    <t xml:space="preserve">Cassandra: The Definitive Guide 3E</t>
  </si>
  <si>
    <t xml:space="preserve">Videos: 'Consistent Hashing', 'Rate Limiter', 'Design Kafka' (each 15-30 min)</t>
  </si>
  <si>
    <t xml:space="preserve">The DynamoDB Book (Alex DeBrie)</t>
  </si>
  <si>
    <t xml:space="preserve">~$49</t>
  </si>
  <si>
    <t xml:space="preserve">dynamodbbook.com</t>
  </si>
  <si>
    <t xml:space="preserve">Short visual explainers for each architecture pattern (5-10 min each)</t>
  </si>
  <si>
    <t xml:space="preserve">redis.io official documentation</t>
  </si>
  <si>
    <t xml:space="preserve">redis.io/docs/</t>
  </si>
  <si>
    <t xml:space="preserve">Ch.1 pp.1-42 (Strategy), Ch.2 pp.43-76 (Observer), Ch.4 pp.109-158 (Factory)</t>
  </si>
  <si>
    <t xml:space="preserve">Microsoft Learn: Cosmos DB</t>
  </si>
  <si>
    <t xml:space="preserve">Tutorials + labs</t>
  </si>
  <si>
    <t xml:space="preserve">learn.microsoft.com/azure/cosmos-db/</t>
  </si>
  <si>
    <t xml:space="preserve">Full catalog with Python code — focus on: Strategy, Observer, Factory, Singleton</t>
  </si>
  <si>
    <t xml:space="preserve">Elasticsearch: The Definitive Guide (free online)</t>
  </si>
  <si>
    <t xml:space="preserve">elastic.co/guide/</t>
  </si>
  <si>
    <t xml:space="preserve">Ch.2 pp.31-64 (DE Lifecycle), Ch.3 pp.65-98 (Architecture), Ch.6 pp.165-202 (Storage)</t>
  </si>
  <si>
    <t xml:space="preserve">── M6-Spark ──</t>
  </si>
  <si>
    <t xml:space="preserve">Start §1 (Arrays), progress through §13 (DP) — 190 problems total</t>
  </si>
  <si>
    <t xml:space="preserve">M6-Spark</t>
  </si>
  <si>
    <t xml:space="preserve">GrowDataSkills AWS Module 5 (5 classes)</t>
  </si>
  <si>
    <t xml:space="preserve">One video per problem — search '[problem name] neetcode'</t>
  </si>
  <si>
    <t xml:space="preserve">Learning Spark 2E (Jules Damji et al.)</t>
  </si>
  <si>
    <t xml:space="preserve">FREE PDF</t>
  </si>
  <si>
    <t xml:space="preserve">databricks.com/resources/ebook/learning-spark-lightning-fast-data-analytics</t>
  </si>
  <si>
    <t xml:space="preserve">Ch.1 pp.88-107 (Arrays), Ch.4 pp.130-171 (Trees/Graphs), Ch.8 pp.225-271 (DP)</t>
  </si>
  <si>
    <t xml:space="preserve">Spark: The Definitive Guide (Bill Chambers)</t>
  </si>
  <si>
    <t xml:space="preserve">~$70</t>
  </si>
  <si>
    <t xml:space="preserve">Lesson 1-5 (1 hr total)</t>
  </si>
  <si>
    <t xml:space="preserve">Databricks Academy — Apache Spark Programming</t>
  </si>
  <si>
    <t xml:space="preserve">Official course</t>
  </si>
  <si>
    <t xml:space="preserve">FREE with account</t>
  </si>
  <si>
    <t xml:space="preserve">academy.databricks.com</t>
  </si>
  <si>
    <t xml:space="preserve">All 5 lessons (~1 hr total) — by Harrison Chase + Andrew Ng</t>
  </si>
  <si>
    <t xml:space="preserve">── M7-OpenTable ──</t>
  </si>
  <si>
    <t xml:space="preserve">Sections: Techniques + Code generation + Structured output</t>
  </si>
  <si>
    <t xml:space="preserve">M7-OpenTable</t>
  </si>
  <si>
    <t xml:space="preserve">GrowDataSkills Databricks M8 + AWS M11</t>
  </si>
  <si>
    <t xml:space="preserve">Lessons 1-4 (RAG pipeline, evaluation, RAGAS)</t>
  </si>
  <si>
    <t xml:space="preserve">docs.delta.io — official Delta documentation</t>
  </si>
  <si>
    <t xml:space="preserve">docs.delta.io</t>
  </si>
  <si>
    <t xml:space="preserve">'Getting Started' → 'Usage Guide' → 'Where Filters'</t>
  </si>
  <si>
    <t xml:space="preserve">iceberg.apache.org — official Iceberg docs</t>
  </si>
  <si>
    <t xml:space="preserve">iceberg.apache.org</t>
  </si>
  <si>
    <t xml:space="preserve">Ch.3 pp.55-96 (Transformers), Ch.4 pp.97-140 (Embeddings), Ch.9 pp.289-336 (RAG)</t>
  </si>
  <si>
    <t xml:space="preserve">hudi.apache.org — official Hudi docs</t>
  </si>
  <si>
    <t xml:space="preserve">hudi.apache.org</t>
  </si>
  <si>
    <t xml:space="preserve">Lesson 1: ReAct from scratch, Lesson 2: LangGraph components, Lesson 6: Capstone</t>
  </si>
  <si>
    <t xml:space="preserve">── M8-Databricks ──</t>
  </si>
  <si>
    <t xml:space="preserve">Section 3: Function Calling, Section 4: ReAct, Final: Production + MCP</t>
  </si>
  <si>
    <t xml:space="preserve">M8-Databricks</t>
  </si>
  <si>
    <t xml:space="preserve">Databricks Academy — Data Engineering with Databricks</t>
  </si>
  <si>
    <t xml:space="preserve">'Concepts' → State/Node/Edge, 'How-to' → Persistence + Multi-agent handoffs</t>
  </si>
  <si>
    <t xml:space="preserve">Databricks Academy — Advanced Data Engineering</t>
  </si>
  <si>
    <t xml:space="preserve">'Quickstart' then 'Concepts' section fully</t>
  </si>
  <si>
    <t xml:space="preserve">Databricks docs — Asset Bundles</t>
  </si>
  <si>
    <t xml:space="preserve">docs.databricks.com/dev-tools/bundles/</t>
  </si>
  <si>
    <t xml:space="preserve">'Tracking' quickstart + 'Model Registry' + 'LLM Tracing'</t>
  </si>
  <si>
    <t xml:space="preserve">SkillCertPro — Databricks DE Professional (615 Qs)</t>
  </si>
  <si>
    <t xml:space="preserve">Practice exam</t>
  </si>
  <si>
    <t xml:space="preserve">~$30</t>
  </si>
  <si>
    <t xml:space="preserve">skillcertpro.com</t>
  </si>
  <si>
    <t xml:space="preserve">'Observability' → Tracing Quickstart, 'Evaluation' → Dataset evaluation</t>
  </si>
  <si>
    <t xml:space="preserve">── M9-Airflow ──</t>
  </si>
  <si>
    <t xml:space="preserve">Lesson 1-4 (versioning, eval pipelines, production monitoring)</t>
  </si>
  <si>
    <t xml:space="preserve">M9-Airflow</t>
  </si>
  <si>
    <t xml:space="preserve">GrowDataSkills AWS Module 6 (2 classes + Project)</t>
  </si>
  <si>
    <t xml:space="preserve">'Concepts' → Feature views/entities, 'How-to' → Online features</t>
  </si>
  <si>
    <t xml:space="preserve">Apache Airflow official documentation</t>
  </si>
  <si>
    <t xml:space="preserve">airflow.apache.org</t>
  </si>
  <si>
    <t xml:space="preserve">Section 3 Architecture pp.4-8, Section 4.5 Data Integrity pp.10-11</t>
  </si>
  <si>
    <t xml:space="preserve">Data Pipelines with Apache Airflow (Manning)</t>
  </si>
  <si>
    <t xml:space="preserve">~$45</t>
  </si>
  <si>
    <t xml:space="preserve">manning.com</t>
  </si>
  <si>
    <t xml:space="preserve">Section 2 Programming Model pp.1-2, Section 3.3 Fault Tolerance pp.4-5</t>
  </si>
  <si>
    <t xml:space="preserve">AWS MWAA Developer Guide</t>
  </si>
  <si>
    <t xml:space="preserve">docs.aws.amazon.com/mwaa/</t>
  </si>
  <si>
    <t xml:space="preserve">Section 3 Delta Log pp.3413-3415, Section 5 Performance pp.3416-3418</t>
  </si>
  <si>
    <t xml:space="preserve">── M10-Flink ──</t>
  </si>
  <si>
    <t xml:space="preserve">Section 2 Architecture pp.1-2, Section 5 Evaluation pp.4-5</t>
  </si>
  <si>
    <t xml:space="preserve">M10-Flink</t>
  </si>
  <si>
    <t xml:space="preserve">GrowDataSkills AWS Module 12</t>
  </si>
  <si>
    <t xml:space="preserve">Section 3.2 Attention pp.3-5, Section 3.2.2 Multi-Head pp.5</t>
  </si>
  <si>
    <t xml:space="preserve">Stream Processing with Apache Flink (Carbone et al.)</t>
  </si>
  <si>
    <t xml:space="preserve">Section 2 Methods pp.3-5 (architecture), Section 2.1 DPR pp.3-4</t>
  </si>
  <si>
    <t xml:space="preserve">flink.apache.org — official documentation</t>
  </si>
  <si>
    <t xml:space="preserve">flink.apache.org</t>
  </si>
  <si>
    <t xml:space="preserve">AWS Managed Flink Developer Guide</t>
  </si>
  <si>
    <t xml:space="preserve">docs.aws.amazon.com/managed-flink/</t>
  </si>
  <si>
    <t xml:space="preserve">Flink Forward conference talks (YouTube)</t>
  </si>
  <si>
    <t xml:space="preserve">Videos</t>
  </si>
  <si>
    <t xml:space="preserve">youtube.com/@flinkforward</t>
  </si>
  <si>
    <t xml:space="preserve">── M11-DWH/dbt ──</t>
  </si>
  <si>
    <t xml:space="preserve">M11-DWH/dbt</t>
  </si>
  <si>
    <t xml:space="preserve">GrowDataSkills Module 10 (2 classes + case studies)</t>
  </si>
  <si>
    <t xml:space="preserve">The Data Warehouse Toolkit 3E (Ralph Kimball)</t>
  </si>
  <si>
    <t xml:space="preserve">courses.getdbt.com — Fundamentals + Advanced</t>
  </si>
  <si>
    <t xml:space="preserve">Official courses</t>
  </si>
  <si>
    <t xml:space="preserve">courses.getdbt.com</t>
  </si>
  <si>
    <t xml:space="preserve">dbt official documentation (docs.getdbt.com)</t>
  </si>
  <si>
    <t xml:space="preserve">docs.getdbt.com</t>
  </si>
  <si>
    <t xml:space="preserve">── M12-Snowflake ──</t>
  </si>
  <si>
    <t xml:space="preserve">M12-Snowflake</t>
  </si>
  <si>
    <t xml:space="preserve">GrowDataSkills Module 11 (2 classes + 3 projects)</t>
  </si>
  <si>
    <t xml:space="preserve">learn.snowflake.com — Hands-On Essentials badges</t>
  </si>
  <si>
    <t xml:space="preserve">Free labs</t>
  </si>
  <si>
    <t xml:space="preserve">learn.snowflake.com</t>
  </si>
  <si>
    <t xml:space="preserve">Udemy: SnowPro Core COF-C02 — Tom Bailey</t>
  </si>
  <si>
    <t xml:space="preserve">Cert prep</t>
  </si>
  <si>
    <t xml:space="preserve">~$15</t>
  </si>
  <si>
    <t xml:space="preserve">udemy.com</t>
  </si>
  <si>
    <t xml:space="preserve">docs.snowflake.com</t>
  </si>
  <si>
    <t xml:space="preserve">Official docs</t>
  </si>
  <si>
    <t xml:space="preserve">── M13-Azure ──</t>
  </si>
  <si>
    <t xml:space="preserve">M13-Azure</t>
  </si>
  <si>
    <t xml:space="preserve">GrowDataSkills Azure Module 13 (4 classes + 4 projects)</t>
  </si>
  <si>
    <t xml:space="preserve">Microsoft Learn: DP-700 learning path</t>
  </si>
  <si>
    <t xml:space="preserve">Exam prep</t>
  </si>
  <si>
    <t xml:space="preserve">learn.microsoft.com/certifications/dp-700/</t>
  </si>
  <si>
    <t xml:space="preserve">Microsoft Learn: Microsoft Fabric documentation</t>
  </si>
  <si>
    <t xml:space="preserve">learn.microsoft.com/fabric/</t>
  </si>
  <si>
    <t xml:space="preserve">Guy in a Cube YouTube — Fabric content</t>
  </si>
  <si>
    <t xml:space="preserve">youtube.com/@GuyInACube</t>
  </si>
  <si>
    <t xml:space="preserve">Advancing Analytics YouTube — Synapse + Databricks</t>
  </si>
  <si>
    <t xml:space="preserve">youtube.com/@AdvancingAnalytics</t>
  </si>
  <si>
    <t xml:space="preserve">── M14-AWS ──</t>
  </si>
  <si>
    <t xml:space="preserve">M14-AWS</t>
  </si>
  <si>
    <t xml:space="preserve">GrowDataSkills AWS Module 10 (4 classes + 6 projects)</t>
  </si>
  <si>
    <t xml:space="preserve">Udemy: AWS DE Associate — Maarek + Frank Kane</t>
  </si>
  <si>
    <t xml:space="preserve">Tutorials Dojo: DEA-C01 practice exams (6 sets)</t>
  </si>
  <si>
    <t xml:space="preserve">Mock exams</t>
  </si>
  <si>
    <t xml:space="preserve">tutorialsdojo.com</t>
  </si>
  <si>
    <t xml:space="preserve">AWS SkillBuilder — DEA-C01 learning path</t>
  </si>
  <si>
    <t xml:space="preserve">Official prep</t>
  </si>
  <si>
    <t xml:space="preserve">skillbuilder.aws</t>
  </si>
  <si>
    <t xml:space="preserve">Darshil Parmar YouTube — AWS DE projects</t>
  </si>
  <si>
    <t xml:space="preserve">youtube.com/@darshilparmar</t>
  </si>
  <si>
    <t xml:space="preserve">── M15-AI/LLM ──</t>
  </si>
  <si>
    <t xml:space="preserve">M15-AI/LLM</t>
  </si>
  <si>
    <t xml:space="preserve">DeepLearning.AI — Building Advanced RAG (free)</t>
  </si>
  <si>
    <t xml:space="preserve">Short course</t>
  </si>
  <si>
    <t xml:space="preserve">deeplearning.ai</t>
  </si>
  <si>
    <t xml:space="preserve">DeepLearning.AI — LangChain for LLM Dev (free)</t>
  </si>
  <si>
    <t xml:space="preserve">DeepLearning.AI — LLMOps (free)</t>
  </si>
  <si>
    <t xml:space="preserve">Microsoft Learn — Azure OpenAI Service</t>
  </si>
  <si>
    <t xml:space="preserve">Docs + tutorials</t>
  </si>
  <si>
    <t xml:space="preserve">learn.microsoft.com/azure/ai-services/openai/</t>
  </si>
  <si>
    <t xml:space="preserve">Azure AI Search documentation</t>
  </si>
  <si>
    <t xml:space="preserve">Vector search docs</t>
  </si>
  <si>
    <t xml:space="preserve">learn.microsoft.com/azure/search/</t>
  </si>
  <si>
    <t xml:space="preserve">pgvector GitHub README + timescale.com blog</t>
  </si>
  <si>
    <t xml:space="preserve">pgvector guide</t>
  </si>
  <si>
    <t xml:space="preserve">github.com/pgvector/pgvector</t>
  </si>
  <si>
    <t xml:space="preserve">── M16-SysDesign ──</t>
  </si>
  <si>
    <t xml:space="preserve">M16-SysDesign</t>
  </si>
  <si>
    <t xml:space="preserve">Designing Data-Intensive Applications (Kleppmann)</t>
  </si>
  <si>
    <t xml:space="preserve">ByteByteGo YouTube — system design videos</t>
  </si>
  <si>
    <t xml:space="preserve">youtube.com/@ByteByteGo</t>
  </si>
  <si>
    <t xml:space="preserve">Gaurav Sen YouTube — distributed systems</t>
  </si>
  <si>
    <t xml:space="preserve">youtube.com/@GauravSensei</t>
  </si>
  <si>
    <t xml:space="preserve">docs.greatexpectations.io</t>
  </si>
  <si>
    <t xml:space="preserve">Data quality docs</t>
  </si>
  <si>
    <t xml:space="preserve">greatexpectations.io</t>
  </si>
  <si>
    <t xml:space="preserve">── M17-Interviews ──</t>
  </si>
  <si>
    <t xml:space="preserve">M17-Interviews</t>
  </si>
  <si>
    <t xml:space="preserve">neetcode.io — DSA roadmap (190 problems)</t>
  </si>
  <si>
    <t xml:space="preserve">Pramp.com — free mock interviews</t>
  </si>
  <si>
    <t xml:space="preserve">Mock interviews</t>
  </si>
  <si>
    <t xml:space="preserve">pramp.com</t>
  </si>
  <si>
    <t xml:space="preserve">levels.fyi — compensation research</t>
  </si>
  <si>
    <t xml:space="preserve">Salary data</t>
  </si>
  <si>
    <t xml:space="preserve">levels.fyi</t>
  </si>
  <si>
    <t xml:space="preserve">SkillCertPro — Databricks DE Professional</t>
  </si>
  <si>
    <t xml:space="preserve">Tutorials Dojo — AWS DEA-C01 (6 sets)</t>
  </si>
  <si>
    <t xml:space="preserve">Tom Bailey Udemy — SnowPro Core</t>
  </si>
  <si>
    <t xml:space="preserve">🔥  HABIT STREAK TRACKER  —  Build the learning habit</t>
  </si>
  <si>
    <t xml:space="preserve">Current Streak</t>
  </si>
  <si>
    <t xml:space="preserve">Total Study Days</t>
  </si>
  <si>
    <t xml:space="preserve">Best Week (hrs)</t>
  </si>
  <si>
    <t xml:space="preserve">Missed Days</t>
  </si>
  <si>
    <t xml:space="preserve">days</t>
  </si>
  <si>
    <t xml:space="preserve">sessions</t>
  </si>
  <si>
    <t xml:space="preserve">hours</t>
  </si>
  <si>
    <t xml:space="preserve">📅  39-WEEK HABIT GRID  —  Each cell = one week. Green = completed, Red = missed</t>
  </si>
  <si>
    <t xml:space="preserve">Sat</t>
  </si>
  <si>
    <t xml:space="preserve">Sun</t>
  </si>
  <si>
    <t xml:space="preserve">Done %</t>
  </si>
  <si>
    <t xml:space="preserve">🏆  CERTIFICATION COUNTDOWN — 7 Certifications | Azure + Databricks + Snowflake + AWS</t>
  </si>
  <si>
    <t xml:space="preserve">Target dates set from docx roadmap. Traffic light auto-updates as exam day approaches.</t>
  </si>
  <si>
    <t xml:space="preserve">Certification</t>
  </si>
  <si>
    <t xml:space="preserve">Target Exam Date</t>
  </si>
  <si>
    <t xml:space="preserve">Days Left</t>
  </si>
  <si>
    <t xml:space="preserve">Study Hrs</t>
  </si>
  <si>
    <t xml:space="preserve">Urgency</t>
  </si>
  <si>
    <t xml:space="preserve">Key Focus / Notes</t>
  </si>
  <si>
    <t xml:space="preserve">Databricks Certified Associate Developer for Apache Spark</t>
  </si>
  <si>
    <t xml:space="preserve">40-60 hrs</t>
  </si>
  <si>
    <t xml:space="preserve">$200</t>
  </si>
  <si>
    <t xml:space="preserve">Spark 3.5, DataFrame API, Streaming, AQE, resource allocation. Exam via Kryterion. 90 questions.</t>
  </si>
  <si>
    <t xml:space="preserve">DP-700 Microsoft Fabric Data Engineer Associate</t>
  </si>
  <si>
    <t xml:space="preserve">$165</t>
  </si>
  <si>
    <t xml:space="preserve">OneLake, Lakehouse, Pipelines, KQL, RTI, Eventstream. OPEN BOOK — use Microsoft Learn.</t>
  </si>
  <si>
    <t xml:space="preserve">DP-600 Microsoft Fabric Analytics Engineer Associate</t>
  </si>
  <si>
    <t xml:space="preserve">40-50 hrs</t>
  </si>
  <si>
    <t xml:space="preserve">DAX, DirectLake, semantic models, Power BI in Fabric. OPEN BOOK. Take after DP-700.</t>
  </si>
  <si>
    <t xml:space="preserve">Databricks Certified Data Engineer Associate</t>
  </si>
  <si>
    <t xml:space="preserve">30-40 hrs</t>
  </si>
  <si>
    <t xml:space="preserve">Medallion architecture, DLT, Unity Catalog, Auto Loader, Databricks Workflows.</t>
  </si>
  <si>
    <t xml:space="preserve">Databricks Certified Data Engineer Professional</t>
  </si>
  <si>
    <t xml:space="preserve">50-70 hrs</t>
  </si>
  <si>
    <t xml:space="preserve">$400</t>
  </si>
  <si>
    <t xml:space="preserve">Advanced Delta, DABs, CI/CD, governance, security. Hardest Databricks cert.</t>
  </si>
  <si>
    <t xml:space="preserve">SnowPro Core + SnowPro Advanced: Data Engineer</t>
  </si>
  <si>
    <t xml:space="preserve">60-80 hrs</t>
  </si>
  <si>
    <t xml:space="preserve">$175+$375</t>
  </si>
  <si>
    <t xml:space="preserve">Core first (prerequisite for Advanced). Core: architecture, VW, streams, Tasks.</t>
  </si>
  <si>
    <t xml:space="preserve">AWS Certified Data Engineer Associate (DEA-C01)</t>
  </si>
  <si>
    <t xml:space="preserve">$150</t>
  </si>
  <si>
    <t xml:space="preserve">Glue, Kinesis, Redshift, Lake Formation, Step Functions. Pearson VUE, 130 min.</t>
  </si>
  <si>
    <t xml:space="preserve">📅 EXAM SEQUENCE: Spark Assoc (W17) → DE Assoc (W21) → DE Prof (W21) → SnowPro Core (W30) → DP-700 (W32) → DP-600 (W33) → SnowPro Adv (W34) → AWS DEA (W37)</t>
  </si>
  <si>
    <t xml:space="preserve">⚡  ENERGY &amp; PEAK LEARNING HOURS TRACKER</t>
  </si>
  <si>
    <t xml:space="preserve">Track when you study + energy level to discover YOUR optimal learning window.</t>
  </si>
  <si>
    <t xml:space="preserve">Study Time
(start)</t>
  </si>
  <si>
    <t xml:space="preserve">Time Slot</t>
  </si>
  <si>
    <t xml:space="preserve">Energy
(1-5)</t>
  </si>
  <si>
    <t xml:space="preserve">Focus
(1-5)</t>
  </si>
  <si>
    <t xml:space="preserve">Hours
Studied</t>
  </si>
  <si>
    <t xml:space="preserve">Topic</t>
  </si>
  <si>
    <t xml:space="preserve">What helped / hurt focus?</t>
  </si>
  <si>
    <t xml:space="preserve">8:00 PM</t>
  </si>
  <si>
    <t xml:space="preserve">🌆 Evening (5-8pm)</t>
  </si>
  <si>
    <t xml:space="preserve">Python OOP</t>
  </si>
  <si>
    <t xml:space="preserve">After work energy is average. Office was busy today.</t>
  </si>
  <si>
    <t xml:space="preserve">7:30 AM</t>
  </si>
  <si>
    <t xml:space="preserve">☀️ Morning (8-11am)</t>
  </si>
  <si>
    <t xml:space="preserve">Python Generators</t>
  </si>
  <si>
    <t xml:space="preserve">Morning study before work = much better focus!</t>
  </si>
  <si>
    <t xml:space="preserve">9:00 PM</t>
  </si>
  <si>
    <t xml:space="preserve">🌙 Night (8-11pm)</t>
  </si>
  <si>
    <t xml:space="preserve">LeetCode</t>
  </si>
  <si>
    <t xml:space="preserve">Too tired at night. Hard to think clearly.</t>
  </si>
  <si>
    <t xml:space="preserve">7:00 AM</t>
  </si>
  <si>
    <t xml:space="preserve">🌅 Early Morning (5-8am)</t>
  </si>
  <si>
    <t xml:space="preserve">Spark Architecture</t>
  </si>
  <si>
    <t xml:space="preserve">Early morning best — no distractions, peak energy</t>
  </si>
  <si>
    <t xml:space="preserve">10:00 AM</t>
  </si>
  <si>
    <t xml:space="preserve">Spark DataFrames</t>
  </si>
  <si>
    <t xml:space="preserve">Weekend morning — great session</t>
  </si>
  <si>
    <t xml:space="preserve">📊  PEAK HOURS ANALYSIS  (auto from your log)</t>
  </si>
  <si>
    <t xml:space="preserve">Sessions</t>
  </si>
  <si>
    <t xml:space="preserve">Avg Energy</t>
  </si>
  <si>
    <t xml:space="preserve">Avg Focus</t>
  </si>
  <si>
    <t xml:space="preserve">Best for?</t>
  </si>
  <si>
    <t xml:space="preserve">Deep work, hardest topics</t>
  </si>
  <si>
    <t xml:space="preserve">Deep work, project building</t>
  </si>
  <si>
    <t xml:space="preserve">🌤 Midday (11am-2pm)</t>
  </si>
  <si>
    <t xml:space="preserve">Review &amp; lighter tasks</t>
  </si>
  <si>
    <t xml:space="preserve">🌇 Afternoon (2-5pm)</t>
  </si>
  <si>
    <t xml:space="preserve">Problem solving, LeetCode</t>
  </si>
  <si>
    <t xml:space="preserve">Moderate topics, review</t>
  </si>
  <si>
    <t xml:space="preserve">Light review only</t>
  </si>
  <si>
    <t xml:space="preserve">📋  SWAP HISTORY LOG  —  Tracks every topic you changed</t>
  </si>
  <si>
    <t xml:space="preserve">When you mark 🔄 SWAP ME in the schedule, add a row here manually to log the reason.</t>
  </si>
  <si>
    <t xml:space="preserve">Date of Swap</t>
  </si>
  <si>
    <t xml:space="preserve">Original Topic Planned</t>
  </si>
  <si>
    <t xml:space="preserve">Replacement Topic Chosen</t>
  </si>
  <si>
    <t xml:space="preserve">Time Saved/Used</t>
  </si>
  <si>
    <t xml:space="preserve">🔄  AZURE DE TOPIC POOL — 371 topics · 18 modules (M0-M17) · 53 weeks · 7 certifications</t>
  </si>
  <si>
    <t xml:space="preserve">[COURSE]=in GrowDataSkills course  [GAP]=self-study  [COURSE+GAP]=course covers basics, go deeper</t>
  </si>
  <si>
    <t xml:space="preserve">ID</t>
  </si>
  <si>
    <t xml:space="preserve">Mod</t>
  </si>
  <si>
    <t xml:space="preserve">Seq</t>
  </si>
  <si>
    <t xml:space="preserve">Min h</t>
  </si>
  <si>
    <t xml:space="preserve">Avg h</t>
  </si>
  <si>
    <t xml:space="preserve">Max h</t>
  </si>
  <si>
    <t xml:space="preserve">Score</t>
  </si>
  <si>
    <t xml:space="preserve">Imp</t>
  </si>
  <si>
    <t xml:space="preserve">Cmp</t>
  </si>
  <si>
    <t xml:space="preserve">Tag</t>
  </si>
  <si>
    <t xml:space="preserve">Auto-Status</t>
  </si>
  <si>
    <t xml:space="preserve">Manual Override</t>
  </si>
  <si>
    <t xml:space="preserve">Final Status</t>
  </si>
  <si>
    <t xml:space="preserve">Swap Status</t>
  </si>
  <si>
    <t xml:space="preserve">M0</t>
  </si>
  <si>
    <t xml:space="preserve">What is Data Engineering? Roles, lifecycle vs Data Scientist/Analyst</t>
  </si>
  <si>
    <t xml:space="preserve">🟠 MODERATE</t>
  </si>
  <si>
    <t xml:space="preserve">[GAP]</t>
  </si>
  <si>
    <t xml:space="preserve">roadmap.sh/data-engineer + Fundamentals of DE Ch.1</t>
  </si>
  <si>
    <t xml:space="preserve">Modern Data Stack: source→ingest→store→transform→serve — draw Swiggy's stack</t>
  </si>
  <si>
    <t xml:space="preserve">Fundamentals of DE Ch.2-3</t>
  </si>
  <si>
    <t xml:space="preserve">Batch vs Streaming vs Micro-batch vs Lambda vs Kappa — when each is used</t>
  </si>
  <si>
    <t xml:space="preserve">🔴 HIGH</t>
  </si>
  <si>
    <t xml:space="preserve">Fundamentals of DE Ch.3</t>
  </si>
  <si>
    <t xml:space="preserve">Dev environment: VS Code, Docker, Git, Python venv, GitHub account setup</t>
  </si>
  <si>
    <t xml:space="preserve">🟡 WATCH</t>
  </si>
  <si>
    <t xml:space="preserve">docs.docker.com getting started</t>
  </si>
  <si>
    <t xml:space="preserve">DSA Day 1: Arrays — Two Sum, Contains Duplicate, Valid Anagram</t>
  </si>
  <si>
    <t xml:space="preserve">neetcode.io §1 Arrays &amp; Hashing</t>
  </si>
  <si>
    <t xml:space="preserve">Data Engineer skill matrix: Junior vs Mid vs Senior vs Staff DE</t>
  </si>
  <si>
    <t xml:space="preserve">E-Learning Bridge YouTube — career roadmap</t>
  </si>
  <si>
    <t xml:space="preserve">P0: Draw Swiggy data flow diagram + set up GitHub learning repo structure</t>
  </si>
  <si>
    <t xml:space="preserve">GitHub.com — create portfolio repo</t>
  </si>
  <si>
    <t xml:space="preserve">M1</t>
  </si>
  <si>
    <t xml:space="preserve">SQL: What is Database? RDBMS vs NoSQL, ACID, transactions, DDL/DML/DQL/DCL</t>
  </si>
  <si>
    <t xml:space="preserve">[COURSE]</t>
  </si>
  <si>
    <t xml:space="preserve">GrowDataSkills AWS M1 Class 1</t>
  </si>
  <si>
    <t xml:space="preserve">SQL: CREATE, ALTER, DROP, TRUNCATE, INSERT, UPDATE, DELETE — syntax + differences</t>
  </si>
  <si>
    <t xml:space="preserve">GrowDataSkills AWS M1 Class 1-2</t>
  </si>
  <si>
    <t xml:space="preserve">SQL: SELECT, WHERE, ORDER BY, LIMIT, IN/NOT IN, EXISTS/NOT EXISTS, LIKE, IS NULL</t>
  </si>
  <si>
    <t xml:space="preserve">GrowDataSkills AWS M1 Class 2</t>
  </si>
  <si>
    <t xml:space="preserve">SQL: Joins — INNER, LEFT, RIGHT, FULL OUTER, CROSS, SELF — NULL behaviour</t>
  </si>
  <si>
    <t xml:space="preserve">GrowDataSkills AWS M1 Class 3</t>
  </si>
  <si>
    <t xml:space="preserve">DSA: Arrays+Hashing — Product Except Self, Top K Frequent, Longest Consecutive</t>
  </si>
  <si>
    <t xml:space="preserve">neetcode.io §1</t>
  </si>
  <si>
    <t xml:space="preserve">SQL: GROUP BY, HAVING, ROLLUP, CUBE, aggregate functions, CASE WHEN</t>
  </si>
  <si>
    <t xml:space="preserve">P1: Build e-commerce database schema from scratch + 10 analytical SQL queries</t>
  </si>
  <si>
    <t xml:space="preserve">Mode Analytics SQL Tutorial level 1 (free)</t>
  </si>
  <si>
    <t xml:space="preserve">SQL Advanced: Window functions — ROW_NUMBER, RANK, DENSE_RANK, NTILE, PERCENT_RANK</t>
  </si>
  <si>
    <t xml:space="preserve">GrowDataSkills AWS M1 Class 4</t>
  </si>
  <si>
    <t xml:space="preserve">SQL Advanced: LAG, LEAD, FIRST_VALUE, LAST_VALUE, NTH_VALUE — analytical functions</t>
  </si>
  <si>
    <t xml:space="preserve">SQL Advanced: ROWS BETWEEN vs RANGE BETWEEN frames — critical difference with examples</t>
  </si>
  <si>
    <t xml:space="preserve">Mode Analytics SQL Tutorial level 2 (free)</t>
  </si>
  <si>
    <t xml:space="preserve">SQL Advanced: CTEs (simple/multiple/chained), Recursive CTEs (hierarchy traversal)</t>
  </si>
  <si>
    <t xml:space="preserve">DSA: Two Pointers — Valid Palindrome II, 3Sum, Container with Most Water</t>
  </si>
  <si>
    <t xml:space="preserve">neetcode.io §2</t>
  </si>
  <si>
    <t xml:space="preserve">SQL Advanced: MERGE (upsert/CDC), SCD Type 1/2/3 implementation in pure SQL</t>
  </si>
  <si>
    <t xml:space="preserve">Mode Analytics SQL Tutorial level 3</t>
  </si>
  <si>
    <t xml:space="preserve">P1 cont: SCD2 customer dimension with MERGE + 10 window function queries</t>
  </si>
  <si>
    <t xml:space="preserve">LeetCode SQL #185, #197, #262 (free)</t>
  </si>
  <si>
    <t xml:space="preserve">SQL Advanced: Pivot/Unpivot, conditional aggregation (SUM CASE WHEN pattern)</t>
  </si>
  <si>
    <t xml:space="preserve">StrataScratch.com practice</t>
  </si>
  <si>
    <t xml:space="preserve">SQL Advanced: JSON in SQL — JSON_VALUE, JSON_QUERY, OPENJSON, FLATTEN</t>
  </si>
  <si>
    <t xml:space="preserve">Azure SQL JSON docs</t>
  </si>
  <si>
    <t xml:space="preserve">SQL Advanced: Query optimization — EXPLAIN plans, B-tree vs hash index types</t>
  </si>
  <si>
    <t xml:space="preserve">SQL Performance Explained (free online)</t>
  </si>
  <si>
    <t xml:space="preserve">SQL Advanced: Partitioning — range/hash/list, partition pruning in queries</t>
  </si>
  <si>
    <t xml:space="preserve">PostgreSQL partitioning docs</t>
  </si>
  <si>
    <t xml:space="preserve">DSA: Sliding Window — Min Window Substring, Permutation in String</t>
  </si>
  <si>
    <t xml:space="preserve">neetcode.io §3</t>
  </si>
  <si>
    <t xml:space="preserve">SQL Exam Practice: HackerRank SQL Advanced Certification (timed)</t>
  </si>
  <si>
    <t xml:space="preserve">P2: Implement Expedia+Swiggy star schemas in SQL + KPI queries (from course case studies)</t>
  </si>
  <si>
    <t xml:space="preserve">GrowDataSkills DWH module case studies</t>
  </si>
  <si>
    <t xml:space="preserve">M2</t>
  </si>
  <si>
    <t xml:space="preserve">Python Basics: data types, control flow, list/dict/set comprehensions, functions</t>
  </si>
  <si>
    <t xml:space="preserve">realpython.com Python basics (free)</t>
  </si>
  <si>
    <t xml:space="preserve">Python OOP: Classes, dunder methods — __init__ __str__ __repr__ __eq__ __hash__</t>
  </si>
  <si>
    <t xml:space="preserve">Fluent Python 2E Ch.1 pp.1-28</t>
  </si>
  <si>
    <t xml:space="preserve">Python OOP: Inheritance, MRO, super(), abstract classes (ABC), Mixins</t>
  </si>
  <si>
    <t xml:space="preserve">Fluent Python 2E Ch.12 pp.407-438</t>
  </si>
  <si>
    <t xml:space="preserve">Python OOP: @property, @staticmethod, @classmethod, composition over inheritance</t>
  </si>
  <si>
    <t xml:space="preserve">realpython.com OOP in Python (free)</t>
  </si>
  <si>
    <t xml:space="preserve">DSA: Stack — Valid Parentheses, Min Stack, Daily Temperatures, Largest Rectangle</t>
  </si>
  <si>
    <t xml:space="preserve">neetcode.io §4</t>
  </si>
  <si>
    <t xml:space="preserve">Python: Dataclasses, Pydantic v2 — BaseModel, validators, computed fields, settings</t>
  </si>
  <si>
    <t xml:space="preserve">docs.pydantic.dev v2 (free)</t>
  </si>
  <si>
    <t xml:space="preserve">P3: Build ETL base class + 3 subclasses (CSV/JSON/API) with pytest unit tests</t>
  </si>
  <si>
    <t xml:space="preserve">Exercism.io Python track (free)</t>
  </si>
  <si>
    <t xml:space="preserve">Python: Generators, iterators, yield, send(), generator expressions, itertools</t>
  </si>
  <si>
    <t xml:space="preserve">Fluent Python 2E Ch.17</t>
  </si>
  <si>
    <t xml:space="preserve">Python: Decorators — functools.wraps, parameterized, class-based, stacking</t>
  </si>
  <si>
    <t xml:space="preserve">Fluent Python 2E Ch.9</t>
  </si>
  <si>
    <t xml:space="preserve">Python: Context managers — __enter__/__exit__, contextlib.contextmanager</t>
  </si>
  <si>
    <t xml:space="preserve">realpython.com context managers</t>
  </si>
  <si>
    <t xml:space="preserve">Python: async/await, event loop, asyncio.gather(), Semaphore, aiohttp basics</t>
  </si>
  <si>
    <t xml:space="preserve">realpython.com async-io-python (free)</t>
  </si>
  <si>
    <t xml:space="preserve">DSA: Binary Search — Search Rotated Array, Find Minimum, Koko Eating Bananas</t>
  </si>
  <si>
    <t xml:space="preserve">neetcode.io §5</t>
  </si>
  <si>
    <t xml:space="preserve">Python: Type hints — TypeVar, Generic, Protocol, Literal, TypedDict, Union, Optional</t>
  </si>
  <si>
    <t xml:space="preserve">realpython.com python-type-checking (free)</t>
  </si>
  <si>
    <t xml:space="preserve">P4: Async API pipeline — call 10 REST APIs concurrently with asyncio.gather()</t>
  </si>
  <si>
    <t xml:space="preserve">httpx async docs + asyncio docs (free)</t>
  </si>
  <si>
    <t xml:space="preserve">Python Testing: pytest fixtures, parametrize, conftest.py, markers, setup/teardown</t>
  </si>
  <si>
    <t xml:space="preserve">docs.pytest.org Getting Started (free)</t>
  </si>
  <si>
    <t xml:space="preserve">Python Testing: unittest.mock — patch, MagicMock, side_effect, assert_called_with</t>
  </si>
  <si>
    <t xml:space="preserve">realpython.com python-mock-library (free)</t>
  </si>
  <si>
    <t xml:space="preserve">Python Testing: pytest-cov coverage, testing Spark jobs with SparkSession fixture</t>
  </si>
  <si>
    <t xml:space="preserve">pytest-cov docs + Databricks testing guide</t>
  </si>
  <si>
    <t xml:space="preserve">Python Design Patterns: Strategy, Factory, Observer, Builder, Template Method</t>
  </si>
  <si>
    <t xml:space="preserve">refactoring.guru/design-patterns/python (free)</t>
  </si>
  <si>
    <t xml:space="preserve">DSA: Linked Lists — Reverse, Merge Sorted, Detect Cycle, LRU Cache O(1)</t>
  </si>
  <si>
    <t xml:space="preserve">neetcode.io §6</t>
  </si>
  <si>
    <t xml:space="preserve">Python Design Patterns: Singleton (SparkSession), Decorator pattern for @retry @log</t>
  </si>
  <si>
    <t xml:space="preserve">refactoring.guru/design-patterns/python</t>
  </si>
  <si>
    <t xml:space="preserve">P3 cont: Add @retry, @log_execution, @track_metrics decorators to ETL framework</t>
  </si>
  <si>
    <t xml:space="preserve">Fluent Python 2E Ch.7</t>
  </si>
  <si>
    <t xml:space="preserve">M3</t>
  </si>
  <si>
    <t xml:space="preserve">BigData: 5Vs, distributed computation, HDFS (NameNode/DataNode/replication)</t>
  </si>
  <si>
    <t xml:space="preserve">GrowDataSkills AWS M2 Class 1</t>
  </si>
  <si>
    <t xml:space="preserve">MapReduce: mapper→shuffle+sort→reducer paradigm, YARN (ResourceManager/NodeManager)</t>
  </si>
  <si>
    <t xml:space="preserve">GrowDataSkills AWS M2 Class 2</t>
  </si>
  <si>
    <t xml:space="preserve">Hive: architecture, internal vs external tables, partitioning, bucketing, SerDe</t>
  </si>
  <si>
    <t xml:space="preserve">GrowDataSkills AWS M3 Classes 1-3</t>
  </si>
  <si>
    <t xml:space="preserve">Hive: joins (map-side/bucket-map/sorted-merge/skew), HiveQL window functions</t>
  </si>
  <si>
    <t xml:space="preserve">GrowDataSkills AWS M3 Class 3</t>
  </si>
  <si>
    <t xml:space="preserve">DSA: Trees — Max Depth, Invert, Same Tree, LCA, Validate BST, Kth Smallest</t>
  </si>
  <si>
    <t xml:space="preserve">neetcode.io §7</t>
  </si>
  <si>
    <t xml:space="preserve">Hive: file formats (Parquet/ORC/Avro) — when to use each with practical examples</t>
  </si>
  <si>
    <t xml:space="preserve">GrowDataSkills AWS M3 + Fundamentals of DE Ch.6</t>
  </si>
  <si>
    <t xml:space="preserve">P5: Set up Hive on GCP Dataproc (course) — compare no-partition vs partition vs ORC</t>
  </si>
  <si>
    <t xml:space="preserve">GrowDataSkills AWS M3 hands-on</t>
  </si>
  <si>
    <t xml:space="preserve">File Formats Deep: Parquet — columnar, row groups, predicate pushdown, nested types</t>
  </si>
  <si>
    <t xml:space="preserve">parquet.apache.org technical spec</t>
  </si>
  <si>
    <t xml:space="preserve">File Formats: ORC (stripe/bloom filter), Avro (row-based/schema evolution), Delta</t>
  </si>
  <si>
    <t xml:space="preserve">Fundamentals of DE Ch.6 pp.165-202</t>
  </si>
  <si>
    <t xml:space="preserve">Compression: Snappy vs GZIP vs ZSTD — size/speed tradeoffs, when to use each</t>
  </si>
  <si>
    <t xml:space="preserve">Spark Definitive Guide Ch.9</t>
  </si>
  <si>
    <t xml:space="preserve">File format decision guide + hands-on: Parquet vs ORC vs Avro performance comparison</t>
  </si>
  <si>
    <t xml:space="preserve">Databricks Community Edition (free)</t>
  </si>
  <si>
    <t xml:space="preserve">DSA: Trees BFS — Level Order, Right Side View, Binary Tree Zigzag Traversal</t>
  </si>
  <si>
    <t xml:space="preserve">neetcode.io §7 advanced</t>
  </si>
  <si>
    <t xml:space="preserve">Practice: Explain step-by-step what happens when Spark reads 500GB Parquet from HDFS</t>
  </si>
  <si>
    <t xml:space="preserve">Spark Definitive Guide Ch.19</t>
  </si>
  <si>
    <t xml:space="preserve">Hadoop HDFS HA: NameNode high availability, JournalNode, failover controller</t>
  </si>
  <si>
    <t xml:space="preserve">M4</t>
  </si>
  <si>
    <t xml:space="preserve">Kafka: brokers, topics, partitions, replicas, leaders, ISR, KRaft vs ZooKeeper</t>
  </si>
  <si>
    <t xml:space="preserve">GrowDataSkills AWS M3 Class 1</t>
  </si>
  <si>
    <t xml:space="preserve">Kafka Producers: acks (0/1/all), retries, idempotent producer, compression codecs</t>
  </si>
  <si>
    <t xml:space="preserve">Kafka Definitive Guide 2E Ch.3 (FREE via Confluent)</t>
  </si>
  <si>
    <t xml:space="preserve">Kafka Consumers: consumer groups, partition assignment strategies, offset management</t>
  </si>
  <si>
    <t xml:space="preserve">Kafka Definitive Guide 2E Ch.4</t>
  </si>
  <si>
    <t xml:space="preserve">Kafka: Schema Registry (Avro/Protobuf/JSON), KSQLdb (streams/tables/joins)</t>
  </si>
  <si>
    <t xml:space="preserve">GrowDataSkills AWS M3 Class 2</t>
  </si>
  <si>
    <t xml:space="preserve">DSA: Graphs BFS — Word Ladder, Rotting Oranges, Shortest Path in Binary Matrix</t>
  </si>
  <si>
    <t xml:space="preserve">neetcode.io §9 BFS</t>
  </si>
  <si>
    <t xml:space="preserve">Kafka: Exactly-once semantics, Kafka Connect (source/sink/SMT), log compaction</t>
  </si>
  <si>
    <t xml:space="preserve">Kafka Definitive Guide 2E Ch.6+8</t>
  </si>
  <si>
    <t xml:space="preserve">P6: McDonald's payments stream — Kafka→KSQLdb→MongoDB (from course)</t>
  </si>
  <si>
    <t xml:space="preserve">Kafka: Streams API (KStream/KTable/joins/windowing/state stores/changelog topics)</t>
  </si>
  <si>
    <t xml:space="preserve">Kafka Streams docs + Confluent tutorials</t>
  </si>
  <si>
    <t xml:space="preserve">Kafka: Security (SASL/TLS/ACLs), monitoring (consumer lag/JMX), troubleshooting</t>
  </si>
  <si>
    <t xml:space="preserve">Kafka Definitive Guide 2E Ch.11</t>
  </si>
  <si>
    <t xml:space="preserve">Azure Event Hubs: Kafka-compatible API, partitions, Consumer groups, Capture to ADLS</t>
  </si>
  <si>
    <t xml:space="preserve">Microsoft Learn: Event Hubs overview</t>
  </si>
  <si>
    <t xml:space="preserve">AWS MSK: provisioned vs serverless, MSK Connect, IAM auth, MSK vs Kinesis guide</t>
  </si>
  <si>
    <t xml:space="preserve">AWS DEA | AWS MSK Developer Guide</t>
  </si>
  <si>
    <t xml:space="preserve">DSA: Graphs DFS — Number of Islands, Clone Graph, Course Schedule (topological sort)</t>
  </si>
  <si>
    <t xml:space="preserve">neetcode.io §9 DFS</t>
  </si>
  <si>
    <t xml:space="preserve">Kafka interview deep: consumer lag diagnosis, partition strategy design, EOS end-to-end</t>
  </si>
  <si>
    <t xml:space="preserve">Kafka interview prep guide</t>
  </si>
  <si>
    <t xml:space="preserve">P7: Kafka producer/consumer in Python with Avro + Schema Registry (hands-on)</t>
  </si>
  <si>
    <t xml:space="preserve">developer.confluent.io Python client tutorial</t>
  </si>
  <si>
    <t xml:space="preserve">M5</t>
  </si>
  <si>
    <t xml:space="preserve">CAP theorem, PACELC, BASE vs ACID, 4 NoSQL types with real-world use cases</t>
  </si>
  <si>
    <t xml:space="preserve">GrowDataSkills AWS M4 Class 1</t>
  </si>
  <si>
    <t xml:space="preserve">MongoDB: architecture, Atlas, document model (embed vs reference), schema patterns</t>
  </si>
  <si>
    <t xml:space="preserve">GrowDataSkills AWS M4 Class 1-2</t>
  </si>
  <si>
    <t xml:space="preserve">MongoDB: aggregation pipeline, indexes (single/compound/TTL), change streams</t>
  </si>
  <si>
    <t xml:space="preserve">GrowDataSkills AWS M4 Class 2</t>
  </si>
  <si>
    <t xml:space="preserve">Cassandra: ring topology, read/write path, compaction strategies, data modeling</t>
  </si>
  <si>
    <t xml:space="preserve">GrowDataSkills AWS M4 Classes 3-4</t>
  </si>
  <si>
    <t xml:space="preserve">DSA: Advanced Graphs — Dijkstra, Union-Find, Alien Dictionary, Critical Connections</t>
  </si>
  <si>
    <t xml:space="preserve">neetcode.io §10-11</t>
  </si>
  <si>
    <t xml:space="preserve">Cassandra: CQL, consistency levels (ONE/QUORUM/ALL), query-first data modeling</t>
  </si>
  <si>
    <t xml:space="preserve">GrowDataSkills AWS M4 Class 4</t>
  </si>
  <si>
    <t xml:space="preserve">P8: Cassandra IoT pipeline — 1M sensor inserts, time-series queries, latency test</t>
  </si>
  <si>
    <t xml:space="preserve">DataStax free tier + Cassandra Docker</t>
  </si>
  <si>
    <t xml:space="preserve">Redis: data structures (7 types), persistence (RDB/AOF), eviction, Redis Cluster</t>
  </si>
  <si>
    <t xml:space="preserve">Redis: cache patterns (cache-aside/write-through/write-behind), Streams vs Kafka</t>
  </si>
  <si>
    <t xml:space="preserve">redis.io Streams documentation</t>
  </si>
  <si>
    <t xml:space="preserve">DynamoDB: partition+sort key design, single-table design, GSI vs LSI, Streams, DAX</t>
  </si>
  <si>
    <t xml:space="preserve">[COURSE+GAP]</t>
  </si>
  <si>
    <t xml:space="preserve">AWS DEA | GrowDataSkills AWS M10 + The DynamoDB Book</t>
  </si>
  <si>
    <t xml:space="preserve">Azure Cosmos DB: multi-model API, partition key design, 5 consistency levels, change feed</t>
  </si>
  <si>
    <t xml:space="preserve">GrowDataSkills Azure M13 + Microsoft Learn</t>
  </si>
  <si>
    <t xml:space="preserve">DSA: Heap/Priority Queue — Top K Frequent, K Closest Points, Median from Stream</t>
  </si>
  <si>
    <t xml:space="preserve">neetcode.io §15</t>
  </si>
  <si>
    <t xml:space="preserve">Elasticsearch/OpenSearch: inverted index, shards, BM25 scoring, use in DE pipelines</t>
  </si>
  <si>
    <t xml:space="preserve">AWS DEA | Elasticsearch Definitive Guide (free online)</t>
  </si>
  <si>
    <t xml:space="preserve">NoSQL decision guide: MongoDB/Cassandra/Redis/DynamoDB/Cosmos/ES — when each wins</t>
  </si>
  <si>
    <t xml:space="preserve">DDIA Ch.2 pp.26-63</t>
  </si>
  <si>
    <t xml:space="preserve">M6</t>
  </si>
  <si>
    <t xml:space="preserve">Spark: Driver, Executors, Cluster Manager, SparkSession, DAG, stages, tasks</t>
  </si>
  <si>
    <t xml:space="preserve">Spark Assoc | GrowDataSkills AWS M5 Class 1</t>
  </si>
  <si>
    <t xml:space="preserve">Spark: Narrow vs wide transformations, shuffle internals, lazy evaluation</t>
  </si>
  <si>
    <t xml:space="preserve">Spark Memory: unified memory model, execution vs storage memory, off-heap, GC tuning</t>
  </si>
  <si>
    <t xml:space="preserve">Spark Assoc | GrowDataSkills AWS M5 Class 2</t>
  </si>
  <si>
    <t xml:space="preserve">Spark: Data skew — key salting technique, resource allocation case studies</t>
  </si>
  <si>
    <t xml:space="preserve">DSA: Backtracking — Subsets, Permutations, Combinations, N-Queens</t>
  </si>
  <si>
    <t xml:space="preserve">neetcode.io §16</t>
  </si>
  <si>
    <t xml:space="preserve">Spark DataFrame API: select/filter/agg/groupBy/window/all operations complete</t>
  </si>
  <si>
    <t xml:space="preserve">Spark Assoc | GrowDataSkills AWS M5 Class 3</t>
  </si>
  <si>
    <t xml:space="preserve">P9: Databricks CE setup — run first PySpark job on NYC Taxi 10GB dataset</t>
  </si>
  <si>
    <t xml:space="preserve">Spark Assoc | Databricks Community Edition (free)</t>
  </si>
  <si>
    <t xml:space="preserve">Spark: Joins (all types, broadcast, sort-merge, shuffle hash), join hints, NULL behaviour</t>
  </si>
  <si>
    <t xml:space="preserve">Spark Assoc | Learning Spark 2E Ch.8 (FREE PDF from Databric</t>
  </si>
  <si>
    <t xml:space="preserve">Spark: UDFs (Python vs Pandas/Arrow), complex types (struct/array/map), higher-order functions</t>
  </si>
  <si>
    <t xml:space="preserve">Spark: repartition vs coalesce, partitionBy on write, partition pruning with Parquet</t>
  </si>
  <si>
    <t xml:space="preserve">Spark Assoc | Spark Definitive Guide Ch.13</t>
  </si>
  <si>
    <t xml:space="preserve">Spark Performance: AQE (3 optimizations), DPP, predicate pushdown, column pruning</t>
  </si>
  <si>
    <t xml:space="preserve">Spark Assoc | Spark Definitive Guide Ch.19</t>
  </si>
  <si>
    <t xml:space="preserve">DSA: DP 1D — Climbing Stairs, House Robber, Coin Change, LIS, Palindromic Substrings</t>
  </si>
  <si>
    <t xml:space="preserve">neetcode.io §12</t>
  </si>
  <si>
    <t xml:space="preserve">Spark: Catalyst optimizer, Tungsten (WSCG), Spark UI mastery — read DAG/stages/tasks</t>
  </si>
  <si>
    <t xml:space="preserve">Spark Assoc | Spark Definitive Guide Ch.15</t>
  </si>
  <si>
    <t xml:space="preserve">P9 cont: Optimize Spark job on 10GB — broadcast joins, AQE, measure before/after</t>
  </si>
  <si>
    <t xml:space="preserve">Spark Assoc | Databricks tech talk: Spark Performance (YouTu</t>
  </si>
  <si>
    <t xml:space="preserve">Spark: Caching (cache/persist/StorageLevels), broadcast vars, accumulators, Kryo</t>
  </si>
  <si>
    <t xml:space="preserve">Spark Assoc | Learning Spark 2E Ch.7</t>
  </si>
  <si>
    <t xml:space="preserve">Spark Structured Streaming: programming model, trigger types, sources, sinks</t>
  </si>
  <si>
    <t xml:space="preserve">Spark Assoc | GrowDataSkills AWS M5 Class 4</t>
  </si>
  <si>
    <t xml:space="preserve">Spark Streaming: output modes, watermarks, stateful ops (dedup/session), foreachBatch</t>
  </si>
  <si>
    <t xml:space="preserve">Spark Assoc | GrowDataSkills AWS M5 Class 5</t>
  </si>
  <si>
    <t xml:space="preserve">Spark Streaming: checkpointing, exactly-once (Delta+Kafka), arbitrary stateful transforms</t>
  </si>
  <si>
    <t xml:space="preserve">DSA: DP 2D — Unique Paths, LCS, Edit Distance, Best Time to Buy/Sell Stock III</t>
  </si>
  <si>
    <t xml:space="preserve">neetcode.io §13</t>
  </si>
  <si>
    <t xml:space="preserve">📅 SPARK ASSOC EXAM PREP: 2 full practice exams timed (90 questions each)</t>
  </si>
  <si>
    <t xml:space="preserve">Spark Assoc | Udemy: Databricks Certified Associate Develope</t>
  </si>
  <si>
    <t xml:space="preserve">📅 EXAM PREP: Review Spark 3.5 features, AQE edge cases, fill weak areas</t>
  </si>
  <si>
    <t xml:space="preserve">Spark Assoc | Official Databricks exam guide + SkillCertPro</t>
  </si>
  <si>
    <t xml:space="preserve">📅 EXAM DAY — Databricks Certified Associate Developer for Apache Spark</t>
  </si>
  <si>
    <t xml:space="preserve">Spark Assoc | databricks.com/learn/certification</t>
  </si>
  <si>
    <t xml:space="preserve">Spark: Resource allocation deep — 6 nodes × 32 cores × 128GB, executor calc</t>
  </si>
  <si>
    <t xml:space="preserve">Spark: Persist/caching strategy, speculative execution, OOM failure diagnosis</t>
  </si>
  <si>
    <t xml:space="preserve">Spark Assoc | Spark Definitive Guide Ch.13-14</t>
  </si>
  <si>
    <t xml:space="preserve">Spark: Read from Hive tables, write to Delta, PySpark on YARN — end-to-end</t>
  </si>
  <si>
    <t xml:space="preserve">Spark Assoc | GrowDataSkills Azure M7 Class 3</t>
  </si>
  <si>
    <t xml:space="preserve">DSA: Intervals + Greedy — Merge Intervals, Meeting Rooms II, Jump Game</t>
  </si>
  <si>
    <t xml:space="preserve">neetcode.io §14</t>
  </si>
  <si>
    <t xml:space="preserve">P9 final: End-to-end Kafka→Spark Streaming→Delta Lake pipeline, exactly-once</t>
  </si>
  <si>
    <t xml:space="preserve">Spark Assoc | Build hands-on in Databricks CE</t>
  </si>
  <si>
    <t xml:space="preserve">Spark exam debrief + fill gaps, update notes on weak areas</t>
  </si>
  <si>
    <t xml:space="preserve">Spark Assoc | Review exam score report + redo weak topics</t>
  </si>
  <si>
    <t xml:space="preserve">M7</t>
  </si>
  <si>
    <t xml:space="preserve">Delta Lake: transaction log (_delta_log), checkpoint files, ACID, snapshot isolation</t>
  </si>
  <si>
    <t xml:space="preserve">DE Assoc | GrowDataSkills Databricks M8 + docs.delta.io</t>
  </si>
  <si>
    <t xml:space="preserve">Delta Lake: MERGE complete syntax, OPTIMIZE, Z-ORDER, Liquid Clustering — guide</t>
  </si>
  <si>
    <t xml:space="preserve">DE Assoc | docs.delta.io optimize tables</t>
  </si>
  <si>
    <t xml:space="preserve">Delta Lake: Time travel, RESTORE, VACUUM, schema enforcement+evolution, CDF</t>
  </si>
  <si>
    <t xml:space="preserve">DE Assoc | GrowDataSkills Databricks M8</t>
  </si>
  <si>
    <t xml:space="preserve">Delta Lake: Deletion vectors, Auto Loader (cloudFiles), Delta Sharing protocol</t>
  </si>
  <si>
    <t xml:space="preserve">DE Prof | Databricks docs: CDF + Auto Loader</t>
  </si>
  <si>
    <t xml:space="preserve">DSA: Hard DP — Burst Balloons, Regular Expression Matching, Interleaving Strings</t>
  </si>
  <si>
    <t xml:space="preserve">neetcode.io §13 Hard</t>
  </si>
  <si>
    <t xml:space="preserve">Apache Iceberg: architecture, hidden partitioning, CoW vs MoR, metadata layer</t>
  </si>
  <si>
    <t xml:space="preserve">GrowDataSkills AWS M11 Class 1</t>
  </si>
  <si>
    <t xml:space="preserve">P10-P13: Databricks 4 projects — e-commerce, SCD2 DWH, Healthcare DLT, UPI CDC</t>
  </si>
  <si>
    <t xml:space="preserve">DE Assoc | GrowDataSkills Databricks M8 hands-on</t>
  </si>
  <si>
    <t xml:space="preserve">Iceberg: compaction, REST/Nessie catalog, partition evolution, Flink connector</t>
  </si>
  <si>
    <t xml:space="preserve">GrowDataSkills AWS M11 + iceberg.apache.org</t>
  </si>
  <si>
    <t xml:space="preserve">Apache Hudi: architecture, CoW vs MoR, query types, timeline, compaction</t>
  </si>
  <si>
    <t xml:space="preserve">GrowDataSkills AWS M11 Class 2</t>
  </si>
  <si>
    <t xml:space="preserve">Hudi: CDC, incremental pull, PySpark on AWS Glue — hands-on implementation</t>
  </si>
  <si>
    <t xml:space="preserve">GrowDataSkills AWS M11 hands-on</t>
  </si>
  <si>
    <t xml:space="preserve">Delta vs Iceberg vs Hudi decision guide: Azure(Delta), AWS multi-engine(Iceberg), CDC(Hudi)</t>
  </si>
  <si>
    <t xml:space="preserve">Hands-on comparison exercise</t>
  </si>
  <si>
    <t xml:space="preserve">DSA: Bit Manipulation + Math — Number of 1 Bits, Reverse Bits, Pow(x,n)</t>
  </si>
  <si>
    <t xml:space="preserve">neetcode.io §17-18</t>
  </si>
  <si>
    <t xml:space="preserve">Deep practice: Delta MERGE optimization on 1TB table — measure before/after</t>
  </si>
  <si>
    <t xml:space="preserve">DE Assoc | Databricks CE or AWS Glue</t>
  </si>
  <si>
    <t xml:space="preserve">Review open table formats — build decision flowchart, interview Q&amp;A practice</t>
  </si>
  <si>
    <t xml:space="preserve">Self-review + whiteboard practice</t>
  </si>
  <si>
    <t xml:space="preserve">M8</t>
  </si>
  <si>
    <t xml:space="preserve">Databricks: cluster types, DBR versions, Photon engine, Serverless compute</t>
  </si>
  <si>
    <t xml:space="preserve">DE Assoc | GrowDataSkills Databricks M8 Class 1</t>
  </si>
  <si>
    <t xml:space="preserve">Unity Catalog: three-level namespace, managed vs external tables, grants, lineage</t>
  </si>
  <si>
    <t xml:space="preserve">DE Assoc | Databricks Academy: Unity Catalog</t>
  </si>
  <si>
    <t xml:space="preserve">Unity Catalog: column masking, row filters, dynamic views, audit logs, Delta Sharing</t>
  </si>
  <si>
    <t xml:space="preserve">DE Prof | Databricks docs: UC security</t>
  </si>
  <si>
    <t xml:space="preserve">Lakeflow DLT: @dlt.table, @dlt.expect, CDC with APPLY CHANGES INTO, pipeline modes</t>
  </si>
  <si>
    <t xml:space="preserve">DE Assoc | Databricks Academy: Streaming and DLT</t>
  </si>
  <si>
    <t xml:space="preserve">DSA: Amazon top 30 problems — LeetCode company filter, medium+hard, timed</t>
  </si>
  <si>
    <t xml:space="preserve">LeetCode Amazon filter</t>
  </si>
  <si>
    <t xml:space="preserve">Databricks Asset Bundles (DABs): bundle.yml, deploy, CI/CD with GitHub Actions</t>
  </si>
  <si>
    <t xml:space="preserve">DE Prof | Databricks docs: Asset Bundles</t>
  </si>
  <si>
    <t xml:space="preserve">📅 DATABRICKS DE ASSOCIATE EXAM PREP: 60 questions timed (SkillCertPro)</t>
  </si>
  <si>
    <t xml:space="preserve">DE Assoc | Databricks Academy + SkillCertPro</t>
  </si>
  <si>
    <t xml:space="preserve">📅 EXAM DAY — Databricks Certified Data Engineer Associate</t>
  </si>
  <si>
    <t xml:space="preserve">DE Assoc | databricks.com/learn/certification</t>
  </si>
  <si>
    <t xml:space="preserve">Databricks: system tables, Spark UI mastery, Query Profiler, cost monitoring</t>
  </si>
  <si>
    <t xml:space="preserve">DE Prof | Databricks docs: Monitoring</t>
  </si>
  <si>
    <t xml:space="preserve">Databricks: MLflow (experiment tracking, model registry, LLM tracing)</t>
  </si>
  <si>
    <t xml:space="preserve">DE Prof | mlflow.org documentation</t>
  </si>
  <si>
    <t xml:space="preserve">Databricks: Lakehouse Federation, serverless jobs, SQL Alerts, DABs CI/CD deep</t>
  </si>
  <si>
    <t xml:space="preserve">DE Prof | Databricks docs: Lakehouse Federation</t>
  </si>
  <si>
    <t xml:space="preserve">DSA: Flipkart top 30 problems — LeetCode company filter, timed</t>
  </si>
  <si>
    <t xml:space="preserve">LeetCode Flipkart filter</t>
  </si>
  <si>
    <t xml:space="preserve">📅 DE PROFESSIONAL EXAM PREP: SkillCertPro 65 questions timed</t>
  </si>
  <si>
    <t xml:space="preserve">DE Prof | skillcertpro.com Databricks DE Professional</t>
  </si>
  <si>
    <t xml:space="preserve">📅 EXAM DAY — Databricks Certified Data Engineer Professional</t>
  </si>
  <si>
    <t xml:space="preserve">DE Prof | databricks.com/learn/certification</t>
  </si>
  <si>
    <t xml:space="preserve">M9</t>
  </si>
  <si>
    <t xml:space="preserve">Airflow: architecture (Webserver/Scheduler/Executor/Metadata DB), DAGs, operators</t>
  </si>
  <si>
    <t xml:space="preserve">GrowDataSkills AWS M6 Class 1</t>
  </si>
  <si>
    <t xml:space="preserve">Airflow: Sensors (poke vs reschedule), Hooks, XComs, Pools, Variables, Connections</t>
  </si>
  <si>
    <t xml:space="preserve">Airflow: TaskFlow API, dynamic task mapping, dataset-aware scheduling (Airflow 2.4+)</t>
  </si>
  <si>
    <t xml:space="preserve">Apache Airflow docs: TaskFlow API</t>
  </si>
  <si>
    <t xml:space="preserve">Airflow: Backfilling, idempotent DAGs, testing DAGs, monitoring, SLA miss callbacks</t>
  </si>
  <si>
    <t xml:space="preserve">DSA: Hard Mixed — Trapping Rain Water, Median of Two Sorted Arrays</t>
  </si>
  <si>
    <t xml:space="preserve">neetcode.io Hard list</t>
  </si>
  <si>
    <t xml:space="preserve">AWS MWAA: setup, DAG S3 bucket, requirements.txt, plugins, env variables, scaling</t>
  </si>
  <si>
    <t xml:space="preserve">AWS DEA | AWS MWAA Developer Guide</t>
  </si>
  <si>
    <t xml:space="preserve">P14: Flight booking pipeline with Airflow + CICD (from course project)</t>
  </si>
  <si>
    <t xml:space="preserve">GrowDataSkills AWS M6 hands-on project</t>
  </si>
  <si>
    <t xml:space="preserve">M10</t>
  </si>
  <si>
    <t xml:space="preserve">Flink: JobManager, TaskManager, task slots, operator chaining, parallelism calc</t>
  </si>
  <si>
    <t xml:space="preserve">GrowDataSkills AWS M12</t>
  </si>
  <si>
    <t xml:space="preserve">Flink State: HashMapStateBackend vs RocksDB, keyed/operator state, State TTL</t>
  </si>
  <si>
    <t xml:space="preserve">Flink: Checkpointing (barriers/2PC/incremental), savepoints, backpressure detection</t>
  </si>
  <si>
    <t xml:space="preserve">Flink Time: event time vs processing time, watermarks, late events, side outputs</t>
  </si>
  <si>
    <t xml:space="preserve">Stream Processing with Apache Flink Ch.6</t>
  </si>
  <si>
    <t xml:space="preserve">DSA: Hard problems — Alien Dictionary, Swim in Rising Water</t>
  </si>
  <si>
    <t xml:space="preserve">neetcode.io §11 Advanced Graphs</t>
  </si>
  <si>
    <t xml:space="preserve">Flink Windows: tumbling, sliding, session, global — assigners, triggers, evictors</t>
  </si>
  <si>
    <t xml:space="preserve">flink.apache.org/docs/dev/stream/operators/windows</t>
  </si>
  <si>
    <t xml:space="preserve">P15: PyFlink stateless pipeline — Kafka→filter/map→Kafka (from course, extend it)</t>
  </si>
  <si>
    <t xml:space="preserve">GrowDataSkills AWS M12 hands-on</t>
  </si>
  <si>
    <t xml:space="preserve">Flink SQL: DDL with Kafka/Iceberg connectors, time attributes, temporal joins</t>
  </si>
  <si>
    <t xml:space="preserve">flink.apache.org/docs/dev/table/</t>
  </si>
  <si>
    <t xml:space="preserve">Flink SQL: windowed aggregations (TUMBLE/HOP/SESSION), MATCH_RECOGNIZE for CEP</t>
  </si>
  <si>
    <t xml:space="preserve">Flink SQL cookbook (flink.apache.org)</t>
  </si>
  <si>
    <t xml:space="preserve">Flink: Kafka connector (source/sink), Iceberg sink connector, JDBC sink, Delta connector</t>
  </si>
  <si>
    <t xml:space="preserve">flink.apache.org/docs/connectors/</t>
  </si>
  <si>
    <t xml:space="preserve">Flink exactly-once: Kafka source + transactional Kafka/Iceberg sink — step by step</t>
  </si>
  <si>
    <t xml:space="preserve">Flink docs: Fault tolerance guarantees</t>
  </si>
  <si>
    <t xml:space="preserve">DSA: Amazon mock interview — 45 min, 1 medium + 1 hard, explain every thought</t>
  </si>
  <si>
    <t xml:space="preserve">LeetCode Amazon filter — simulate exactly</t>
  </si>
  <si>
    <t xml:space="preserve">AWS Managed Flink: setup, Kinesis source, S3 checkpointing, IAM, CloudWatch</t>
  </si>
  <si>
    <t xml:space="preserve">AWS DEA | AWS Managed Flink Developer Guide</t>
  </si>
  <si>
    <t xml:space="preserve">P16: Ad Tech real-time — AWS Kinesis→Managed Flink→Iceberg→Athena (from course)</t>
  </si>
  <si>
    <t xml:space="preserve">AWS DEA | GrowDataSkills AWS M13 Project 10</t>
  </si>
  <si>
    <t xml:space="preserve">PyFlink: DataStream API, Table API, UDFs, limitations vs Java Flink</t>
  </si>
  <si>
    <t xml:space="preserve">GrowDataSkills AWS M12 + PyFlink docs</t>
  </si>
  <si>
    <t xml:space="preserve">Flink CDC: MySQL/PostgreSQL CDC connectors (Debezium-based), binlog reading</t>
  </si>
  <si>
    <t xml:space="preserve">flink.apache.org/docs/connectors/flink-cdc/</t>
  </si>
  <si>
    <t xml:space="preserve">Flink RocksDB tuning: block cache, write buffer, compaction — production config</t>
  </si>
  <si>
    <t xml:space="preserve">Flink docs: RocksDB state backend tuning</t>
  </si>
  <si>
    <t xml:space="preserve">P17: Betting app real-time — Kinesis→Managed Flink→Firehose→S3 (from course)</t>
  </si>
  <si>
    <t xml:space="preserve">AWS DEA | GrowDataSkills AWS M13 Project 11</t>
  </si>
  <si>
    <t xml:space="preserve">DSA: Flipkart machine coding mock — 90 min, complete OOP system in Python</t>
  </si>
  <si>
    <t xml:space="preserve">Practice: build in-memory order management system</t>
  </si>
  <si>
    <t xml:space="preserve">P18: Flink CDC pipeline — MySQL binlog→Flink→Delta Lake (build from scratch)</t>
  </si>
  <si>
    <t xml:space="preserve">flink-cdc-connectors GitHub + Databricks</t>
  </si>
  <si>
    <t xml:space="preserve">Flink review: interview Q&amp;A, system design with Flink, performance scenarios</t>
  </si>
  <si>
    <t xml:space="preserve">Flink Forward conference talks YouTube</t>
  </si>
  <si>
    <t xml:space="preserve">M11</t>
  </si>
  <si>
    <t xml:space="preserve">DWH Theory: OLTP vs OLAP, fact/dim tables, star/snowflake/galaxy, Inmon vs Kimball</t>
  </si>
  <si>
    <t xml:space="preserve">GrowDataSkills M10 Class 1</t>
  </si>
  <si>
    <t xml:space="preserve">Dimensional Modeling: SCD 0/1/2/3/4/6, transaction/snapshot/accumulating fact tables</t>
  </si>
  <si>
    <t xml:space="preserve">Data Warehouse Toolkit 3E Ch.1-3 (Kimball)</t>
  </si>
  <si>
    <t xml:space="preserve">Dimensional Modeling: conformed dims, degenerate/role-playing/junk/bridge tables</t>
  </si>
  <si>
    <t xml:space="preserve">Data Warehouse Toolkit 3E Ch.3</t>
  </si>
  <si>
    <t xml:space="preserve">Case Study: Expedia galaxy schema — 7 fact tables, 12 dims, KPI SQL (from course)</t>
  </si>
  <si>
    <t xml:space="preserve">GrowDataSkills M10 Class 2</t>
  </si>
  <si>
    <t xml:space="preserve">DSA: Hard — Distinct Subsequences, Stone Game, Palindrome Partitioning</t>
  </si>
  <si>
    <t xml:space="preserve">Case Study: Swiggy food delivery model — 10 fact tables, SCD2, business metrics SQL</t>
  </si>
  <si>
    <t xml:space="preserve">P19: Implement Swiggy star schema + 20 analytical SQL queries + SCD2 MERGE</t>
  </si>
  <si>
    <t xml:space="preserve">SQL in Azure SQL Database</t>
  </si>
  <si>
    <t xml:space="preserve">Data Vault 2.0: Hubs, Links, Satellites — when to use DV over Kimball</t>
  </si>
  <si>
    <t xml:space="preserve">DDIA Ch.2 data models</t>
  </si>
  <si>
    <t xml:space="preserve">dbt: project structure, models, sources, refs, materializations (view/table/incremental)</t>
  </si>
  <si>
    <t xml:space="preserve">courses.getdbt.com Fundamentals (free)</t>
  </si>
  <si>
    <t xml:space="preserve">dbt: built-in tests, dbt-expectations, documentation, dbt docs serve</t>
  </si>
  <si>
    <t xml:space="preserve">courses.getdbt.com Advanced (free)</t>
  </si>
  <si>
    <t xml:space="preserve">dbt: Incremental models — append/delete+insert/merge/insert_overwrite strategies</t>
  </si>
  <si>
    <t xml:space="preserve">dbt docs: incremental models</t>
  </si>
  <si>
    <t xml:space="preserve">DSA: Amazon DSA mock — 45 min (2 medium problems), record and review</t>
  </si>
  <si>
    <t xml:space="preserve">LeetCode Amazon filter medium</t>
  </si>
  <si>
    <t xml:space="preserve">dbt: Snapshots (SCD2), macros (Jinja), dbt_utils, dbt Cloud CI (Slim CI)</t>
  </si>
  <si>
    <t xml:space="preserve">courses.getdbt.com Modules 4-5</t>
  </si>
  <si>
    <t xml:space="preserve">P20: Build dbt project on Databricks — Bronze/Silver/Gold + SCD2 + tests + docs</t>
  </si>
  <si>
    <t xml:space="preserve">courses.getdbt.com + Databricks dbt integration</t>
  </si>
  <si>
    <t xml:space="preserve">dbt: Semantic Layer/MetricFlow, Python models, dbt-databricks/snowflake adapters</t>
  </si>
  <si>
    <t xml:space="preserve">dbt docs: Semantic Layer + adapters</t>
  </si>
  <si>
    <t xml:space="preserve">dbt: Slim CI (state comparison), dbt defer, advanced testing patterns</t>
  </si>
  <si>
    <t xml:space="preserve">dbt docs: Slim CI</t>
  </si>
  <si>
    <t xml:space="preserve">P20 cont: Add dbt Semantic Layer + CI/CD with GitHub Actions for dbt Cloud</t>
  </si>
  <si>
    <t xml:space="preserve">dbt Cloud documentation</t>
  </si>
  <si>
    <t xml:space="preserve">P21: Design Ola/Uber star schema + Data Vault comparison + implement in SQL + dbt</t>
  </si>
  <si>
    <t xml:space="preserve">Data Warehouse Toolkit 3E + dbt project</t>
  </si>
  <si>
    <t xml:space="preserve">DSA: Flipkart mock — 90 min machine coding, complete Python OOP system</t>
  </si>
  <si>
    <t xml:space="preserve">Practice: build in-memory parking lot system</t>
  </si>
  <si>
    <t xml:space="preserve">DWH + dbt interview prep — 10 practice questions with whiteboard answers</t>
  </si>
  <si>
    <t xml:space="preserve">Review all DWH + dbt topics</t>
  </si>
  <si>
    <t xml:space="preserve">P20 final: Deploy dbt project to production-equivalent environment with monitoring</t>
  </si>
  <si>
    <t xml:space="preserve">dbt Cloud + Databricks production setup</t>
  </si>
  <si>
    <t xml:space="preserve">M12</t>
  </si>
  <si>
    <t xml:space="preserve">Snowflake: 3-layer architecture, micro-partitions, Virtual Warehouses, multi-cluster</t>
  </si>
  <si>
    <t xml:space="preserve">SnowPro Core | GrowDataSkills M11 Class 1</t>
  </si>
  <si>
    <t xml:space="preserve">Snowflake: SnowPipe, Streams (standard/append-only), Tasks, Dynamic Tables</t>
  </si>
  <si>
    <t xml:space="preserve">Snowflake: RBAC system roles, Time Travel, Fail-safe, zero-copy cloning</t>
  </si>
  <si>
    <t xml:space="preserve">SnowPro Core | docs.snowflake.com access control</t>
  </si>
  <si>
    <t xml:space="preserve">Snowflake: Column masking, row access policies, Horizon governance, network policies</t>
  </si>
  <si>
    <t xml:space="preserve">SnowPro Adv | docs.snowflake.com data governance</t>
  </si>
  <si>
    <t xml:space="preserve">DSA: Timed mock — 45 min, 2 medium problems from Amazon/Flipkart filter</t>
  </si>
  <si>
    <t xml:space="preserve">LeetCode company filter — timed</t>
  </si>
  <si>
    <t xml:space="preserve">P22-P24: 3 Snowflake projects (News API, Car Rental SCD2, Movies CDC) from course</t>
  </si>
  <si>
    <t xml:space="preserve">SnowPro Core | GrowDataSkills M11 hands-on projects</t>
  </si>
  <si>
    <t xml:space="preserve">Snowflake performance: Query Profile, clustering, search optimization, spill</t>
  </si>
  <si>
    <t xml:space="preserve">SnowPro Adv | docs.snowflake.com query optimization</t>
  </si>
  <si>
    <t xml:space="preserve">Snowflake: Kafka Connector, Snowpipe Streaming, Iceberg tables in Snowflake</t>
  </si>
  <si>
    <t xml:space="preserve">SnowPro Adv | docs.snowflake.com Kafka connector</t>
  </si>
  <si>
    <t xml:space="preserve">Snowflake: Snowpark Python, Cortex LLM functions, Streamlit in Snowflake</t>
  </si>
  <si>
    <t xml:space="preserve">SnowPro Core | docs.snowflake.com Snowpark</t>
  </si>
  <si>
    <t xml:space="preserve">Snowflake vs Synapse vs Databricks — decision guide (must-know for 80+ LPA)</t>
  </si>
  <si>
    <t xml:space="preserve">Architecture comparison exercise</t>
  </si>
  <si>
    <t xml:space="preserve">📅 SNOWPRO CORE EXAM PREP: Tom Bailey mock exam (100 questions, timed)</t>
  </si>
  <si>
    <t xml:space="preserve">SnowPro Core | Udemy: Tom Bailey SnowPro Core COF-C02</t>
  </si>
  <si>
    <t xml:space="preserve">DSA: HLD warm-up — design data platform for Razorpay (30 min sketch)</t>
  </si>
  <si>
    <t xml:space="preserve">Whiteboard practice</t>
  </si>
  <si>
    <t xml:space="preserve">📅 EXAM DAY — SnowPro Core Certification (COF-C02)</t>
  </si>
  <si>
    <t xml:space="preserve">SnowPro Core | learn.snowflake.com exam portal</t>
  </si>
  <si>
    <t xml:space="preserve">📅 SNOWPRO ADVANCED EXAM PREP: scenario-based Q&amp;A (Kafka/performance/masking)</t>
  </si>
  <si>
    <t xml:space="preserve">SnowPro Adv | Medium: SnowPro Advanced DE Prep — Somen Swain</t>
  </si>
  <si>
    <t xml:space="preserve">M13</t>
  </si>
  <si>
    <t xml:space="preserve">Azure Basics: Blob Storage, Functions (HTTP/Blob/Service Bus triggers)</t>
  </si>
  <si>
    <t xml:space="preserve">GrowDataSkills Azure M13 Class 1</t>
  </si>
  <si>
    <t xml:space="preserve">Azure Basics: Service Bus, Logic Apps, Key Vault, Azure SQL, Event Hub basics</t>
  </si>
  <si>
    <t xml:space="preserve">GrowDataSkills Azure M13 Classes 2-3</t>
  </si>
  <si>
    <t xml:space="preserve">ADF Advanced: parameterization, dynamic pipelines (ForEach/metadata-driven), Data Flows</t>
  </si>
  <si>
    <t xml:space="preserve">DP-700 | Microsoft Learn: ADF expressions</t>
  </si>
  <si>
    <t xml:space="preserve">ADF Advanced: CI/CD (ARM templates + Azure DevOps), error handling, private endpoints</t>
  </si>
  <si>
    <t xml:space="preserve">DP-700 | Microsoft Learn: ADF CI/CD best practices</t>
  </si>
  <si>
    <t xml:space="preserve">DSA: Amazon mock — 45 min timed, 2 medium problems, no hints</t>
  </si>
  <si>
    <t xml:space="preserve">ADLS Gen2 Deep: HNS, POSIX ACLs, lifecycle policies, folder structure for pruning</t>
  </si>
  <si>
    <t xml:space="preserve">DP-700 | Microsoft Learn: ADLS Gen2 access control</t>
  </si>
  <si>
    <t xml:space="preserve">P25: AirBnB CDC pipeline — ADLS→CosmosDB→ADF→Synapse (from course)</t>
  </si>
  <si>
    <t xml:space="preserve">GrowDataSkills Azure M14 Project 11</t>
  </si>
  <si>
    <t xml:space="preserve">Microsoft Fabric: OneLake, architecture, experiences (DE/DS/DW/RTI), F-SKUs</t>
  </si>
  <si>
    <t xml:space="preserve">DP-700 | Microsoft Learn: Fabric fundamentals</t>
  </si>
  <si>
    <t xml:space="preserve">Fabric: Lakehouse, OneLake shortcuts, Pipelines, Dataflows Gen2, Notebooks</t>
  </si>
  <si>
    <t xml:space="preserve">DP-700 | Microsoft Learn: Fabric Lakehouse</t>
  </si>
  <si>
    <t xml:space="preserve">Fabric: Warehouse (T-SQL), Real-Time Intelligence, KQL complete syntax</t>
  </si>
  <si>
    <t xml:space="preserve">DP-700 | Microsoft Learn: KQL reference</t>
  </si>
  <si>
    <t xml:space="preserve">Fabric: Mirroring, shortcuts, deployment pipelines (Dev→Test→Prod), Git integration</t>
  </si>
  <si>
    <t xml:space="preserve">DP-700 | Microsoft Learn: Fabric governance</t>
  </si>
  <si>
    <t xml:space="preserve">DSA: Flipkart machine coding — 90 min, working Python system with tests</t>
  </si>
  <si>
    <t xml:space="preserve">Practice: design a notification system</t>
  </si>
  <si>
    <t xml:space="preserve">📅 DP-700 EXAM PREP: Microsoft Learn practice assessment + review all Fabric topics</t>
  </si>
  <si>
    <t xml:space="preserve">DP-700 | Microsoft Learn practice assessment (open book)</t>
  </si>
  <si>
    <t xml:space="preserve">📅 EXAM DAY — DP-700 Microsoft Fabric Data Engineer Associate</t>
  </si>
  <si>
    <t xml:space="preserve">DP-700 | Pearson VUE — open book exam, 100 min</t>
  </si>
  <si>
    <t xml:space="preserve">DP-600: DAX fundamentals — CALCULATE, FILTER, ALL, ALLEXCEPT, time intelligence</t>
  </si>
  <si>
    <t xml:space="preserve">DP-600 | Microsoft Learn: DP-600 study guide</t>
  </si>
  <si>
    <t xml:space="preserve">DP-600: DirectLake mode, semantic models (import/DirectQuery/composite/DirectLake)</t>
  </si>
  <si>
    <t xml:space="preserve">DP-600 | Microsoft Learn: Fabric semantic models</t>
  </si>
  <si>
    <t xml:space="preserve">DP-600: Power BI in Fabric, paginated reports, row-level security in semantic models</t>
  </si>
  <si>
    <t xml:space="preserve">DP-600 | Microsoft Learn: Fabric Power BI</t>
  </si>
  <si>
    <t xml:space="preserve">📅 DP-600 EXAM PREP: practice assessment + review DirectLake + semantic model tuning</t>
  </si>
  <si>
    <t xml:space="preserve">DP-600 | Microsoft Learn DP-600 practice assessment</t>
  </si>
  <si>
    <t xml:space="preserve">DSA: HLD warm-up — design Swiggy real-time analytics (30 min sketch + draw.io)</t>
  </si>
  <si>
    <t xml:space="preserve">Whiteboard + draw.io</t>
  </si>
  <si>
    <t xml:space="preserve">📅 EXAM DAY — DP-600 Microsoft Fabric Analytics Engineer Associate</t>
  </si>
  <si>
    <t xml:space="preserve">DP-600 | Pearson VUE — open book exam</t>
  </si>
  <si>
    <t xml:space="preserve">P26: BookMyShow real-time — Event Hub→Stream Analytics→Synapse (from course)</t>
  </si>
  <si>
    <t xml:space="preserve">GrowDataSkills Azure M14 Project 13</t>
  </si>
  <si>
    <t xml:space="preserve">Synapse Analytics: MPP, 60 distributions, HASH/REPLICATE/ROUND_ROBIN strategy</t>
  </si>
  <si>
    <t xml:space="preserve">Microsoft Learn: Synapse SQL pool</t>
  </si>
  <si>
    <t xml:space="preserve">Synapse: CCI vs heap, partitioning, statistics, WLM, CTAS, COPY INTO vs PolyBase</t>
  </si>
  <si>
    <t xml:space="preserve">Microsoft Learn: Synapse performance tuning</t>
  </si>
  <si>
    <t xml:space="preserve">Azure Purview: Data Map scanning, sensitivity labels, lineage from ADF/Databricks</t>
  </si>
  <si>
    <t xml:space="preserve">Microsoft Learn: Purview governance</t>
  </si>
  <si>
    <t xml:space="preserve">Azure OpenAI: deploying GPT-4o, embeddings API, rate limiting, Azure AI Studio</t>
  </si>
  <si>
    <t xml:space="preserve">Microsoft Learn: Azure OpenAI Service</t>
  </si>
  <si>
    <t xml:space="preserve">DSA: HLD mock — 45 min design Flipkart data lake (scale, components, tradeoffs)</t>
  </si>
  <si>
    <t xml:space="preserve">P27: Airlines incremental pipeline with CI/CD — ADLS→ADF→Synapse + DevOps</t>
  </si>
  <si>
    <t xml:space="preserve">GrowDataSkills Azure M14 Project 14</t>
  </si>
  <si>
    <t xml:space="preserve">📅 EXAM DAY — SnowPro Advanced: Data Engineer (DEA-C02)</t>
  </si>
  <si>
    <t xml:space="preserve">SnowPro Adv | learn.snowflake.com exam portal</t>
  </si>
  <si>
    <t xml:space="preserve">M14</t>
  </si>
  <si>
    <t xml:space="preserve">AWS: S3, Lambda, SQS, SNS, EventBridge — extend course knowledge with depth</t>
  </si>
  <si>
    <t xml:space="preserve">AWS DEA | GrowDataSkills AWS M10 Classes 1-2</t>
  </si>
  <si>
    <t xml:space="preserve">AWS Glue deep: ETL jobs, crawlers, Data Catalog, bookmarks, Studio, DataBrew, DQ</t>
  </si>
  <si>
    <t xml:space="preserve">AWS DEA | GrowDataSkills AWS M10 Class 4</t>
  </si>
  <si>
    <t xml:space="preserve">AWS Kinesis: Data Streams (shards, enhanced fan-out), Firehose (buffering, transform)</t>
  </si>
  <si>
    <t xml:space="preserve">AWS DEA | GrowDataSkills AWS M10 Class 2</t>
  </si>
  <si>
    <t xml:space="preserve">Amazon Redshift deep: distribution styles, sort keys, WLM, Spectrum, Serverless</t>
  </si>
  <si>
    <t xml:space="preserve">DSA: Amazon hard — 45 min timed, 2 hard problems, explain every thought aloud</t>
  </si>
  <si>
    <t xml:space="preserve">LeetCode Amazon hard filter</t>
  </si>
  <si>
    <t xml:space="preserve">AWS: Athena (partition projection, CTAS, federated), Lake Formation (LF-TBAC)</t>
  </si>
  <si>
    <t xml:space="preserve">AWS DEA | GrowDataSkills AWS M10 Class 3</t>
  </si>
  <si>
    <t xml:space="preserve">P28-P33: All 6 AWS projects from course (Ad Tech/Betting/Movie/Airlines/Crypto/CC)</t>
  </si>
  <si>
    <t xml:space="preserve">AWS DEA | GrowDataSkills AWS M13 projects</t>
  </si>
  <si>
    <t xml:space="preserve">AWS DMS: CDC replication, task types, RDS binary log, ongoing replication setup</t>
  </si>
  <si>
    <t xml:space="preserve">AWS DEA | AWS DMS Developer Guide</t>
  </si>
  <si>
    <t xml:space="preserve">AWS MSK + Step Functions + MWAA — deep review beyond course</t>
  </si>
  <si>
    <t xml:space="preserve">AWS DEA | AWS MSK + Step Functions docs</t>
  </si>
  <si>
    <t xml:space="preserve">AWS: Amazon OpenSearch, Glue Studio visual ETL, cost optimization patterns</t>
  </si>
  <si>
    <t xml:space="preserve">AWS DEA | AWS OpenSearch docs</t>
  </si>
  <si>
    <t xml:space="preserve">AWS DEA-C01 Practice Set 1: Tutorials Dojo 65 questions timed — target 85%+</t>
  </si>
  <si>
    <t xml:space="preserve">AWS DEA | Tutorials Dojo DEA-C01 practice exam</t>
  </si>
  <si>
    <t xml:space="preserve">DSA: Full loop mock — DSA (45) + HLD (45) + Behavioral (30), record</t>
  </si>
  <si>
    <t xml:space="preserve">Pramp.com or self-mock on Zoom</t>
  </si>
  <si>
    <t xml:space="preserve">AWS DEA-C01 Practice Set 2: Tutorials Dojo Set 2 — review every wrong answer</t>
  </si>
  <si>
    <t xml:space="preserve">AWS DEA | Tutorials Dojo DEA-C01 Set 2</t>
  </si>
  <si>
    <t xml:space="preserve">AWS DEA-C01 final revision: Glue vs EMR vs Lambda, Kinesis vs MSK, Redshift vs Athena</t>
  </si>
  <si>
    <t xml:space="preserve">AWS DEA | AWS service decision cheat sheet</t>
  </si>
  <si>
    <t xml:space="preserve">📅 EXAM DAY — AWS Certified Data Engineer Associate (DEA-C01)</t>
  </si>
  <si>
    <t xml:space="preserve">AWS DEA | Pearson VUE — 130 min, 65 questions</t>
  </si>
  <si>
    <t xml:space="preserve">AWS debrief + fill weak areas, design complete AWS data platform</t>
  </si>
  <si>
    <t xml:space="preserve">AWS DEA | AWS exam score report + hands-on</t>
  </si>
  <si>
    <t xml:space="preserve">AWS architecture deep: design Kinesis+Flink+Iceberg+Glue+Redshift platform</t>
  </si>
  <si>
    <t xml:space="preserve">AWS DEA | AWS Free Tier hands-on</t>
  </si>
  <si>
    <t xml:space="preserve">AWS HLD practice: 3 scenarios — fintech CDC, e-commerce lake, ML feature store</t>
  </si>
  <si>
    <t xml:space="preserve">ByteByteGo YouTube — AWS system design</t>
  </si>
  <si>
    <t xml:space="preserve">DSA: Hard mixed — 45 min timed, 2 hard problems, full explanation</t>
  </si>
  <si>
    <t xml:space="preserve">neetcode.io Hard section</t>
  </si>
  <si>
    <t xml:space="preserve">Apply: First 10 applications — Amazon, Flipkart, Microsoft, Swiggy, Meesho</t>
  </si>
  <si>
    <t xml:space="preserve">LinkedIn Easy Apply + Naukri + company careers</t>
  </si>
  <si>
    <t xml:space="preserve">Apply cont: Tailored cover messages, referral outreach on LinkedIn</t>
  </si>
  <si>
    <t xml:space="preserve">LinkedIn network + Glassdoor + AngelList</t>
  </si>
  <si>
    <t xml:space="preserve">M15</t>
  </si>
  <si>
    <t xml:space="preserve">AI/LLM Foundations: tokenization, embeddings, transformer attention, context window</t>
  </si>
  <si>
    <t xml:space="preserve">DeepLearning.AI: LangChain for LLM Dev (free)</t>
  </si>
  <si>
    <t xml:space="preserve">Vector DBs: HNSW algorithm, IVF, Product Quantization — the math behind all of them</t>
  </si>
  <si>
    <t xml:space="preserve">Pinecone learning center: HNSW explained (free)</t>
  </si>
  <si>
    <t xml:space="preserve">Vector DBs: pgvector, Pinecone, Qdrant, Weaviate (hybrid search), Chroma, Azure AI Search</t>
  </si>
  <si>
    <t xml:space="preserve">Azure AI Search docs + pgvector GitHub</t>
  </si>
  <si>
    <t xml:space="preserve">RAG Architecture: chunking strategies, dense+sparse+hybrid retrieval, re-ranking</t>
  </si>
  <si>
    <t xml:space="preserve">DeepLearning.AI: Building Advanced RAG (free)</t>
  </si>
  <si>
    <t xml:space="preserve">DSA: Amazon + Flipkart combined top 30 — timed 45 min, explain every thought</t>
  </si>
  <si>
    <t xml:space="preserve">LeetCode combined company filter</t>
  </si>
  <si>
    <t xml:space="preserve">Azure OpenAI: API patterns (chat/streaming/function calling/structured outputs)</t>
  </si>
  <si>
    <t xml:space="preserve">P34: Build RAG pipeline — Azure OpenAI + Azure AI Search + Fabric Lakehouse</t>
  </si>
  <si>
    <t xml:space="preserve">Azure AI Studio hands-on</t>
  </si>
  <si>
    <t xml:space="preserve">LLM for DE: NL-to-SQL (schema injection, validation layer), data quality agent</t>
  </si>
  <si>
    <t xml:space="preserve">OpenAI cookbook: text-to-SQL (free)</t>
  </si>
  <si>
    <t xml:space="preserve">LLMOps: MLflow LLM tracking, prompt versioning, A/B eval, cost/latency monitoring</t>
  </si>
  <si>
    <t xml:space="preserve">DeepLearning.AI: LLMOps (free)</t>
  </si>
  <si>
    <t xml:space="preserve">LangChain for DE: chains, prompts, output parsers, agents, LangGraph stateful workflows</t>
  </si>
  <si>
    <t xml:space="preserve">DeepLearning.AI: LangChain (free)</t>
  </si>
  <si>
    <t xml:space="preserve">Feature Stores: Feast, Azure ML feature store, Databricks Feature Engineering</t>
  </si>
  <si>
    <t xml:space="preserve">feast.dev docs + Azure ML feature store</t>
  </si>
  <si>
    <t xml:space="preserve">DSA: Final hard problems — 45 min timed, 2 hard problems</t>
  </si>
  <si>
    <t xml:space="preserve">Responsible AI: PII detection (Azure Presidio), content filtering, prompt injection</t>
  </si>
  <si>
    <t xml:space="preserve">Microsoft Learn: Responsible AI</t>
  </si>
  <si>
    <t xml:space="preserve">P35: Build NL-to-SQL on Synapse/Fabric — with validation + audit logging</t>
  </si>
  <si>
    <t xml:space="preserve">Azure OpenAI + Synapse hands-on</t>
  </si>
  <si>
    <t xml:space="preserve">AI/LLM: RAGAS evaluation, advanced RAG (parent-doc retrieval, HyDE, ColBERT)</t>
  </si>
  <si>
    <t xml:space="preserve">RAGAS docs + DeepLearning.AI RAG</t>
  </si>
  <si>
    <t xml:space="preserve">AI/LLM interview prep: 5 design questions (RAG, NL-to-SQL, vector DB selection)</t>
  </si>
  <si>
    <t xml:space="preserve">Practice questions from docx</t>
  </si>
  <si>
    <t xml:space="preserve">Review all AI/LLM topics — build 1-page cheat sheet</t>
  </si>
  <si>
    <t xml:space="preserve">Self-review</t>
  </si>
  <si>
    <t xml:space="preserve">P35 cont: Deploy NL-to-SQL in production with rate limiting + error handling</t>
  </si>
  <si>
    <t xml:space="preserve">Azure Functions + Azure OpenAI</t>
  </si>
  <si>
    <t xml:space="preserve">DSA: Mixed company mock — 45 min, 1 Amazon + 1 Flipkart problem, record yourself</t>
  </si>
  <si>
    <t xml:space="preserve">LeetCode + Pramp.com</t>
  </si>
  <si>
    <t xml:space="preserve">Apply: 10 more applications — Razorpay, PhonePe, Zepto, Walmart Global Tech</t>
  </si>
  <si>
    <t xml:space="preserve">LinkedIn + Naukri + referrals</t>
  </si>
  <si>
    <t xml:space="preserve">Apply cont: International roles (Singapore, Dubai, UK, Canada remote)</t>
  </si>
  <si>
    <t xml:space="preserve">LinkedIn international filter + Glassdoor</t>
  </si>
  <si>
    <t xml:space="preserve">M16</t>
  </si>
  <si>
    <t xml:space="preserve">DDIA Ch.1-3: Reliability, Scalability (percentiles), B-tree vs LSM storage engines</t>
  </si>
  <si>
    <t xml:space="preserve">DDIA pp.3-101 (Martin Kleppmann)</t>
  </si>
  <si>
    <t xml:space="preserve">DDIA Ch.5-6: Replication (leader/multi-leader/leaderless), Partitioning strategies</t>
  </si>
  <si>
    <t xml:space="preserve">DDIA Ch.5-6 pp.151-228</t>
  </si>
  <si>
    <t xml:space="preserve">DDIA Ch.7: Transactions — ACID, isolation levels (READ COMMITTED/REPEATABLE/SERIALIZABLE)</t>
  </si>
  <si>
    <t xml:space="preserve">DDIA Ch.7 pp.221-264</t>
  </si>
  <si>
    <t xml:space="preserve">DDIA Ch.8-11: Distributed faults, CAP, consensus (Raft/Paxos), batch+stream processing</t>
  </si>
  <si>
    <t xml:space="preserve">DDIA Ch.8-11 pp.273-490</t>
  </si>
  <si>
    <t xml:space="preserve">DSA: Amazon 5-round simulation with peer (DSA+HLD+LLD+Behavioral×2)</t>
  </si>
  <si>
    <t xml:space="preserve">Pramp.com or peer mock</t>
  </si>
  <si>
    <t xml:space="preserve">HLD: Lambda vs Kappa vs Data Mesh vs Medallion — deep comparison, real examples</t>
  </si>
  <si>
    <t xml:space="preserve">Fundamentals of DE Ch.3-4 + ByteByteGo YouTube</t>
  </si>
  <si>
    <t xml:space="preserve">HLD Practice: Design Flipkart data lake — components, scale, SLA, governance</t>
  </si>
  <si>
    <t xml:space="preserve">draw.io + whiteboard + 45 min timer</t>
  </si>
  <si>
    <t xml:space="preserve">HLD Practice: Design Swiggy real-time order analytics — 5-second SLA on metrics</t>
  </si>
  <si>
    <t xml:space="preserve">Architecture design + draw.io</t>
  </si>
  <si>
    <t xml:space="preserve">HLD Practice: Design Amazon fraud detection — 500K TPS, ML feature pipeline</t>
  </si>
  <si>
    <t xml:space="preserve">HLD Practice: Multi-cloud Azure+AWS with Delta Sharing + unified governance</t>
  </si>
  <si>
    <t xml:space="preserve">LLD: ETL framework (abstract base + concrete), Rate limiter (4 algorithms), LRU Cache</t>
  </si>
  <si>
    <t xml:space="preserve">refactoring.guru + implement in Python</t>
  </si>
  <si>
    <t xml:space="preserve">DSA: 45 min mock — 2 hard problems, explain approach before coding, no hints</t>
  </si>
  <si>
    <t xml:space="preserve">LeetCode contest-style</t>
  </si>
  <si>
    <t xml:space="preserve">LLD: DAG scheduler (topological sort + parallel exec), Pipeline retry decorator</t>
  </si>
  <si>
    <t xml:space="preserve">Python LLD implementation + tests</t>
  </si>
  <si>
    <t xml:space="preserve">Mock Full Loop #1 — 2 hrs: DSA(45)+HLD(45)+Behavioral(30) — record + review</t>
  </si>
  <si>
    <t xml:space="preserve">CI/CD: Azure DevOps YAML pipelines for data — stages, approvals, variable groups</t>
  </si>
  <si>
    <t xml:space="preserve">Microsoft Learn: Azure DevOps YAML</t>
  </si>
  <si>
    <t xml:space="preserve">DataOps: pipeline testing (unit/integration/e2e), data contracts, Great Expectations</t>
  </si>
  <si>
    <t xml:space="preserve">Data quality: Soda YAML checks, anomaly detection, schema drift, freshness alerts</t>
  </si>
  <si>
    <t xml:space="preserve">docs.soda.io + monitoring patterns</t>
  </si>
  <si>
    <t xml:space="preserve">P-Capstone: Full Azure data platform — ADF+ADLS+Databricks+Synapse+OpenAI NL layer</t>
  </si>
  <si>
    <t xml:space="preserve">All Azure services + OpenAI capstone</t>
  </si>
  <si>
    <t xml:space="preserve">DSA: Company-specific mock — Microsoft + ThoughtWorks problems, 45 min</t>
  </si>
  <si>
    <t xml:space="preserve">LeetCode Microsoft filter</t>
  </si>
  <si>
    <t xml:space="preserve">Apply: 20 more applications — include international + fintech + e-commerce</t>
  </si>
  <si>
    <t xml:space="preserve">Mock Full Loop #2 — Flipkart-style (machine coding 90min + HLD 45min)</t>
  </si>
  <si>
    <t xml:space="preserve">Flipkart interview prep + Pramp</t>
  </si>
  <si>
    <t xml:space="preserve">M17</t>
  </si>
  <si>
    <t xml:space="preserve">STAR Stories: Customer Obsession, Dive Deep, Invent &amp; Simplify (write + 2-min practice)</t>
  </si>
  <si>
    <t xml:space="preserve">Amazon LP guide + record yourself</t>
  </si>
  <si>
    <t xml:space="preserve">STAR Stories: Deliver Results, Ownership, Bias for Action (write + 2-min practice)</t>
  </si>
  <si>
    <t xml:space="preserve">STAR Stories: Think Big, Are Right A Lot, Earn Trust (write + practice)</t>
  </si>
  <si>
    <t xml:space="preserve">Amazon LP guide + peer review</t>
  </si>
  <si>
    <t xml:space="preserve">Resume: Quantify every bullet — %, $, rows/sec, latency reduction, cost savings</t>
  </si>
  <si>
    <t xml:space="preserve">Resume engineering + portfolio push</t>
  </si>
  <si>
    <t xml:space="preserve">DSA: Amazon top 50 — 45 min timed, explain every decision aloud</t>
  </si>
  <si>
    <t xml:space="preserve">LeetCode Amazon filter — hard</t>
  </si>
  <si>
    <t xml:space="preserve">Portfolio: GitHub README for all 35 projects — problem+architecture+decisions+results</t>
  </si>
  <si>
    <t xml:space="preserve">GitHub + draw.io architecture diagrams</t>
  </si>
  <si>
    <t xml:space="preserve">Mock Full Loop #3 — Amazon-style (DSA + 2×HLD + Bar Raiser behavioral) — record</t>
  </si>
  <si>
    <t xml:space="preserve">Amazon interview prep guide + Pramp</t>
  </si>
  <si>
    <t xml:space="preserve">Technical deep dive: Weakest topic — 2hr targeted study session</t>
  </si>
  <si>
    <t xml:space="preserve">Revisit weakest module</t>
  </si>
  <si>
    <t xml:space="preserve">HLD practice: Design Razorpay fintech data platform (payments, compliance, real-time)</t>
  </si>
  <si>
    <t xml:space="preserve">45 min whiteboard + draw.io</t>
  </si>
  <si>
    <t xml:space="preserve">LLD practice: Rate limiter + LRU Cache — implement cleanly with tests in 45 min</t>
  </si>
  <si>
    <t xml:space="preserve">Classic LLD problems</t>
  </si>
  <si>
    <t xml:space="preserve">Salary research: Levels.fyi TC breakdown, Glassdoor India, AmbitionBox</t>
  </si>
  <si>
    <t xml:space="preserve">levels.fyi + AmbitionBox</t>
  </si>
  <si>
    <t xml:space="preserve">DSA: Flipkart + Amazon combined hard — 45 min, 2 hard problems</t>
  </si>
  <si>
    <t xml:space="preserve">Apply: 20 more applications + international (Singapore, Dubai, UK, Canada remote)</t>
  </si>
  <si>
    <t xml:space="preserve">Mock Full Loop #4 — Flipkart style (machine coding 90 min + DSA + HLD)</t>
  </si>
  <si>
    <t xml:space="preserve">Flipkart interview prep + peer review</t>
  </si>
  <si>
    <t xml:space="preserve">Technical interview prep: 10 hardest DE questions — answer each in 5 min or less</t>
  </si>
  <si>
    <t xml:space="preserve">Review all 16 modules</t>
  </si>
  <si>
    <t xml:space="preserve">System design final: 3 HLD scenarios timed 45min — Zomato, PhonePe, Zepto</t>
  </si>
  <si>
    <t xml:space="preserve">Negotiate: counter-offer scripts, equity breakdown, joining bonus, ESOP vesting</t>
  </si>
  <si>
    <t xml:space="preserve">levels.fyi negotiation guide</t>
  </si>
  <si>
    <t xml:space="preserve">Portfolio final push: LinkedIn post, GitHub stars, 7 cert badges on profile</t>
  </si>
  <si>
    <t xml:space="preserve">LinkedIn + GitHub + Credly</t>
  </si>
  <si>
    <t xml:space="preserve">DSA: Final 45 min hard mock — record yourself, no hints</t>
  </si>
  <si>
    <t xml:space="preserve">LeetCode + record explanation</t>
  </si>
  <si>
    <t xml:space="preserve">Apply: Final batch — 20 more (aim 80+ total applications by this week)</t>
  </si>
  <si>
    <t xml:space="preserve">LinkedIn + referrals + company career pages</t>
  </si>
  <si>
    <t xml:space="preserve">Mock Full Loop #5 — Microsoft style (coding + technical depth + behavioral)</t>
  </si>
  <si>
    <t xml:space="preserve">Microsoft interview prep guide</t>
  </si>
  <si>
    <t xml:space="preserve">Review interview feedback — identify top 3 gaps, 2-hr targeted study</t>
  </si>
  <si>
    <t xml:space="preserve">Self-review + mentor feedback</t>
  </si>
  <si>
    <t xml:space="preserve">Final HLD: Design data platform for a company you are actually interviewing at</t>
  </si>
  <si>
    <t xml:space="preserve">Company engineering blog + draw.io</t>
  </si>
  <si>
    <t xml:space="preserve">Behavioral polish: Re-record all 15 LP stories, time each to 2 min exactly</t>
  </si>
  <si>
    <t xml:space="preserve">Record + review + improve</t>
  </si>
  <si>
    <t xml:space="preserve">DSA final review: Top 20 problems across Amazon/Flipkart — solve once more</t>
  </si>
  <si>
    <t xml:space="preserve">LeetCode top company problems</t>
  </si>
  <si>
    <t xml:space="preserve">DSA: 45 min final mock — clean code, edge cases, complexity analysis</t>
  </si>
  <si>
    <t xml:space="preserve">LeetCode + Pramp</t>
  </si>
  <si>
    <t xml:space="preserve">🎉 Week 47 milestone: All 7 certs earned, 35+ projects built, 80+ applications sent!</t>
  </si>
  <si>
    <t xml:space="preserve">Celebrate + keep applying + negotiate hard</t>
  </si>
  <si>
    <t xml:space="preserve">Continue applying, interviewing, negotiating — roadmap complete, keep going!</t>
  </si>
  <si>
    <t xml:space="preserve">The skills are built. The offers will come.</t>
  </si>
  <si>
    <t xml:space="preserve">Buffer: Re-study weakest module based on real interview feedback</t>
  </si>
  <si>
    <t xml:space="preserve">Revisit relevant module</t>
  </si>
  <si>
    <t xml:space="preserve">Buffer: Company-specific deep prep for scheduled interviews</t>
  </si>
  <si>
    <t xml:space="preserve">Company engineering blog</t>
  </si>
  <si>
    <t xml:space="preserve">Buffer: DSA patterns still weak — targeted practice</t>
  </si>
  <si>
    <t xml:space="preserve">neetcode.io weak areas</t>
  </si>
  <si>
    <t xml:space="preserve">Buffer: Cert renewal or new cert (AZ-204 Azure AI Engineer if desired)</t>
  </si>
  <si>
    <t xml:space="preserve">Microsoft Learn</t>
  </si>
  <si>
    <t xml:space="preserve">DSA: 45 min timed mock — company-specific</t>
  </si>
  <si>
    <t xml:space="preserve">LeetCode company filter</t>
  </si>
  <si>
    <t xml:space="preserve">Follow up on pending applications, schedule interviews</t>
  </si>
  <si>
    <t xml:space="preserve">Email + LinkedIn</t>
  </si>
  <si>
    <t xml:space="preserve">Mock loop if needed — full 2-hr loop with peer for upcoming interview</t>
  </si>
  <si>
    <t xml:space="preserve">Pramp.com or peer</t>
  </si>
  <si>
    <t xml:space="preserve">Advanced: Spark 3.5 new features, Flink 1.20 updates, Fabric new releases</t>
  </si>
  <si>
    <t xml:space="preserve">Databricks + Flink + Fabric release notes</t>
  </si>
  <si>
    <t xml:space="preserve">Advanced: AWS new data services released after Week 37</t>
  </si>
  <si>
    <t xml:space="preserve">AWS What's New blog</t>
  </si>
  <si>
    <t xml:space="preserve">Practice: DE interview questions specific to fintech (PII, compliance, reconciliation)</t>
  </si>
  <si>
    <t xml:space="preserve">Fintech DE interview guide</t>
  </si>
  <si>
    <t xml:space="preserve">Practice: DE questions specific to e-commerce (recommendations, inventory, A/B)</t>
  </si>
  <si>
    <t xml:space="preserve">E-commerce DE interview guide</t>
  </si>
  <si>
    <t xml:space="preserve">DSA: 45 min timed mock + review</t>
  </si>
  <si>
    <t xml:space="preserve">Continue active interviews and negotiations</t>
  </si>
  <si>
    <t xml:space="preserve">Active job search</t>
  </si>
  <si>
    <t xml:space="preserve">Rest and reflect — 49 weeks of learning — you are ready</t>
  </si>
  <si>
    <t xml:space="preserve">You have built the skills</t>
  </si>
  <si>
    <t xml:space="preserve">Company-specific deep prep for current interview loop</t>
  </si>
  <si>
    <t xml:space="preserve">Company engineering blog + tech stack</t>
  </si>
  <si>
    <t xml:space="preserve">System design specific to target company's scale</t>
  </si>
  <si>
    <t xml:space="preserve">DSA patterns specific to target company</t>
  </si>
  <si>
    <t xml:space="preserve">Behavioral — refine LP stories based on interview feedback</t>
  </si>
  <si>
    <t xml:space="preserve">STAR story refinement</t>
  </si>
  <si>
    <t xml:space="preserve">DSA: Final mock 45 min timed</t>
  </si>
  <si>
    <t xml:space="preserve">Follow up on all pending applications and interview loops</t>
  </si>
  <si>
    <t xml:space="preserve">Rest — 50 weeks — the job will come</t>
  </si>
  <si>
    <t xml:space="preserve">Take a break</t>
  </si>
  <si>
    <t xml:space="preserve">Any remaining cert prep or retake if needed</t>
  </si>
  <si>
    <t xml:space="preserve">Relevant cert exam guide</t>
  </si>
  <si>
    <t xml:space="preserve">Update portfolio — add new projects or certifications</t>
  </si>
  <si>
    <t xml:space="preserve">GitHub + LinkedIn</t>
  </si>
  <si>
    <t xml:space="preserve">Practice: fintech DE scenarios (PII, reconciliation, compliance)</t>
  </si>
  <si>
    <t xml:space="preserve">Fintech interview prep</t>
  </si>
  <si>
    <t xml:space="preserve">Practice: e-commerce DE scenarios (recommendations, A/B, inventory)</t>
  </si>
  <si>
    <t xml:space="preserve">E-commerce interview prep</t>
  </si>
  <si>
    <t xml:space="preserve">DSA: 45 min timed mock</t>
  </si>
  <si>
    <t xml:space="preserve">Active job search: negotiate any pending offers</t>
  </si>
  <si>
    <t xml:space="preserve">Negotiation scripts</t>
  </si>
  <si>
    <t xml:space="preserve">Week 51: Keep going. 80+ LPA is close.</t>
  </si>
  <si>
    <t xml:space="preserve">Final mock loop — complete 5-round simulation with all topics</t>
  </si>
  <si>
    <t xml:space="preserve">Final resume update with all 7 certs + all 35 projects</t>
  </si>
  <si>
    <t xml:space="preserve">Resume final polish</t>
  </si>
  <si>
    <t xml:space="preserve">Final portfolio — all projects with architecture diagrams live on GitHub</t>
  </si>
  <si>
    <t xml:space="preserve">GitHub portfolio</t>
  </si>
  <si>
    <t xml:space="preserve">Final application batch — any remaining target companies</t>
  </si>
  <si>
    <t xml:space="preserve">LinkedIn + company careers</t>
  </si>
  <si>
    <t xml:space="preserve">DSA: Final 45 min timed — company-specific hard problems</t>
  </si>
  <si>
    <t xml:space="preserve">Write LinkedIn post about your 52-week journey</t>
  </si>
  <si>
    <t xml:space="preserve">LinkedIn post</t>
  </si>
  <si>
    <t xml:space="preserve">Week 52: 7 certs. 35+ projects. 200+ DSA. Apply confidently.</t>
  </si>
  <si>
    <t xml:space="preserve">Keep applying. Keep negotiating.</t>
  </si>
  <si>
    <t xml:space="preserve">Final buffer: Address remaining interview loop or negotiation</t>
  </si>
  <si>
    <t xml:space="preserve">Active interviews</t>
  </si>
  <si>
    <t xml:space="preserve">Advanced study: any new topic that emerged during interviews</t>
  </si>
  <si>
    <t xml:space="preserve">Study based on interview gaps</t>
  </si>
  <si>
    <t xml:space="preserve">Cert renewal check (Spark Assoc expires 2 years from exam date)</t>
  </si>
  <si>
    <t xml:space="preserve">Spark Assoc | Databricks cert renewal</t>
  </si>
  <si>
    <t xml:space="preserve">Document lessons learned — what worked, what to improve</t>
  </si>
  <si>
    <t xml:space="preserve">Personal reflection + notes</t>
  </si>
  <si>
    <t xml:space="preserve">DSA: One final 45 min mock — celebrate your progress</t>
  </si>
  <si>
    <t xml:space="preserve">🎉 WEEK 53 COMPLETE — Roadmap done. 80+ LPA is yours to take.</t>
  </si>
  <si>
    <t xml:space="preserve">You did it. Now negotiate hard.</t>
  </si>
  <si>
    <t xml:space="preserve">Welcome to 80+ LPA. Keep growing. Keep building.</t>
  </si>
  <si>
    <t xml:space="preserve">Keep growing. Keep building.</t>
  </si>
  <si>
    <t xml:space="preserve">📆  DAILY SCHEDULE — Azure DE 53-Week Roadmap | 371 sessions | 30 Mar 2026 → 04 Apr 2027</t>
  </si>
  <si>
    <t xml:space="preserve">12-15 hrs/week | DSA 30 min daily | Weekends 4-5 hrs | [COURSE]=GrowDataSkills | [GAP]=self-study</t>
  </si>
  <si>
    <t xml:space="preserve">Topic (current)</t>
  </si>
  <si>
    <t xml:space="preserve">Time Band</t>
  </si>
  <si>
    <t xml:space="preserve">Swap Flag</t>
  </si>
  <si>
    <t xml:space="preserve">Swap To →</t>
  </si>
  <si>
    <t xml:space="preserve">Swapped?</t>
  </si>
  <si>
    <t xml:space="preserve">Swap Date</t>
  </si>
  <si>
    <t xml:space="preserve">Resource / Cert</t>
  </si>
  <si>
    <t xml:space="preserve">── WEEK 1  ·  30 Mar – 05 Apr 2026  ·  M0-Orientation ──</t>
  </si>
  <si>
    <t xml:space="preserve">🕐 ≤1h</t>
  </si>
  <si>
    <t xml:space="preserve">— Keep as planned</t>
  </si>
  <si>
    <t xml:space="preserve">roadmap.sh/data-engineer + Fundamentals of DE</t>
  </si>
  <si>
    <t xml:space="preserve">🕒 1-2h</t>
  </si>
  <si>
    <t xml:space="preserve">🕔 2-4h</t>
  </si>
  <si>
    <t xml:space="preserve">── WEEK 2  ·  06 Apr – 12 Apr 2026  ·  M1-SQL ──</t>
  </si>
  <si>
    <t xml:space="preserve">── WEEK 3  ·  13 Apr – 19 Apr 2026  ·  M1-SQL ──</t>
  </si>
  <si>
    <t xml:space="preserve">── WEEK 4  ·  20 Apr – 26 Apr 2026  ·  M1-SQL ──</t>
  </si>
  <si>
    <t xml:space="preserve">── WEEK 5  ·  27 Apr – 03 May 2026  ·  M2-Python ──</t>
  </si>
  <si>
    <t xml:space="preserve">── WEEK 6  ·  04 May – 10 May 2026  ·  M2-Python ──</t>
  </si>
  <si>
    <t xml:space="preserve">── WEEK 7  ·  11 May – 17 May 2026  ·  M2-Python ──</t>
  </si>
  <si>
    <t xml:space="preserve">refactoring.guru/design-patterns/python (free</t>
  </si>
  <si>
    <t xml:space="preserve">── WEEK 8  ·  18 May – 24 May 2026  ·  M3-BigData ──</t>
  </si>
  <si>
    <t xml:space="preserve">GrowDataSkills AWS M3 + Fundamentals of DE Ch</t>
  </si>
  <si>
    <t xml:space="preserve">── WEEK 9  ·  25 May – 31 May 2026  ·  M3-BigData ──</t>
  </si>
  <si>
    <t xml:space="preserve">── WEEK 10  ·  01 Jun – 07 Jun 2026  ·  M4-Kafka ──</t>
  </si>
  <si>
    <t xml:space="preserve">Kafka Definitive Guide 2E Ch.3 (FREE via Conf</t>
  </si>
  <si>
    <t xml:space="preserve">── WEEK 11  ·  08 Jun – 14 Jun 2026  ·  M4-Kafka ──</t>
  </si>
  <si>
    <t xml:space="preserve">── WEEK 12  ·  15 Jun – 21 Jun 2026  ·  M5-NoSQL ──</t>
  </si>
  <si>
    <t xml:space="preserve">── WEEK 13  ·  22 Jun – 28 Jun 2026  ·  M5-NoSQL ──</t>
  </si>
  <si>
    <t xml:space="preserve">AWS DEA | GrowDataSkills AWS M10 + The DynamoDB </t>
  </si>
  <si>
    <t xml:space="preserve">AWS DEA | Elasticsearch Definitive Guide (free o</t>
  </si>
  <si>
    <t xml:space="preserve">── WEEK 14  ·  29 Jun – 05 Jul 2026  ·  M6-Spark ──</t>
  </si>
  <si>
    <t xml:space="preserve">── WEEK 15  ·  06 Jul – 12 Jul 2026  ·  M6-Spark ──</t>
  </si>
  <si>
    <t xml:space="preserve">Spark Assoc | Learning Spark 2E Ch.8 (FREE PDF from </t>
  </si>
  <si>
    <t xml:space="preserve">Spark Assoc | Databricks tech talk: Spark Performanc</t>
  </si>
  <si>
    <t xml:space="preserve">── WEEK 16  ·  13 Jul – 19 Jul 2026  ·  M6-Spark ──</t>
  </si>
  <si>
    <t xml:space="preserve">Spark Assoc | Udemy: Databricks Certified Associate </t>
  </si>
  <si>
    <t xml:space="preserve">Spark Assoc | Official Databricks exam guide + Skill</t>
  </si>
  <si>
    <t xml:space="preserve">── WEEK 17  ·  20 Jul – 26 Jul 2026  ·  M6-Spark ──</t>
  </si>
  <si>
    <t xml:space="preserve">Spark Assoc | Review exam score report + redo weak t</t>
  </si>
  <si>
    <t xml:space="preserve">── WEEK 18  ·  27 Jul – 02 Aug 2026  ·  M7-OpenTable ──</t>
  </si>
  <si>
    <t xml:space="preserve">DE Assoc | GrowDataSkills Databricks M8 + docs.de</t>
  </si>
  <si>
    <t xml:space="preserve">── WEEK 19  ·  03 Aug – 09 Aug 2026  ·  M7-OpenTable ──</t>
  </si>
  <si>
    <t xml:space="preserve">── WEEK 20  ·  10 Aug – 16 Aug 2026  ·  M8-Databricks ──</t>
  </si>
  <si>
    <t xml:space="preserve">── WEEK 21  ·  17 Aug – 23 Aug 2026  ·  M8-Databricks ──</t>
  </si>
  <si>
    <t xml:space="preserve">DE Prof | skillcertpro.com Databricks DE Profess</t>
  </si>
  <si>
    <t xml:space="preserve">── WEEK 22  ·  24 Aug – 30 Aug 2026  ·  M9-Airflow ──</t>
  </si>
  <si>
    <t xml:space="preserve">── WEEK 23  ·  31 Aug – 06 Sep 2026  ·  M10-Flink ──</t>
  </si>
  <si>
    <t xml:space="preserve">flink.apache.org/docs/dev/stream/operators/wi</t>
  </si>
  <si>
    <t xml:space="preserve">── WEEK 24  ·  07 Sep – 13 Sep 2026  ·  M10-Flink ──</t>
  </si>
  <si>
    <t xml:space="preserve">── WEEK 25  ·  14 Sep – 20 Sep 2026  ·  M10-Flink ──</t>
  </si>
  <si>
    <t xml:space="preserve">Practice: build in-memory order management sy</t>
  </si>
  <si>
    <t xml:space="preserve">── WEEK 26  ·  21 Sep – 27 Sep 2026  ·  M11-DWH/dbt ──</t>
  </si>
  <si>
    <t xml:space="preserve">── WEEK 27  ·  28 Sep – 04 Oct 2026  ·  M11-DWH/dbt ──</t>
  </si>
  <si>
    <t xml:space="preserve">courses.getdbt.com + Databricks dbt integrati</t>
  </si>
  <si>
    <t xml:space="preserve">── WEEK 28  ·  05 Oct – 11 Oct 2026  ·  M11-DWH/dbt ──</t>
  </si>
  <si>
    <t xml:space="preserve">── WEEK 29  ·  12 Oct – 18 Oct 2026  ·  M12-Snowflake ──</t>
  </si>
  <si>
    <t xml:space="preserve">── WEEK 30  ·  19 Oct – 25 Oct 2026  ·  M12-Snowflake ──</t>
  </si>
  <si>
    <t xml:space="preserve">SnowPro Adv | Medium: SnowPro Advanced DE Prep — Som</t>
  </si>
  <si>
    <t xml:space="preserve">── WEEK 31  ·  26 Oct – 01 Nov 2026  ·  M13-Azure ──</t>
  </si>
  <si>
    <t xml:space="preserve">DP-700 | Microsoft Learn: ADF CI/CD best practi</t>
  </si>
  <si>
    <t xml:space="preserve">DP-700 | Microsoft Learn: ADLS Gen2 access cont</t>
  </si>
  <si>
    <t xml:space="preserve">── WEEK 32  ·  02 Nov – 08 Nov 2026  ·  M13-Azure ──</t>
  </si>
  <si>
    <t xml:space="preserve">DP-700 | Microsoft Learn practice assessment (o</t>
  </si>
  <si>
    <t xml:space="preserve">── WEEK 33  ·  09 Nov – 15 Nov 2026  ·  M13-Azure ──</t>
  </si>
  <si>
    <t xml:space="preserve">DP-600 | Microsoft Learn: Fabric semantic model</t>
  </si>
  <si>
    <t xml:space="preserve">DP-600 | Microsoft Learn DP-600 practice assess</t>
  </si>
  <si>
    <t xml:space="preserve">── WEEK 34  ·  16 Nov – 22 Nov 2026  ·  M13-Azure ──</t>
  </si>
  <si>
    <t xml:space="preserve">── WEEK 35  ·  23 Nov – 29 Nov 2026  ·  M14-AWS ──</t>
  </si>
  <si>
    <t xml:space="preserve">── WEEK 36  ·  30 Nov – 06 Dec 2026  ·  M14-AWS ──</t>
  </si>
  <si>
    <t xml:space="preserve">── WEEK 37  ·  07 Dec – 13 Dec 2026  ·  M14-AWS ──</t>
  </si>
  <si>
    <t xml:space="preserve">LinkedIn Easy Apply + Naukri + company career</t>
  </si>
  <si>
    <t xml:space="preserve">── WEEK 38  ·  14 Dec – 20 Dec 2026  ·  M15-AI/LLM ──</t>
  </si>
  <si>
    <t xml:space="preserve">Pinecone learning center: HNSW explained (fre</t>
  </si>
  <si>
    <t xml:space="preserve">── WEEK 39  ·  21 Dec – 27 Dec 2026  ·  M15-AI/LLM ──</t>
  </si>
  <si>
    <t xml:space="preserve">── WEEK 40  ·  28 Dec – 03 Jan 2027  ·  M15-AI/LLM ──</t>
  </si>
  <si>
    <t xml:space="preserve">W40</t>
  </si>
  <si>
    <t xml:space="preserve">── WEEK 41  ·  04 Jan – 10 Jan 2027  ·  M16-SysDesign ──</t>
  </si>
  <si>
    <t xml:space="preserve">W41</t>
  </si>
  <si>
    <t xml:space="preserve">Fundamentals of DE Ch.3-4 + ByteByteGo YouTub</t>
  </si>
  <si>
    <t xml:space="preserve">── WEEK 42  ·  11 Jan – 17 Jan 2027  ·  M16-SysDesign ──</t>
  </si>
  <si>
    <t xml:space="preserve">W42</t>
  </si>
  <si>
    <t xml:space="preserve">── WEEK 43  ·  18 Jan – 24 Jan 2027  ·  M16-SysDesign ──</t>
  </si>
  <si>
    <t xml:space="preserve">W43</t>
  </si>
  <si>
    <t xml:space="preserve">── WEEK 44  ·  25 Jan – 31 Jan 2027  ·  M17-Interviews ──</t>
  </si>
  <si>
    <t xml:space="preserve">W44</t>
  </si>
  <si>
    <t xml:space="preserve">── WEEK 45  ·  01 Feb – 07 Feb 2027  ·  M17-Interviews ──</t>
  </si>
  <si>
    <t xml:space="preserve">W45</t>
  </si>
  <si>
    <t xml:space="preserve">── WEEK 46  ·  08 Feb – 14 Feb 2027  ·  M17-Interviews ──</t>
  </si>
  <si>
    <t xml:space="preserve">W46</t>
  </si>
  <si>
    <t xml:space="preserve">── WEEK 47  ·  15 Feb – 21 Feb 2027  ·  M17-Interviews ──</t>
  </si>
  <si>
    <t xml:space="preserve">W47</t>
  </si>
  <si>
    <t xml:space="preserve">── WEEK 48  ·  22 Feb – 28 Feb 2027  ·  M17-Interviews ──</t>
  </si>
  <si>
    <t xml:space="preserve">W48</t>
  </si>
  <si>
    <t xml:space="preserve">── WEEK 49  ·  01 Mar – 07 Mar 2027  ·  M17-Interviews ──</t>
  </si>
  <si>
    <t xml:space="preserve">W49</t>
  </si>
  <si>
    <t xml:space="preserve">── WEEK 50  ·  08 Mar – 14 Mar 2027  ·  M17-Interviews ──</t>
  </si>
  <si>
    <t xml:space="preserve">W50</t>
  </si>
  <si>
    <t xml:space="preserve">── WEEK 51  ·  15 Mar – 21 Mar 2027  ·  M17-Interviews ──</t>
  </si>
  <si>
    <t xml:space="preserve">W51</t>
  </si>
  <si>
    <t xml:space="preserve">── WEEK 52  ·  22 Mar – 28 Mar 2027  ·  M17-Interviews ──</t>
  </si>
  <si>
    <t xml:space="preserve">W52</t>
  </si>
  <si>
    <t xml:space="preserve">── WEEK 53  ·  29 Mar – 04 Apr 2027  ·  M17-Interviews ──</t>
  </si>
  <si>
    <t xml:space="preserve">W53</t>
  </si>
  <si>
    <t xml:space="preserve">🔄  ACTIVE SWAP LOG — shows all active swaps automatically</t>
  </si>
  <si>
    <t xml:space="preserve">Row #</t>
  </si>
  <si>
    <t xml:space="preserve">Original Topic (displaced)</t>
  </si>
  <si>
    <t xml:space="preserve">Replacement Topic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</si>
</sst>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0.0"/>
    <numFmt numFmtId="167" formatCode="0&quot; swaps/wk&quot;"/>
    <numFmt numFmtId="168" formatCode="0.0&quot; left&quot;"/>
    <numFmt numFmtId="169" formatCode="0&quot; topics&quot;"/>
    <numFmt numFmtId="170" formatCode="dd\-mmm\-yy"/>
    <numFmt numFmtId="171" formatCode="General"/>
    <numFmt numFmtId="172" formatCode="dd\-mmm"/>
    <numFmt numFmtId="173" formatCode="0%"/>
    <numFmt numFmtId="174" formatCode="\+0.0;\-0.0;0.0"/>
  </numFmts>
  <fonts count="9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8"/>
      <color rgb="FF1E3A5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283747"/>
      <name val="Arial"/>
      <family val="0"/>
      <charset val="1"/>
    </font>
    <font>
      <b val="true"/>
      <sz val="11"/>
      <color rgb="FF9A7D0A"/>
      <name val="Arial"/>
      <family val="0"/>
      <charset val="1"/>
    </font>
    <font>
      <b val="true"/>
      <sz val="9"/>
      <color rgb="FF1A7A4A"/>
      <name val="Arial"/>
      <family val="0"/>
      <charset val="1"/>
    </font>
    <font>
      <sz val="8"/>
      <color rgb="FF7F8C8D"/>
      <name val="Arial"/>
      <family val="0"/>
      <charset val="1"/>
    </font>
    <font>
      <b val="true"/>
      <sz val="9"/>
      <color rgb="FF922B2B"/>
      <name val="Arial"/>
      <family val="0"/>
      <charset val="1"/>
    </font>
    <font>
      <b val="true"/>
      <sz val="9"/>
      <color rgb="FF0E6665"/>
      <name val="Arial"/>
      <family val="0"/>
      <charset val="1"/>
    </font>
    <font>
      <b val="true"/>
      <sz val="9"/>
      <color rgb="FF2E86C1"/>
      <name val="Arial"/>
      <family val="0"/>
      <charset val="1"/>
    </font>
    <font>
      <b val="true"/>
      <sz val="9"/>
      <color rgb="FFA93226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E67E22"/>
      <name val="Arial"/>
      <family val="0"/>
      <charset val="1"/>
    </font>
    <font>
      <b val="true"/>
      <sz val="9"/>
      <color rgb="FF9A7D0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E3A5F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b val="true"/>
      <sz val="9"/>
      <color rgb="FF6C3483"/>
      <name val="Arial"/>
      <family val="0"/>
      <charset val="1"/>
    </font>
    <font>
      <b val="true"/>
      <sz val="8"/>
      <color rgb="FF7F8C8D"/>
      <name val="Arial"/>
      <family val="0"/>
      <charset val="1"/>
    </font>
    <font>
      <b val="true"/>
      <sz val="16"/>
      <color rgb="FFC0392B"/>
      <name val="Arial"/>
      <family val="0"/>
      <charset val="1"/>
    </font>
    <font>
      <b val="true"/>
      <sz val="8"/>
      <color rgb="FF9A7D0A"/>
      <name val="Arial"/>
      <family val="0"/>
      <charset val="1"/>
    </font>
    <font>
      <b val="true"/>
      <sz val="11"/>
      <color rgb="FFE67E22"/>
      <name val="Arial"/>
      <family val="0"/>
      <charset val="1"/>
    </font>
    <font>
      <b val="true"/>
      <sz val="8"/>
      <color rgb="FF1A7A4A"/>
      <name val="Arial"/>
      <family val="0"/>
      <charset val="1"/>
    </font>
    <font>
      <b val="true"/>
      <sz val="8"/>
      <color rgb="FFA93226"/>
      <name val="Arial"/>
      <family val="0"/>
      <charset val="1"/>
    </font>
    <font>
      <b val="true"/>
      <sz val="8"/>
      <color rgb="FFE67E22"/>
      <name val="Arial"/>
      <family val="0"/>
      <charset val="1"/>
    </font>
    <font>
      <sz val="8"/>
      <color rgb="FF0E6665"/>
      <name val="Arial"/>
      <family val="0"/>
      <charset val="1"/>
    </font>
    <font>
      <sz val="9"/>
      <color rgb="FF283747"/>
      <name val="Arial"/>
      <family val="0"/>
      <charset val="1"/>
    </font>
    <font>
      <b val="true"/>
      <sz val="8"/>
      <color rgb="FF6C3483"/>
      <name val="Arial"/>
      <family val="0"/>
      <charset val="1"/>
    </font>
    <font>
      <sz val="8"/>
      <color rgb="FF2E86C1"/>
      <name val="Arial"/>
      <family val="0"/>
      <charset val="1"/>
    </font>
    <font>
      <b val="true"/>
      <sz val="12"/>
      <color rgb="FF0E6665"/>
      <name val="Arial"/>
      <family val="0"/>
      <charset val="1"/>
    </font>
    <font>
      <b val="true"/>
      <sz val="11"/>
      <color rgb="FF6C3483"/>
      <name val="Arial"/>
      <family val="0"/>
      <charset val="1"/>
    </font>
    <font>
      <b val="true"/>
      <sz val="8"/>
      <color rgb="FF2E86C1"/>
      <name val="Arial"/>
      <family val="0"/>
      <charset val="1"/>
    </font>
    <font>
      <b val="true"/>
      <sz val="8"/>
      <color rgb="FF1E3A5F"/>
      <name val="Arial"/>
      <family val="0"/>
      <charset val="1"/>
    </font>
    <font>
      <sz val="8"/>
      <color rgb="FF1A7A4A"/>
      <name val="Arial"/>
      <family val="0"/>
      <charset val="1"/>
    </font>
    <font>
      <sz val="9"/>
      <color rgb="FFE67E22"/>
      <name val="Arial"/>
      <family val="0"/>
      <charset val="1"/>
    </font>
    <font>
      <sz val="8"/>
      <color rgb="FF6C3483"/>
      <name val="Arial"/>
      <family val="0"/>
      <charset val="1"/>
    </font>
    <font>
      <sz val="8"/>
      <color rgb="FF283747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8"/>
      <color rgb="FF0E6665"/>
      <name val="Arial"/>
      <family val="0"/>
      <charset val="1"/>
    </font>
    <font>
      <sz val="6"/>
      <color rgb="FFF5F7FA"/>
      <name val="Arial"/>
      <family val="0"/>
      <charset val="1"/>
    </font>
    <font>
      <sz val="6"/>
      <color rgb="FFBDC3C7"/>
      <name val="Arial"/>
      <family val="0"/>
      <charset val="1"/>
    </font>
    <font>
      <sz val="9"/>
      <color rgb="FF212F3D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8"/>
      <color rgb="FFC0392B"/>
      <name val="Arial"/>
      <family val="0"/>
      <charset val="1"/>
    </font>
    <font>
      <sz val="8"/>
      <color rgb="FF9A7D0A"/>
      <name val="Arial"/>
      <family val="0"/>
      <charset val="1"/>
    </font>
    <font>
      <b val="true"/>
      <sz val="18"/>
      <color rgb="FF2E86C1"/>
      <name val="Arial"/>
      <family val="0"/>
      <charset val="1"/>
    </font>
    <font>
      <b val="true"/>
      <sz val="18"/>
      <color rgb="FF1A7A4A"/>
      <name val="Arial"/>
      <family val="0"/>
      <charset val="1"/>
    </font>
    <font>
      <b val="true"/>
      <sz val="18"/>
      <color rgb="FFC0392B"/>
      <name val="Arial"/>
      <family val="0"/>
      <charset val="1"/>
    </font>
    <font>
      <b val="true"/>
      <sz val="18"/>
      <color rgb="FF6C3483"/>
      <name val="Arial"/>
      <family val="0"/>
      <charset val="1"/>
    </font>
    <font>
      <b val="true"/>
      <sz val="18"/>
      <color rgb="FF9A7D0A"/>
      <name val="Arial"/>
      <family val="0"/>
      <charset val="1"/>
    </font>
    <font>
      <b val="true"/>
      <sz val="18"/>
      <color rgb="FF0E6665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8"/>
      <color rgb="FFC0392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7"/>
      <color rgb="FFFFFFFF"/>
      <name val="Arial"/>
      <family val="0"/>
      <charset val="1"/>
    </font>
    <font>
      <sz val="7"/>
      <color rgb="FF2E86C1"/>
      <name val="Arial"/>
      <family val="0"/>
      <charset val="1"/>
    </font>
    <font>
      <sz val="7"/>
      <color rgb="FF0E6665"/>
      <name val="Arial"/>
      <family val="0"/>
      <charset val="1"/>
    </font>
    <font>
      <sz val="7"/>
      <color rgb="FF1A7A4A"/>
      <name val="Arial"/>
      <family val="0"/>
      <charset val="1"/>
    </font>
    <font>
      <sz val="7"/>
      <color rgb="FFE67E22"/>
      <name val="Arial"/>
      <family val="0"/>
      <charset val="1"/>
    </font>
    <font>
      <sz val="7"/>
      <color rgb="FF6C3483"/>
      <name val="Arial"/>
      <family val="0"/>
      <charset val="1"/>
    </font>
    <font>
      <sz val="7"/>
      <color rgb="FF9A7D0A"/>
      <name val="Arial"/>
      <family val="0"/>
      <charset val="1"/>
    </font>
    <font>
      <sz val="7"/>
      <color rgb="FF922B2B"/>
      <name val="Arial"/>
      <family val="0"/>
      <charset val="1"/>
    </font>
    <font>
      <sz val="7"/>
      <color rgb="FFC0392B"/>
      <name val="Arial"/>
      <family val="0"/>
      <charset val="1"/>
    </font>
    <font>
      <sz val="7"/>
      <color rgb="FF283747"/>
      <name val="Arial"/>
      <family val="0"/>
      <charset val="1"/>
    </font>
    <font>
      <b val="true"/>
      <sz val="20"/>
      <color rgb="FF1A7A4A"/>
      <name val="Arial"/>
      <family val="0"/>
      <charset val="1"/>
    </font>
    <font>
      <b val="true"/>
      <sz val="20"/>
      <color rgb="FF2E86C1"/>
      <name val="Arial"/>
      <family val="0"/>
      <charset val="1"/>
    </font>
    <font>
      <b val="true"/>
      <sz val="20"/>
      <color rgb="FF9A7D0A"/>
      <name val="Arial"/>
      <family val="0"/>
      <charset val="1"/>
    </font>
    <font>
      <b val="true"/>
      <sz val="20"/>
      <color rgb="FFC0392B"/>
      <name val="Arial"/>
      <family val="0"/>
      <charset val="1"/>
    </font>
    <font>
      <i val="true"/>
      <sz val="8"/>
      <color rgb="FF1A7A4A"/>
      <name val="Arial"/>
      <family val="0"/>
      <charset val="1"/>
    </font>
    <font>
      <i val="true"/>
      <sz val="8"/>
      <color rgb="FF2E86C1"/>
      <name val="Arial"/>
      <family val="0"/>
      <charset val="1"/>
    </font>
    <font>
      <i val="true"/>
      <sz val="8"/>
      <color rgb="FF9A7D0A"/>
      <name val="Arial"/>
      <family val="0"/>
      <charset val="1"/>
    </font>
    <font>
      <i val="true"/>
      <sz val="8"/>
      <color rgb="FFC0392B"/>
      <name val="Arial"/>
      <family val="0"/>
      <charset val="1"/>
    </font>
    <font>
      <b val="true"/>
      <sz val="10"/>
      <color rgb="FF9A7D0A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sz val="9"/>
      <color rgb="FF2E86C1"/>
      <name val="Arial"/>
      <family val="0"/>
      <charset val="1"/>
    </font>
    <font>
      <sz val="9"/>
      <color rgb="FF7F8C8D"/>
      <name val="Arial"/>
      <family val="0"/>
      <charset val="1"/>
    </font>
    <font>
      <b val="true"/>
      <sz val="10"/>
      <color rgb="FF1A7A4A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9"/>
      <color rgb="FF7F8C8D"/>
      <name val="Arial"/>
      <family val="0"/>
      <charset val="1"/>
    </font>
    <font>
      <b val="true"/>
      <sz val="8"/>
      <color rgb="FF922B2B"/>
      <name val="Arial"/>
      <family val="0"/>
      <charset val="1"/>
    </font>
    <font>
      <b val="true"/>
      <sz val="8"/>
      <color rgb="FF283747"/>
      <name val="Arial"/>
      <family val="0"/>
      <charset val="1"/>
    </font>
    <font>
      <sz val="8"/>
      <color rgb="FFE67E22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E3A5F"/>
        <bgColor rgb="FF2C3E50"/>
      </patternFill>
    </fill>
    <fill>
      <patternFill patternType="solid">
        <fgColor rgb="FFD6EAF8"/>
        <bgColor rgb="FFD4EFDF"/>
      </patternFill>
    </fill>
    <fill>
      <patternFill patternType="solid">
        <fgColor rgb="FF283747"/>
        <bgColor rgb="FF2C3E50"/>
      </patternFill>
    </fill>
    <fill>
      <patternFill patternType="solid">
        <fgColor rgb="FFF5F7FA"/>
        <bgColor rgb="FFF9F9F9"/>
      </patternFill>
    </fill>
    <fill>
      <patternFill patternType="solid">
        <fgColor rgb="FFFFFCB4"/>
        <bgColor rgb="FFFEF3DB"/>
      </patternFill>
    </fill>
    <fill>
      <patternFill patternType="solid">
        <fgColor rgb="FFD4EFDF"/>
        <bgColor rgb="FFD6EAF8"/>
      </patternFill>
    </fill>
    <fill>
      <patternFill patternType="solid">
        <fgColor rgb="FFFFFFFF"/>
        <bgColor rgb="FFF9F9F9"/>
      </patternFill>
    </fill>
    <fill>
      <patternFill patternType="solid">
        <fgColor rgb="FFFFEBEB"/>
        <bgColor rgb="FFFDEDEC"/>
      </patternFill>
    </fill>
    <fill>
      <patternFill patternType="solid">
        <fgColor rgb="FF0E6665"/>
        <bgColor rgb="FF1A7A4A"/>
      </patternFill>
    </fill>
    <fill>
      <patternFill patternType="solid">
        <fgColor rgb="FFE1F5F4"/>
        <bgColor rgb="FFD6EAF8"/>
      </patternFill>
    </fill>
    <fill>
      <patternFill patternType="solid">
        <fgColor rgb="FFFDEDEC"/>
        <bgColor rgb="FFFFEBEB"/>
      </patternFill>
    </fill>
    <fill>
      <patternFill patternType="solid">
        <fgColor rgb="FFFEF3DB"/>
        <bgColor rgb="FFFEF9E7"/>
      </patternFill>
    </fill>
    <fill>
      <patternFill patternType="solid">
        <fgColor rgb="FFFEF9E7"/>
        <bgColor rgb="FFFEF3DB"/>
      </patternFill>
    </fill>
    <fill>
      <patternFill patternType="solid">
        <fgColor rgb="FFF5EEF8"/>
        <bgColor rgb="FFFDEDEC"/>
      </patternFill>
    </fill>
    <fill>
      <patternFill patternType="solid">
        <fgColor rgb="FF6C3483"/>
        <bgColor rgb="FF922B2B"/>
      </patternFill>
    </fill>
    <fill>
      <patternFill patternType="solid">
        <fgColor rgb="FFE67E22"/>
        <bgColor rgb="FFFF9900"/>
      </patternFill>
    </fill>
    <fill>
      <patternFill patternType="solid">
        <fgColor rgb="FF2E86C1"/>
        <bgColor rgb="FF339966"/>
      </patternFill>
    </fill>
    <fill>
      <patternFill patternType="solid">
        <fgColor rgb="FF2C3E50"/>
        <bgColor rgb="FF283747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283747"/>
      </left>
      <right style="thin">
        <color rgb="FF283747"/>
      </right>
      <top style="thin">
        <color rgb="FF283747"/>
      </top>
      <bottom style="thin">
        <color rgb="FF283747"/>
      </bottom>
      <diagonal/>
    </border>
    <border diagonalUp="false" diagonalDown="false">
      <left style="medium">
        <color rgb="FF9A7D0A"/>
      </left>
      <right style="medium">
        <color rgb="FF9A7D0A"/>
      </right>
      <top style="medium">
        <color rgb="FF9A7D0A"/>
      </top>
      <bottom style="medium">
        <color rgb="FF9A7D0A"/>
      </bottom>
      <diagonal/>
    </border>
    <border diagonalUp="false" diagonalDown="false">
      <left style="medium">
        <color rgb="FF1A7A4A"/>
      </left>
      <right style="medium">
        <color rgb="FF1A7A4A"/>
      </right>
      <top style="medium">
        <color rgb="FF1A7A4A"/>
      </top>
      <bottom style="medium">
        <color rgb="FF1A7A4A"/>
      </bottom>
      <diagonal/>
    </border>
    <border diagonalUp="false" diagonalDown="false">
      <left style="medium">
        <color rgb="FF922B2B"/>
      </left>
      <right style="medium">
        <color rgb="FF922B2B"/>
      </right>
      <top style="medium">
        <color rgb="FF922B2B"/>
      </top>
      <bottom style="medium">
        <color rgb="FF922B2B"/>
      </bottom>
      <diagonal/>
    </border>
    <border diagonalUp="false" diagonalDown="false">
      <left style="thin">
        <color rgb="FF0E6665"/>
      </left>
      <right style="thin">
        <color rgb="FF0E6665"/>
      </right>
      <top style="thin">
        <color rgb="FF0E6665"/>
      </top>
      <bottom style="thin">
        <color rgb="FF0E6665"/>
      </bottom>
      <diagonal/>
    </border>
    <border diagonalUp="false" diagonalDown="false">
      <left style="medium">
        <color rgb="FF0E6665"/>
      </left>
      <right style="medium">
        <color rgb="FF0E6665"/>
      </right>
      <top style="medium">
        <color rgb="FF0E6665"/>
      </top>
      <bottom style="medium">
        <color rgb="FF0E6665"/>
      </bottom>
      <diagonal/>
    </border>
    <border diagonalUp="false" diagonalDown="false">
      <left style="medium">
        <color rgb="FF2E86C1"/>
      </left>
      <right style="medium">
        <color rgb="FF2E86C1"/>
      </right>
      <top style="medium">
        <color rgb="FF2E86C1"/>
      </top>
      <bottom style="medium">
        <color rgb="FF2E86C1"/>
      </bottom>
      <diagonal/>
    </border>
    <border diagonalUp="false" diagonalDown="false">
      <left style="medium">
        <color rgb="FFA93226"/>
      </left>
      <right style="medium">
        <color rgb="FFA93226"/>
      </right>
      <top style="medium">
        <color rgb="FFA93226"/>
      </top>
      <bottom style="medium">
        <color rgb="FFA93226"/>
      </bottom>
      <diagonal/>
    </border>
    <border diagonalUp="false" diagonalDown="false">
      <left style="medium">
        <color rgb="FFC0392B"/>
      </left>
      <right style="medium">
        <color rgb="FFC0392B"/>
      </right>
      <top style="medium">
        <color rgb="FFC0392B"/>
      </top>
      <bottom style="medium">
        <color rgb="FFC0392B"/>
      </bottom>
      <diagonal/>
    </border>
    <border diagonalUp="false" diagonalDown="false">
      <left style="medium">
        <color rgb="FFE67E22"/>
      </left>
      <right style="medium">
        <color rgb="FFE67E22"/>
      </right>
      <top style="medium">
        <color rgb="FFE67E22"/>
      </top>
      <bottom style="medium">
        <color rgb="FFE67E22"/>
      </bottom>
      <diagonal/>
    </border>
    <border diagonalUp="false" diagonalDown="false"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  <border diagonalUp="false" diagonalDown="false">
      <left style="thin">
        <color rgb="FFA93226"/>
      </left>
      <right style="thin">
        <color rgb="FFA93226"/>
      </right>
      <top style="thin">
        <color rgb="FFA93226"/>
      </top>
      <bottom style="thin">
        <color rgb="FFA93226"/>
      </bottom>
      <diagonal/>
    </border>
    <border diagonalUp="false" diagonalDown="false">
      <left style="medium">
        <color rgb="FF6C3483"/>
      </left>
      <right style="medium">
        <color rgb="FF6C3483"/>
      </right>
      <top style="medium">
        <color rgb="FF6C3483"/>
      </top>
      <bottom style="medium">
        <color rgb="FF6C3483"/>
      </bottom>
      <diagonal/>
    </border>
    <border diagonalUp="false" diagonalDown="false">
      <left style="thin">
        <color rgb="FF6C3483"/>
      </left>
      <right style="thin">
        <color rgb="FF6C3483"/>
      </right>
      <top style="thin">
        <color rgb="FF6C3483"/>
      </top>
      <bottom style="thin">
        <color rgb="FF6C3483"/>
      </bottom>
      <diagonal/>
    </border>
    <border diagonalUp="false" diagonalDown="false">
      <left style="thin">
        <color rgb="FFE67E22"/>
      </left>
      <right style="thin">
        <color rgb="FFE67E22"/>
      </right>
      <top style="thin">
        <color rgb="FFE67E22"/>
      </top>
      <bottom style="thin">
        <color rgb="FFE67E22"/>
      </bottom>
      <diagonal/>
    </border>
    <border diagonalUp="false" diagonalDown="false">
      <left style="thin">
        <color rgb="FFBDC3C7"/>
      </left>
      <right/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2E86C1"/>
      </left>
      <right style="thin">
        <color rgb="FF2E86C1"/>
      </right>
      <top style="thin">
        <color rgb="FF2E86C1"/>
      </top>
      <bottom style="thin">
        <color rgb="FF2E86C1"/>
      </bottom>
      <diagonal/>
    </border>
    <border diagonalUp="false" diagonalDown="false">
      <left style="thin">
        <color rgb="FFBDC3C7"/>
      </left>
      <right style="thin">
        <color rgb="FFFFFFFF"/>
      </right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FFFFFF"/>
      </left>
      <right style="thin">
        <color rgb="FFBDC3C7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2E86C1"/>
      </left>
      <right style="thin">
        <color rgb="FFBDC3C7"/>
      </right>
      <top style="thin">
        <color rgb="FF2E86C1"/>
      </top>
      <bottom style="thin">
        <color rgb="FF2E86C1"/>
      </bottom>
      <diagonal/>
    </border>
    <border diagonalUp="false" diagonalDown="false">
      <left style="thin">
        <color rgb="FF0E6665"/>
      </left>
      <right style="thin">
        <color rgb="FFBDC3C7"/>
      </right>
      <top style="thin">
        <color rgb="FF0E6665"/>
      </top>
      <bottom style="thin">
        <color rgb="FF0E6665"/>
      </bottom>
      <diagonal/>
    </border>
    <border diagonalUp="false" diagonalDown="false">
      <left style="thin">
        <color rgb="FF1A7A4A"/>
      </left>
      <right style="thin">
        <color rgb="FFBDC3C7"/>
      </right>
      <top style="thin">
        <color rgb="FF1A7A4A"/>
      </top>
      <bottom style="thin">
        <color rgb="FF1A7A4A"/>
      </bottom>
      <diagonal/>
    </border>
    <border diagonalUp="false" diagonalDown="false">
      <left style="thin">
        <color rgb="FFE67E22"/>
      </left>
      <right style="thin">
        <color rgb="FFBDC3C7"/>
      </right>
      <top style="thin">
        <color rgb="FFE67E22"/>
      </top>
      <bottom style="thin">
        <color rgb="FFE67E22"/>
      </bottom>
      <diagonal/>
    </border>
    <border diagonalUp="false" diagonalDown="false">
      <left style="thin">
        <color rgb="FF6C3483"/>
      </left>
      <right style="thin">
        <color rgb="FFBDC3C7"/>
      </right>
      <top style="thin">
        <color rgb="FF6C3483"/>
      </top>
      <bottom style="thin">
        <color rgb="FF6C3483"/>
      </bottom>
      <diagonal/>
    </border>
    <border diagonalUp="false" diagonalDown="false">
      <left style="thin">
        <color rgb="FF9A7D0A"/>
      </left>
      <right style="thin">
        <color rgb="FFBDC3C7"/>
      </right>
      <top style="thin">
        <color rgb="FF9A7D0A"/>
      </top>
      <bottom style="thin">
        <color rgb="FF9A7D0A"/>
      </bottom>
      <diagonal/>
    </border>
    <border diagonalUp="false" diagonalDown="false">
      <left style="thin">
        <color rgb="FF922B2B"/>
      </left>
      <right style="thin">
        <color rgb="FFBDC3C7"/>
      </right>
      <top style="thin">
        <color rgb="FF922B2B"/>
      </top>
      <bottom style="thin">
        <color rgb="FF922B2B"/>
      </bottom>
      <diagonal/>
    </border>
    <border diagonalUp="false" diagonalDown="false">
      <left style="thin">
        <color rgb="FFC0392B"/>
      </left>
      <right style="thin">
        <color rgb="FFBDC3C7"/>
      </right>
      <top style="thin">
        <color rgb="FFC0392B"/>
      </top>
      <bottom style="thin">
        <color rgb="FFC0392B"/>
      </bottom>
      <diagonal/>
    </border>
    <border diagonalUp="false" diagonalDown="false">
      <left style="thin">
        <color rgb="FF9A7D0A"/>
      </left>
      <right/>
      <top style="thin">
        <color rgb="FF9A7D0A"/>
      </top>
      <bottom style="thin">
        <color rgb="FF9A7D0A"/>
      </bottom>
      <diagonal/>
    </border>
    <border diagonalUp="false" diagonalDown="false">
      <left style="thin">
        <color rgb="FF2E86C1"/>
      </left>
      <right/>
      <top style="thin">
        <color rgb="FF2E86C1"/>
      </top>
      <bottom style="thin">
        <color rgb="FF2E86C1"/>
      </bottom>
      <diagonal/>
    </border>
    <border diagonalUp="false" diagonalDown="false">
      <left style="thin">
        <color rgb="FFE67E22"/>
      </left>
      <right/>
      <top style="thin">
        <color rgb="FFE67E22"/>
      </top>
      <bottom style="thin">
        <color rgb="FFE67E22"/>
      </bottom>
      <diagonal/>
    </border>
    <border diagonalUp="false" diagonalDown="false">
      <left style="thin">
        <color rgb="FF922B2B"/>
      </left>
      <right/>
      <top style="thin">
        <color rgb="FF922B2B"/>
      </top>
      <bottom style="thin">
        <color rgb="FF922B2B"/>
      </bottom>
      <diagonal/>
    </border>
    <border diagonalUp="false" diagonalDown="false">
      <left style="thin">
        <color rgb="FF283747"/>
      </left>
      <right/>
      <top style="thin">
        <color rgb="FF283747"/>
      </top>
      <bottom style="thin">
        <color rgb="FF283747"/>
      </bottom>
      <diagonal/>
    </border>
    <border diagonalUp="false" diagonalDown="false">
      <left style="thin">
        <color rgb="FF1A7A4A"/>
      </left>
      <right/>
      <top style="thin">
        <color rgb="FF1A7A4A"/>
      </top>
      <bottom style="thin">
        <color rgb="FF1A7A4A"/>
      </bottom>
      <diagonal/>
    </border>
    <border diagonalUp="false" diagonalDown="false">
      <left style="medium">
        <color rgb="FF1A7A4A"/>
      </left>
      <right/>
      <top style="medium">
        <color rgb="FF1A7A4A"/>
      </top>
      <bottom style="medium">
        <color rgb="FF1A7A4A"/>
      </bottom>
      <diagonal/>
    </border>
    <border diagonalUp="false" diagonalDown="false">
      <left style="medium">
        <color rgb="FF2E86C1"/>
      </left>
      <right/>
      <top style="medium">
        <color rgb="FF2E86C1"/>
      </top>
      <bottom style="medium">
        <color rgb="FF2E86C1"/>
      </bottom>
      <diagonal/>
    </border>
    <border diagonalUp="false" diagonalDown="false">
      <left style="medium">
        <color rgb="FF9A7D0A"/>
      </left>
      <right/>
      <top style="medium">
        <color rgb="FF9A7D0A"/>
      </top>
      <bottom style="medium">
        <color rgb="FF9A7D0A"/>
      </bottom>
      <diagonal/>
    </border>
    <border diagonalUp="false" diagonalDown="false">
      <left style="medium">
        <color rgb="FFC0392B"/>
      </left>
      <right/>
      <top style="medium">
        <color rgb="FFC0392B"/>
      </top>
      <bottom style="medium">
        <color rgb="FFC0392B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0E6665"/>
      </left>
      <right/>
      <top style="thin">
        <color rgb="FF0E6665"/>
      </top>
      <bottom style="thin">
        <color rgb="FF0E6665"/>
      </bottom>
      <diagonal/>
    </border>
    <border diagonalUp="false" diagonalDown="false">
      <left style="thin">
        <color rgb="FF6C3483"/>
      </left>
      <right/>
      <top style="thin">
        <color rgb="FF6C3483"/>
      </top>
      <bottom style="thin">
        <color rgb="FF6C3483"/>
      </bottom>
      <diagonal/>
    </border>
    <border diagonalUp="false" diagonalDown="false">
      <left style="thin">
        <color rgb="FFC0392B"/>
      </left>
      <right/>
      <top style="thin">
        <color rgb="FFC0392B"/>
      </top>
      <bottom style="thin">
        <color rgb="FFC0392B"/>
      </bottom>
      <diagonal/>
    </border>
    <border diagonalUp="false" diagonalDown="false">
      <left style="thin">
        <color rgb="FF1E3A5F"/>
      </left>
      <right/>
      <top style="thin">
        <color rgb="FF1E3A5F"/>
      </top>
      <bottom style="thin">
        <color rgb="FF1E3A5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9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4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5" fillId="1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7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4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3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4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5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6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7" fillId="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7" fillId="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7" fillId="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1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2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3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1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1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2" fillId="7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3" fillId="3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4" fillId="14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5" fillId="12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1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1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0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2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3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17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9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6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6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9" borderId="4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3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1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7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3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5" borderId="4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4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7" fillId="9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12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8" fillId="5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4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11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1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50" fillId="1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8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8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50" fillId="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2">
    <dxf>
      <font>
        <name val="Arial"/>
        <charset val="1"/>
        <family val="0"/>
        <b val="1"/>
        <color rgb="FFA93226"/>
        <sz val="9"/>
      </font>
      <fill>
        <patternFill>
          <bgColor rgb="FFFDEDEC"/>
        </patternFill>
      </fill>
    </dxf>
    <dxf>
      <font>
        <name val="Arial"/>
        <charset val="1"/>
        <family val="0"/>
        <b val="1"/>
        <color rgb="FFE67E22"/>
        <sz val="9"/>
      </font>
      <fill>
        <patternFill>
          <bgColor rgb="FFFEF3DB"/>
        </patternFill>
      </fill>
    </dxf>
    <dxf>
      <font>
        <name val="Arial"/>
        <charset val="1"/>
        <family val="0"/>
        <b val="1"/>
        <color rgb="FF1E3A5F"/>
        <sz val="9"/>
      </font>
      <fill>
        <patternFill>
          <bgColor rgb="FFFFFCB4"/>
        </patternFill>
      </fill>
    </dxf>
    <dxf>
      <fill>
        <patternFill>
          <bgColor rgb="FFD4EFDF"/>
        </patternFill>
      </fill>
    </dxf>
    <dxf>
      <fill>
        <patternFill>
          <bgColor rgb="FFFDEDEC"/>
        </patternFill>
      </fill>
    </dxf>
    <dxf>
      <fill>
        <patternFill>
          <bgColor rgb="FFFEF9E7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83747"/>
          <bgColor rgb="FF000000"/>
        </patternFill>
      </fill>
    </dxf>
    <dxf>
      <fill>
        <patternFill patternType="solid">
          <fgColor rgb="FF2C3E50"/>
          <bgColor rgb="FF000000"/>
        </patternFill>
      </fill>
    </dxf>
    <dxf>
      <fill>
        <patternFill patternType="solid">
          <fgColor rgb="FFD4EFDF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E1F5F4"/>
          <bgColor rgb="FF000000"/>
        </patternFill>
      </fill>
    </dxf>
    <dxf>
      <fill>
        <patternFill patternType="solid">
          <fgColor rgb="FFF5EEF8"/>
          <bgColor rgb="FF000000"/>
        </patternFill>
      </fill>
    </dxf>
    <dxf>
      <fill>
        <patternFill patternType="solid">
          <fgColor rgb="FFFDEDEC"/>
          <bgColor rgb="FF000000"/>
        </patternFill>
      </fill>
    </dxf>
    <dxf>
      <fill>
        <patternFill patternType="solid">
          <fgColor rgb="FFFEF3DB"/>
          <bgColor rgb="FF000000"/>
        </patternFill>
      </fill>
    </dxf>
    <dxf>
      <fill>
        <patternFill patternType="solid">
          <fgColor rgb="FFFEF9E7"/>
          <bgColor rgb="FF000000"/>
        </patternFill>
      </fill>
    </dxf>
    <dxf>
      <fill>
        <patternFill patternType="solid">
          <fgColor rgb="FFFFEBEB"/>
          <bgColor rgb="FF000000"/>
        </patternFill>
      </fill>
    </dxf>
    <dxf>
      <fill>
        <patternFill patternType="solid">
          <fgColor rgb="FF0E6665"/>
          <bgColor rgb="FF000000"/>
        </patternFill>
      </fill>
    </dxf>
    <dxf>
      <fill>
        <patternFill patternType="solid">
          <fgColor rgb="FF1A7A4A"/>
          <bgColor rgb="FF000000"/>
        </patternFill>
      </fill>
    </dxf>
    <dxf>
      <fill>
        <patternFill patternType="solid">
          <fgColor rgb="FF2E86C1"/>
          <bgColor rgb="FF000000"/>
        </patternFill>
      </fill>
    </dxf>
    <dxf>
      <fill>
        <patternFill patternType="solid">
          <fgColor rgb="FF6C3483"/>
          <bgColor rgb="FF000000"/>
        </patternFill>
      </fill>
    </dxf>
    <dxf>
      <fill>
        <patternFill patternType="solid">
          <fgColor rgb="FF922B2B"/>
          <bgColor rgb="FF000000"/>
        </patternFill>
      </fill>
    </dxf>
    <dxf>
      <fill>
        <patternFill patternType="solid">
          <fgColor rgb="FF9A7D0A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E67E22"/>
          <bgColor rgb="FF000000"/>
        </patternFill>
      </fill>
    </dxf>
    <dxf>
      <fill>
        <patternFill patternType="solid">
          <fgColor rgb="FFF5F7FA"/>
          <bgColor rgb="FF000000"/>
        </patternFill>
      </fill>
    </dxf>
    <dxf>
      <fill>
        <patternFill patternType="solid">
          <fgColor rgb="FF1E3A5F"/>
          <bgColor rgb="FF000000"/>
        </patternFill>
      </fill>
    </dxf>
    <dxf>
      <fill>
        <patternFill patternType="solid">
          <fgColor rgb="FF7F8C8D"/>
          <bgColor rgb="FF000000"/>
        </patternFill>
      </fill>
    </dxf>
    <dxf>
      <fill>
        <patternFill patternType="solid">
          <fgColor rgb="FFFFFCB4"/>
          <bgColor rgb="FF000000"/>
        </patternFill>
      </fill>
    </dxf>
    <dxf>
      <font>
        <name val="Arial"/>
        <charset val="1"/>
        <family val="0"/>
        <b val="1"/>
        <color rgb="FFE67E22"/>
        <sz val="9"/>
      </font>
      <fill>
        <patternFill>
          <bgColor rgb="FFFEF3DB"/>
        </patternFill>
      </fill>
    </dxf>
  </dxfs>
  <colors>
    <indexedColors>
      <rgbColor rgb="FF000000"/>
      <rgbColor rgb="FFFFFFFF"/>
      <rgbColor rgb="FFC0392B"/>
      <rgbColor rgb="FF00FF00"/>
      <rgbColor rgb="FF0000FF"/>
      <rgbColor rgb="FFFEF9E7"/>
      <rgbColor rgb="FFFF00FF"/>
      <rgbColor rgb="FF00FFFF"/>
      <rgbColor rgb="FF800000"/>
      <rgbColor rgb="FF008000"/>
      <rgbColor rgb="FF000080"/>
      <rgbColor rgb="FF9A7D0A"/>
      <rgbColor rgb="FF800080"/>
      <rgbColor rgb="FF0E6665"/>
      <rgbColor rgb="FFBDC3C7"/>
      <rgbColor rgb="FF878787"/>
      <rgbColor rgb="FFF5F7FA"/>
      <rgbColor rgb="FF922B2B"/>
      <rgbColor rgb="FFFFFCB4"/>
      <rgbColor rgb="FFE1F5F4"/>
      <rgbColor rgb="FF660066"/>
      <rgbColor rgb="FFF1948A"/>
      <rgbColor rgb="FF0066CC"/>
      <rgbColor rgb="FFD9D9D9"/>
      <rgbColor rgb="FF000080"/>
      <rgbColor rgb="FFFF00FF"/>
      <rgbColor rgb="FFF9F9F9"/>
      <rgbColor rgb="FF00FFFF"/>
      <rgbColor rgb="FF800080"/>
      <rgbColor rgb="FF800000"/>
      <rgbColor rgb="FF1A7A4A"/>
      <rgbColor rgb="FF0000FF"/>
      <rgbColor rgb="FF00CCFF"/>
      <rgbColor rgb="FFD6EAF8"/>
      <rgbColor rgb="FFD4EFDF"/>
      <rgbColor rgb="FFFEF3DB"/>
      <rgbColor rgb="FF82E0AA"/>
      <rgbColor rgb="FFFDEDEC"/>
      <rgbColor rgb="FFF5EEF8"/>
      <rgbColor rgb="FFFFEBEB"/>
      <rgbColor rgb="FF2E86C1"/>
      <rgbColor rgb="FF33CCCC"/>
      <rgbColor rgb="FF99CC00"/>
      <rgbColor rgb="FFFFCC00"/>
      <rgbColor rgb="FFFF9900"/>
      <rgbColor rgb="FFE67E22"/>
      <rgbColor rgb="FF666699"/>
      <rgbColor rgb="FF7F8C8D"/>
      <rgbColor rgb="FF1E3A5F"/>
      <rgbColor rgb="FF339966"/>
      <rgbColor rgb="FF003300"/>
      <rgbColor rgb="FF212F3D"/>
      <rgbColor rgb="FFA93226"/>
      <rgbColor rgb="FF6C3483"/>
      <rgbColor rgb="FF2C3E50"/>
      <rgbColor rgb="FF2837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Study Hours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'🔢 Stats (Do Not Edit)'!B1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2e86c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'🔢 Stats (Do Not Edit)'!$A$2:$A$40</c:f>
              <c:strCache>
                <c:ptCount val="39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</c:strCache>
            </c:strRef>
          </c:cat>
          <c:val>
            <c:numRef>
              <c:f>'🔢 Stats (Do Not Edit)'!$B$2:$B$40</c:f>
              <c:numCache>
                <c:formatCode>General</c:formatCode>
                <c:ptCount val="39"/>
                <c:pt idx="0">
                  <c:v>10.5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gapWidth val="150"/>
        <c:overlap val="0"/>
        <c:axId val="17806006"/>
        <c:axId val="83186174"/>
      </c:barChart>
      <c:catAx>
        <c:axId val="178060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186174"/>
        <c:crosses val="autoZero"/>
        <c:auto val="1"/>
        <c:lblAlgn val="ctr"/>
        <c:lblOffset val="100"/>
        <c:noMultiLvlLbl val="0"/>
      </c:catAx>
      <c:valAx>
        <c:axId val="831861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060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DSA Problems Solved (Weekly)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'🔢 Stats (Do Not Edit)'!F1</c:f>
              <c:strCache>
                <c:ptCount val="1"/>
                <c:pt idx="0">
                  <c:v>DSA</c:v>
                </c:pt>
              </c:strCache>
            </c:strRef>
          </c:tx>
          <c:spPr>
            <a:solidFill>
              <a:srgbClr val="1a7a4a"/>
            </a:solidFill>
            <a:ln w="47520">
              <a:solidFill>
                <a:srgbClr val="1a7a4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'🔢 Stats (Do Not Edit)'!$A$2:$A$40</c:f>
              <c:strCache>
                <c:ptCount val="39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</c:strCache>
            </c:strRef>
          </c:cat>
          <c:val>
            <c:numRef>
              <c:f>'🔢 Stats (Do Not Edit)'!$F$2:$F$40</c:f>
              <c:numCache>
                <c:formatCode>General</c:formatCode>
                <c:ptCount val="39"/>
                <c:pt idx="0">
                  <c:v>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3661687"/>
        <c:axId val="18314981"/>
      </c:lineChart>
      <c:catAx>
        <c:axId val="136616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314981"/>
        <c:crosses val="autoZero"/>
        <c:auto val="1"/>
        <c:lblAlgn val="ctr"/>
        <c:lblOffset val="100"/>
        <c:noMultiLvlLbl val="0"/>
      </c:catAx>
      <c:valAx>
        <c:axId val="183149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Problems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6616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Confidence Score by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'🔢 Stats (Do Not Edit)'!E1</c:f>
              <c:strCache>
                <c:ptCount val="1"/>
                <c:pt idx="0">
                  <c:v>AvgConf</c:v>
                </c:pt>
              </c:strCache>
            </c:strRef>
          </c:tx>
          <c:spPr>
            <a:solidFill>
              <a:srgbClr val="6c3483"/>
            </a:solidFill>
            <a:ln w="47520">
              <a:solidFill>
                <a:srgbClr val="6c348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'🔢 Stats (Do Not Edit)'!$A$2:$A$40</c:f>
              <c:strCache>
                <c:ptCount val="39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</c:strCache>
            </c:strRef>
          </c:cat>
          <c:val>
            <c:numRef>
              <c:f>'🔢 Stats (Do Not Edit)'!$E$2:$E$40</c:f>
              <c:numCache>
                <c:formatCode>General</c:formatCode>
                <c:ptCount val="39"/>
                <c:pt idx="0">
                  <c:v>3.6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161357"/>
        <c:axId val="54783619"/>
      </c:lineChart>
      <c:catAx>
        <c:axId val="721613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783619"/>
        <c:crosses val="autoZero"/>
        <c:auto val="1"/>
        <c:lblAlgn val="ctr"/>
        <c:lblOffset val="100"/>
        <c:noMultiLvlLbl val="0"/>
      </c:catAx>
      <c:valAx>
        <c:axId val="54783619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 (1-5)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613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Sessions: Done vs Missed per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'🔢 Stats (Do Not Edit)'!C1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rgbClr val="82e0a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'🔢 Stats (Do Not Edit)'!$A$2:$A$40</c:f>
              <c:strCache>
                <c:ptCount val="39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</c:strCache>
            </c:strRef>
          </c:cat>
          <c:val>
            <c:numRef>
              <c:f>'🔢 Stats (Do Not Edit)'!$C$2:$C$40</c:f>
              <c:numCache>
                <c:formatCode>General</c:formatCode>
                <c:ptCount val="3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ser>
          <c:idx val="1"/>
          <c:order val="1"/>
          <c:tx>
            <c:strRef>
              <c:f>'🔢 Stats (Do Not Edit)'!D1</c:f>
              <c:strCache>
                <c:ptCount val="1"/>
                <c:pt idx="0">
                  <c:v>Missed</c:v>
                </c:pt>
              </c:strCache>
            </c:strRef>
          </c:tx>
          <c:spPr>
            <a:solidFill>
              <a:srgbClr val="f1948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'🔢 Stats (Do Not Edit)'!$A$2:$A$40</c:f>
              <c:strCache>
                <c:ptCount val="39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</c:strCache>
            </c:strRef>
          </c:cat>
          <c:val>
            <c:numRef>
              <c:f>'🔢 Stats (Do Not Edit)'!$D$2:$D$40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</c:ser>
        <c:gapWidth val="150"/>
        <c:overlap val="100"/>
        <c:axId val="16287563"/>
        <c:axId val="49976166"/>
      </c:barChart>
      <c:catAx>
        <c:axId val="162875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76166"/>
        <c:crosses val="autoZero"/>
        <c:auto val="1"/>
        <c:lblAlgn val="ctr"/>
        <c:lblOffset val="100"/>
        <c:noMultiLvlLbl val="0"/>
      </c:catAx>
      <c:valAx>
        <c:axId val="499761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2875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9</xdr:col>
      <xdr:colOff>522000</xdr:colOff>
      <xdr:row>34</xdr:row>
      <xdr:rowOff>15120</xdr:rowOff>
    </xdr:to>
    <xdr:graphicFrame>
      <xdr:nvGraphicFramePr>
        <xdr:cNvPr id="0" name="Chart 1"/>
        <xdr:cNvGraphicFramePr/>
      </xdr:nvGraphicFramePr>
      <xdr:xfrm>
        <a:off x="141120" y="4162320"/>
        <a:ext cx="5032800" cy="2634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19</xdr:row>
      <xdr:rowOff>0</xdr:rowOff>
    </xdr:from>
    <xdr:to>
      <xdr:col>18</xdr:col>
      <xdr:colOff>522000</xdr:colOff>
      <xdr:row>34</xdr:row>
      <xdr:rowOff>15120</xdr:rowOff>
    </xdr:to>
    <xdr:graphicFrame>
      <xdr:nvGraphicFramePr>
        <xdr:cNvPr id="1" name="Chart 2"/>
        <xdr:cNvGraphicFramePr/>
      </xdr:nvGraphicFramePr>
      <xdr:xfrm>
        <a:off x="5216040" y="4162320"/>
        <a:ext cx="5032800" cy="2634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35</xdr:row>
      <xdr:rowOff>0</xdr:rowOff>
    </xdr:from>
    <xdr:to>
      <xdr:col>9</xdr:col>
      <xdr:colOff>522000</xdr:colOff>
      <xdr:row>50</xdr:row>
      <xdr:rowOff>15480</xdr:rowOff>
    </xdr:to>
    <xdr:graphicFrame>
      <xdr:nvGraphicFramePr>
        <xdr:cNvPr id="2" name="Chart 3"/>
        <xdr:cNvGraphicFramePr/>
      </xdr:nvGraphicFramePr>
      <xdr:xfrm>
        <a:off x="141120" y="6953400"/>
        <a:ext cx="5032800" cy="258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35</xdr:row>
      <xdr:rowOff>0</xdr:rowOff>
    </xdr:from>
    <xdr:to>
      <xdr:col>18</xdr:col>
      <xdr:colOff>522000</xdr:colOff>
      <xdr:row>50</xdr:row>
      <xdr:rowOff>15480</xdr:rowOff>
    </xdr:to>
    <xdr:graphicFrame>
      <xdr:nvGraphicFramePr>
        <xdr:cNvPr id="3" name="Chart 4"/>
        <xdr:cNvGraphicFramePr/>
      </xdr:nvGraphicFramePr>
      <xdr:xfrm>
        <a:off x="5216040" y="6953400"/>
        <a:ext cx="5032800" cy="258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2B2B"/>
    <pageSetUpPr fitToPage="false"/>
  </sheetPr>
  <dimension ref="A1:V460"/>
  <sheetViews>
    <sheetView showFormulas="false" showGridLines="false" showRowColHeaders="true" showZeros="true" rightToLeft="false" tabSelected="true" showOutlineSymbols="true" defaultGridColor="true" view="normal" topLeftCell="A25" colorId="64" zoomScale="100" zoomScaleNormal="100" zoomScalePageLayoutView="100" workbookViewId="0">
      <pane xSplit="1" ySplit="0" topLeftCell="B25" activePane="topRight" state="frozen"/>
      <selection pane="topLeft" activeCell="A25" activeCellId="0" sqref="A25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3" min="3" style="1" width="9"/>
    <col collapsed="false" customWidth="true" hidden="false" outlineLevel="0" max="4" min="4" style="1" width="7"/>
    <col collapsed="false" customWidth="true" hidden="false" outlineLevel="0" max="5" min="5" style="1" width="8"/>
    <col collapsed="false" customWidth="true" hidden="false" outlineLevel="0" max="10" min="6" style="1" width="7"/>
    <col collapsed="false" customWidth="true" hidden="false" outlineLevel="0" max="11" min="11" style="1" width="8"/>
    <col collapsed="false" customWidth="true" hidden="false" outlineLevel="0" max="18" min="12" style="1" width="9"/>
    <col collapsed="false" customWidth="true" hidden="false" outlineLevel="0" max="20" min="19" style="1" width="14"/>
    <col collapsed="false" customWidth="true" hidden="false" outlineLevel="0" max="21" min="21" style="1" width="9"/>
    <col collapsed="false" customWidth="true" hidden="false" outlineLevel="0" max="22" min="22" style="1" width="10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2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4.5" hidden="false" customHeight="true" outlineLevel="0" collapsed="false"/>
    <row r="4" customFormat="false" ht="16.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customFormat="false" ht="19.5" hidden="false" customHeight="true" outlineLevel="0" collapsed="false">
      <c r="B5" s="5" t="s">
        <v>3</v>
      </c>
      <c r="C5" s="5" t="s">
        <v>4</v>
      </c>
      <c r="D5" s="5"/>
      <c r="E5" s="5" t="s">
        <v>5</v>
      </c>
      <c r="F5" s="5" t="s">
        <v>6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customFormat="false" ht="16.5" hidden="false" customHeight="true" outlineLevel="0" collapsed="false">
      <c r="B6" s="6" t="s">
        <v>7</v>
      </c>
      <c r="C6" s="7" t="n">
        <v>3</v>
      </c>
      <c r="D6" s="7"/>
      <c r="E6" s="8" t="s">
        <v>8</v>
      </c>
      <c r="F6" s="9" t="s">
        <v>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customFormat="false" ht="16.5" hidden="false" customHeight="true" outlineLevel="0" collapsed="false">
      <c r="B7" s="10" t="s">
        <v>10</v>
      </c>
      <c r="C7" s="7" t="n">
        <v>10</v>
      </c>
      <c r="D7" s="7"/>
      <c r="E7" s="8" t="s">
        <v>8</v>
      </c>
      <c r="F7" s="11" t="s">
        <v>11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customFormat="false" ht="16.5" hidden="false" customHeight="true" outlineLevel="0" collapsed="false">
      <c r="B8" s="6" t="s">
        <v>12</v>
      </c>
      <c r="C8" s="7" t="n">
        <v>3</v>
      </c>
      <c r="D8" s="7"/>
      <c r="E8" s="8" t="s">
        <v>8</v>
      </c>
      <c r="F8" s="9" t="s">
        <v>13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customFormat="false" ht="16.5" hidden="false" customHeight="true" outlineLevel="0" collapsed="false">
      <c r="B9" s="10" t="s">
        <v>14</v>
      </c>
      <c r="C9" s="7" t="n">
        <v>14</v>
      </c>
      <c r="D9" s="7"/>
      <c r="E9" s="8" t="s">
        <v>8</v>
      </c>
      <c r="F9" s="11" t="s">
        <v>15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customFormat="false" ht="16.5" hidden="false" customHeight="true" outlineLevel="0" collapsed="false">
      <c r="B10" s="6" t="s">
        <v>16</v>
      </c>
      <c r="C10" s="7" t="n">
        <v>10</v>
      </c>
      <c r="D10" s="7"/>
      <c r="E10" s="8" t="s">
        <v>8</v>
      </c>
      <c r="F10" s="9" t="s">
        <v>17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customFormat="false" ht="16.5" hidden="false" customHeight="true" outlineLevel="0" collapsed="false">
      <c r="B11" s="10" t="s">
        <v>18</v>
      </c>
      <c r="C11" s="7" t="n">
        <v>2</v>
      </c>
      <c r="D11" s="7"/>
      <c r="E11" s="8" t="s">
        <v>8</v>
      </c>
      <c r="F11" s="11" t="s">
        <v>19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customFormat="false" ht="16.5" hidden="false" customHeight="true" outlineLevel="0" collapsed="false">
      <c r="B12" s="6" t="s">
        <v>20</v>
      </c>
      <c r="C12" s="12" t="n">
        <v>1.5</v>
      </c>
      <c r="D12" s="12"/>
      <c r="E12" s="8" t="s">
        <v>8</v>
      </c>
      <c r="F12" s="9" t="s">
        <v>21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customFormat="false" ht="16.5" hidden="false" customHeight="true" outlineLevel="0" collapsed="false">
      <c r="B13" s="10" t="s">
        <v>22</v>
      </c>
      <c r="C13" s="12" t="n">
        <v>3.5</v>
      </c>
      <c r="D13" s="12"/>
      <c r="E13" s="8" t="s">
        <v>8</v>
      </c>
      <c r="F13" s="11" t="s">
        <v>23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customFormat="false" ht="16.5" hidden="false" customHeight="true" outlineLevel="0" collapsed="false">
      <c r="B14" s="6" t="s">
        <v>24</v>
      </c>
      <c r="C14" s="13" t="s">
        <v>25</v>
      </c>
      <c r="D14" s="13"/>
      <c r="E14" s="14" t="s">
        <v>26</v>
      </c>
      <c r="F14" s="9" t="s">
        <v>27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customFormat="false" ht="16.5" hidden="false" customHeight="true" outlineLevel="0" collapsed="false">
      <c r="B15" s="10" t="s">
        <v>28</v>
      </c>
      <c r="C15" s="13" t="s">
        <v>26</v>
      </c>
      <c r="D15" s="13"/>
      <c r="E15" s="8" t="s">
        <v>8</v>
      </c>
      <c r="F15" s="11" t="s">
        <v>29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customFormat="false" ht="16.5" hidden="false" customHeight="true" outlineLevel="0" collapsed="false">
      <c r="B16" s="6" t="s">
        <v>30</v>
      </c>
      <c r="C16" s="13" t="s">
        <v>26</v>
      </c>
      <c r="D16" s="13"/>
      <c r="E16" s="8" t="s">
        <v>8</v>
      </c>
      <c r="F16" s="9" t="s">
        <v>31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customFormat="false" ht="16.5" hidden="false" customHeight="true" outlineLevel="0" collapsed="false">
      <c r="B17" s="10" t="s">
        <v>32</v>
      </c>
      <c r="C17" s="13" t="s">
        <v>26</v>
      </c>
      <c r="D17" s="13"/>
      <c r="E17" s="8" t="s">
        <v>8</v>
      </c>
      <c r="F17" s="11" t="s">
        <v>33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customFormat="false" ht="16.5" hidden="false" customHeight="true" outlineLevel="0" collapsed="false">
      <c r="A18" s="15" t="s">
        <v>34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customFormat="false" ht="21.75" hidden="false" customHeight="true" outlineLevel="0" collapsed="false">
      <c r="A19" s="16" t="str">
        <f aca="false">"Avg: "&amp;ROUND(A450,1)&amp;"h/wk"</f>
        <v>Avg: 10.5h/wk</v>
      </c>
      <c r="B19" s="16"/>
      <c r="C19" s="17" t="str">
        <f aca="false">"Avail: "&amp;ROUND(A454,1)&amp;"h"</f>
        <v>Avail: 31.5h</v>
      </c>
      <c r="D19" s="17"/>
      <c r="E19" s="18" t="str">
        <f aca="false">"Overdue: "&amp;ROUND(A455,1)&amp;"h"</f>
        <v>Overdue: 0h</v>
      </c>
      <c r="F19" s="18"/>
      <c r="G19" s="19" t="str">
        <f aca="false">"Pend: "&amp;ROUND(A456,1)&amp;"h"</f>
        <v>Pend: 0h</v>
      </c>
      <c r="H19" s="19"/>
      <c r="I19" s="20" t="str">
        <f aca="false">"Need: "&amp;ROUND(A457,1)&amp;"h"</f>
        <v>Need: 0h</v>
      </c>
      <c r="J19" s="20"/>
      <c r="K19" s="21" t="str">
        <f aca="false">IF(A458&gt;=0,"Gap:+"&amp;ROUND(A458,1)&amp;"h ✅","Gap:"&amp;ROUND(A458,1)&amp;"h ❌")</f>
        <v>Gap:+31.5h ✅</v>
      </c>
      <c r="L19" s="21"/>
      <c r="M19" s="21" t="str">
        <f aca="false">IF(A460=0,"🟢 Open",IF(A460=1,"🟡 Overdue locked","🔴 All locked"))</f>
        <v>🟢 Open</v>
      </c>
      <c r="N19" s="21"/>
      <c r="O19" s="16" t="str">
        <f aca="false">IF(NOT(A452),"✅ Not in last 2 weeks — swaps open.",IF(A453,"🔴 LAST WEEK — full lock.",IF(A459,"🟡 Feasible — "&amp;ROUND(A458,1)&amp;"h buffer. Overdue locked.","🔴 NOT feasible — "&amp;ROUND(ABS(A458),1)&amp;"h short. All locked.")))</f>
        <v>✅ Not in last 2 weeks — swaps open.</v>
      </c>
      <c r="P19" s="16"/>
      <c r="Q19" s="16"/>
      <c r="R19" s="16"/>
      <c r="S19" s="16"/>
      <c r="T19" s="16"/>
      <c r="U19" s="16"/>
      <c r="V19" s="16"/>
    </row>
    <row r="21" customFormat="false" ht="4.5" hidden="false" customHeight="true" outlineLevel="0" collapsed="false"/>
    <row r="22" customFormat="false" ht="16.5" hidden="false" customHeight="true" outlineLevel="0" collapsed="false">
      <c r="A22" s="22" t="s">
        <v>35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customFormat="false" ht="6" hidden="false" customHeight="true" outlineLevel="0" collapsed="false"/>
    <row r="24" customFormat="false" ht="24" hidden="false" customHeight="true" outlineLevel="0" collapsed="false">
      <c r="B24" s="23" t="s">
        <v>36</v>
      </c>
      <c r="C24" s="24" t="str">
        <f aca="true">TEXT(TODAY(),"DD-MMM-YYYY  (DDDD)")</f>
        <v>30-Mar-2026  (Monday)</v>
      </c>
      <c r="D24" s="24"/>
      <c r="E24" s="24"/>
      <c r="F24" s="24"/>
      <c r="G24" s="24"/>
      <c r="H24" s="25" t="str">
        <f aca="true">IFERROR("W"&amp;INT((TODAY()-DATE(2026,3,30))/7)+1&amp;" / 39","")</f>
        <v>W1 / 39</v>
      </c>
      <c r="I24" s="25"/>
      <c r="J24" s="26" t="str">
        <f aca="true">IFERROR("M"&amp;INT((INT((TODAY()-DATE(2026,3,30))/7))/4+1),"")</f>
        <v>M1</v>
      </c>
      <c r="K24" s="26"/>
      <c r="L24" s="27" t="s">
        <v>37</v>
      </c>
      <c r="M24" s="28" t="n">
        <f aca="true">IF(WEEKDAY(TODAY(),2)&gt;=6,$C$13,$C$12)</f>
        <v>1.5</v>
      </c>
      <c r="N24" s="28"/>
      <c r="O24" s="29" t="s">
        <v>38</v>
      </c>
      <c r="P24" s="29"/>
      <c r="Q24" s="30" t="n">
        <f aca="true">IFERROR(COUNTIFS('📋 Swap History'!$C$4:$C$200,"&gt;="&amp;(TODAY()-WEEKDAY(TODAY(),2)+1),'📋 Swap History'!$C$4:$C$200,"&lt;="&amp;(TODAY()-WEEKDAY(TODAY(),2)+7)),0)</f>
        <v>0</v>
      </c>
      <c r="R24" s="31" t="str">
        <f aca="false">IFERROR("/ "&amp;$C$6,"/ ??")</f>
        <v>/ 3</v>
      </c>
      <c r="S24" s="31"/>
      <c r="T24" s="32" t="str">
        <f aca="false">IF(E6="❌ OFF","(limit off)",IF(Q24&gt;=$C$6,"🔒 Week limit hit","✅ "&amp;($C$6-Q24)&amp;" left"))</f>
        <v>✅ 3 left</v>
      </c>
      <c r="U24" s="32"/>
      <c r="V24" s="32"/>
    </row>
    <row r="25" customFormat="false" ht="13.5" hidden="false" customHeight="true" outlineLevel="0" collapsed="false">
      <c r="A25" s="33" t="s">
        <v>39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</row>
    <row r="26" customFormat="false" ht="24" hidden="false" customHeight="true" outlineLevel="0" collapsed="false">
      <c r="B26" s="5" t="s">
        <v>40</v>
      </c>
      <c r="C26" s="5" t="s">
        <v>41</v>
      </c>
      <c r="D26" s="5"/>
      <c r="E26" s="5" t="s">
        <v>42</v>
      </c>
      <c r="F26" s="5"/>
      <c r="G26" s="5" t="s">
        <v>43</v>
      </c>
      <c r="H26" s="5"/>
      <c r="I26" s="5"/>
      <c r="J26" s="5"/>
      <c r="K26" s="5"/>
      <c r="L26" s="5" t="s">
        <v>44</v>
      </c>
      <c r="M26" s="5"/>
      <c r="N26" s="5" t="s">
        <v>45</v>
      </c>
      <c r="O26" s="5" t="s">
        <v>46</v>
      </c>
      <c r="P26" s="5" t="s">
        <v>47</v>
      </c>
      <c r="Q26" s="5" t="s">
        <v>48</v>
      </c>
      <c r="R26" s="5" t="s">
        <v>49</v>
      </c>
      <c r="S26" s="5" t="s">
        <v>50</v>
      </c>
      <c r="T26" s="5" t="s">
        <v>51</v>
      </c>
      <c r="U26" s="5" t="s">
        <v>52</v>
      </c>
      <c r="V26" s="5"/>
    </row>
    <row r="27" customFormat="false" ht="21.75" hidden="false" customHeight="true" outlineLevel="0" collapsed="false">
      <c r="B27" s="34" t="str">
        <f aca="false">IF(AND(U401,1&lt;=$C$10),1,"")</f>
        <v/>
      </c>
      <c r="C27" s="35" t="str">
        <f aca="false">IF(AND(U401,1&lt;=$C$10),IF(P401,"🚨 MUST DO",IF(O401,"⏰ OVERDUE","")),"—")</f>
        <v>—</v>
      </c>
      <c r="D27" s="35"/>
      <c r="E27" s="36" t="str">
        <f aca="false">IF(AND(U401,1&lt;=$C$10),G401,"—")</f>
        <v>—</v>
      </c>
      <c r="F27" s="36"/>
      <c r="G27" s="37" t="str">
        <f aca="false">IF(AND(U401,1&lt;=$C$10),B401,"— (not enough time / prereq blocked)")</f>
        <v>— (not enough time / prereq blocked)</v>
      </c>
      <c r="H27" s="37"/>
      <c r="I27" s="37"/>
      <c r="J27" s="37"/>
      <c r="K27" s="37"/>
      <c r="L27" s="38" t="str">
        <f aca="false">IF(AND(U401,1&lt;=$C$10),C401,"—")</f>
        <v>—</v>
      </c>
      <c r="M27" s="38"/>
      <c r="N27" s="39" t="str">
        <f aca="false">IF(AND(U401,1&lt;=$C$10),D401,"—")</f>
        <v>—</v>
      </c>
      <c r="O27" s="40" t="str">
        <f aca="false">IF(AND(U401,1&lt;=$C$10),E401,"—")</f>
        <v>—</v>
      </c>
      <c r="P27" s="41" t="str">
        <f aca="false">IF(AND(U401,1&lt;=$C$10),F401,"—")</f>
        <v>—</v>
      </c>
      <c r="Q27" s="42" t="str">
        <f aca="false">IF(AND(U401,1&lt;=$C$10),T401,"—")</f>
        <v>—</v>
      </c>
      <c r="R27" s="43" t="str">
        <f aca="false">IF(AND(U401,1&lt;=$C$10),$M$24-T401,"—")</f>
        <v>—</v>
      </c>
      <c r="S27" s="44" t="str">
        <f aca="false">IF(AND(U401,1&lt;=$C$10),H401,"—")</f>
        <v>—</v>
      </c>
      <c r="T27" s="45" t="s">
        <v>53</v>
      </c>
      <c r="U27" s="46" t="str">
        <f aca="false">IFERROR(IF(AND(U401,1&lt;=$C$10),INDEX('📆 Daily Schedule'!$Q$5:$Q$400,MATCH(B401,'📆 Daily Schedule'!$F$5:$F$400,0)),"—"),"—")</f>
        <v>—</v>
      </c>
      <c r="V27" s="46"/>
    </row>
    <row r="28" customFormat="false" ht="21.75" hidden="false" customHeight="true" outlineLevel="0" collapsed="false">
      <c r="B28" s="34" t="str">
        <f aca="false">IF(AND(U402,2&lt;=$C$10),2,"")</f>
        <v/>
      </c>
      <c r="C28" s="35" t="str">
        <f aca="false">IF(AND(U402,2&lt;=$C$10),IF(P402,"🚨 MUST DO",IF(O402,"⏰ OVERDUE","")),"—")</f>
        <v>—</v>
      </c>
      <c r="D28" s="35"/>
      <c r="E28" s="36" t="str">
        <f aca="false">IF(AND(U402,2&lt;=$C$10),G402,"—")</f>
        <v>—</v>
      </c>
      <c r="F28" s="36"/>
      <c r="G28" s="37" t="str">
        <f aca="false">IF(AND(U402,2&lt;=$C$10),B402,"— (not enough time / prereq blocked)")</f>
        <v>— (not enough time / prereq blocked)</v>
      </c>
      <c r="H28" s="37"/>
      <c r="I28" s="37"/>
      <c r="J28" s="37"/>
      <c r="K28" s="37"/>
      <c r="L28" s="38" t="str">
        <f aca="false">IF(AND(U402,2&lt;=$C$10),C402,"—")</f>
        <v>—</v>
      </c>
      <c r="M28" s="38"/>
      <c r="N28" s="39" t="str">
        <f aca="false">IF(AND(U402,2&lt;=$C$10),D402,"—")</f>
        <v>—</v>
      </c>
      <c r="O28" s="40" t="str">
        <f aca="false">IF(AND(U402,2&lt;=$C$10),E402,"—")</f>
        <v>—</v>
      </c>
      <c r="P28" s="41" t="str">
        <f aca="false">IF(AND(U402,2&lt;=$C$10),F402,"—")</f>
        <v>—</v>
      </c>
      <c r="Q28" s="42" t="str">
        <f aca="false">IF(AND(U402,2&lt;=$C$10),T402,"—")</f>
        <v>—</v>
      </c>
      <c r="R28" s="43" t="str">
        <f aca="false">IF(AND(U402,2&lt;=$C$10),$M$24-T402,"—")</f>
        <v>—</v>
      </c>
      <c r="S28" s="44" t="str">
        <f aca="false">IF(AND(U402,2&lt;=$C$10),H402,"—")</f>
        <v>—</v>
      </c>
      <c r="T28" s="45" t="s">
        <v>53</v>
      </c>
      <c r="U28" s="46" t="str">
        <f aca="false">IFERROR(IF(AND(U402,2&lt;=$C$10),INDEX('📆 Daily Schedule'!$Q$5:$Q$400,MATCH(B402,'📆 Daily Schedule'!$F$5:$F$400,0)),"—"),"—")</f>
        <v>—</v>
      </c>
      <c r="V28" s="46"/>
    </row>
    <row r="29" customFormat="false" ht="21.75" hidden="false" customHeight="true" outlineLevel="0" collapsed="false">
      <c r="B29" s="34" t="str">
        <f aca="false">IF(AND(U403,3&lt;=$C$10),3,"")</f>
        <v/>
      </c>
      <c r="C29" s="35" t="str">
        <f aca="false">IF(AND(U403,3&lt;=$C$10),IF(P403,"🚨 MUST DO",IF(O403,"⏰ OVERDUE","")),"—")</f>
        <v>—</v>
      </c>
      <c r="D29" s="35"/>
      <c r="E29" s="36" t="str">
        <f aca="false">IF(AND(U403,3&lt;=$C$10),G403,"—")</f>
        <v>—</v>
      </c>
      <c r="F29" s="36"/>
      <c r="G29" s="37" t="str">
        <f aca="false">IF(AND(U403,3&lt;=$C$10),B403,"— (not enough time / prereq blocked)")</f>
        <v>— (not enough time / prereq blocked)</v>
      </c>
      <c r="H29" s="37"/>
      <c r="I29" s="37"/>
      <c r="J29" s="37"/>
      <c r="K29" s="37"/>
      <c r="L29" s="38" t="str">
        <f aca="false">IF(AND(U403,3&lt;=$C$10),C403,"—")</f>
        <v>—</v>
      </c>
      <c r="M29" s="38"/>
      <c r="N29" s="39" t="str">
        <f aca="false">IF(AND(U403,3&lt;=$C$10),D403,"—")</f>
        <v>—</v>
      </c>
      <c r="O29" s="40" t="str">
        <f aca="false">IF(AND(U403,3&lt;=$C$10),E403,"—")</f>
        <v>—</v>
      </c>
      <c r="P29" s="41" t="str">
        <f aca="false">IF(AND(U403,3&lt;=$C$10),F403,"—")</f>
        <v>—</v>
      </c>
      <c r="Q29" s="42" t="str">
        <f aca="false">IF(AND(U403,3&lt;=$C$10),T403,"—")</f>
        <v>—</v>
      </c>
      <c r="R29" s="43" t="str">
        <f aca="false">IF(AND(U403,3&lt;=$C$10),$M$24-T403,"—")</f>
        <v>—</v>
      </c>
      <c r="S29" s="44" t="str">
        <f aca="false">IF(AND(U403,3&lt;=$C$10),H403,"—")</f>
        <v>—</v>
      </c>
      <c r="T29" s="45" t="s">
        <v>53</v>
      </c>
      <c r="U29" s="46" t="str">
        <f aca="false">IFERROR(IF(AND(U403,3&lt;=$C$10),INDEX('📆 Daily Schedule'!$Q$5:$Q$400,MATCH(B403,'📆 Daily Schedule'!$F$5:$F$400,0)),"—"),"—")</f>
        <v>—</v>
      </c>
      <c r="V29" s="46"/>
    </row>
    <row r="30" customFormat="false" ht="21.75" hidden="false" customHeight="true" outlineLevel="0" collapsed="false">
      <c r="B30" s="34" t="str">
        <f aca="false">IF(AND(U404,4&lt;=$C$10),4,"")</f>
        <v/>
      </c>
      <c r="C30" s="35" t="str">
        <f aca="false">IF(AND(U404,4&lt;=$C$10),IF(P404,"🚨 MUST DO",IF(O404,"⏰ OVERDUE","")),"—")</f>
        <v>—</v>
      </c>
      <c r="D30" s="35"/>
      <c r="E30" s="36" t="str">
        <f aca="false">IF(AND(U404,4&lt;=$C$10),G404,"—")</f>
        <v>—</v>
      </c>
      <c r="F30" s="36"/>
      <c r="G30" s="37" t="str">
        <f aca="false">IF(AND(U404,4&lt;=$C$10),B404,"— (not enough time / prereq blocked)")</f>
        <v>— (not enough time / prereq blocked)</v>
      </c>
      <c r="H30" s="37"/>
      <c r="I30" s="37"/>
      <c r="J30" s="37"/>
      <c r="K30" s="37"/>
      <c r="L30" s="38" t="str">
        <f aca="false">IF(AND(U404,4&lt;=$C$10),C404,"—")</f>
        <v>—</v>
      </c>
      <c r="M30" s="38"/>
      <c r="N30" s="39" t="str">
        <f aca="false">IF(AND(U404,4&lt;=$C$10),D404,"—")</f>
        <v>—</v>
      </c>
      <c r="O30" s="40" t="str">
        <f aca="false">IF(AND(U404,4&lt;=$C$10),E404,"—")</f>
        <v>—</v>
      </c>
      <c r="P30" s="41" t="str">
        <f aca="false">IF(AND(U404,4&lt;=$C$10),F404,"—")</f>
        <v>—</v>
      </c>
      <c r="Q30" s="42" t="str">
        <f aca="false">IF(AND(U404,4&lt;=$C$10),T404,"—")</f>
        <v>—</v>
      </c>
      <c r="R30" s="43" t="str">
        <f aca="false">IF(AND(U404,4&lt;=$C$10),$M$24-T404,"—")</f>
        <v>—</v>
      </c>
      <c r="S30" s="44" t="str">
        <f aca="false">IF(AND(U404,4&lt;=$C$10),H404,"—")</f>
        <v>—</v>
      </c>
      <c r="T30" s="45" t="s">
        <v>53</v>
      </c>
      <c r="U30" s="46" t="str">
        <f aca="false">IFERROR(IF(AND(U404,4&lt;=$C$10),INDEX('📆 Daily Schedule'!$Q$5:$Q$400,MATCH(B404,'📆 Daily Schedule'!$F$5:$F$400,0)),"—"),"—")</f>
        <v>—</v>
      </c>
      <c r="V30" s="46"/>
    </row>
    <row r="31" customFormat="false" ht="21.75" hidden="false" customHeight="true" outlineLevel="0" collapsed="false">
      <c r="B31" s="34" t="str">
        <f aca="false">IF(AND(U405,5&lt;=$C$10),5,"")</f>
        <v/>
      </c>
      <c r="C31" s="35" t="str">
        <f aca="false">IF(AND(U405,5&lt;=$C$10),IF(P405,"🚨 MUST DO",IF(O405,"⏰ OVERDUE","")),"—")</f>
        <v>—</v>
      </c>
      <c r="D31" s="35"/>
      <c r="E31" s="36" t="str">
        <f aca="false">IF(AND(U405,5&lt;=$C$10),G405,"—")</f>
        <v>—</v>
      </c>
      <c r="F31" s="36"/>
      <c r="G31" s="37" t="str">
        <f aca="false">IF(AND(U405,5&lt;=$C$10),B405,"— (not enough time / prereq blocked)")</f>
        <v>— (not enough time / prereq blocked)</v>
      </c>
      <c r="H31" s="37"/>
      <c r="I31" s="37"/>
      <c r="J31" s="37"/>
      <c r="K31" s="37"/>
      <c r="L31" s="38" t="str">
        <f aca="false">IF(AND(U405,5&lt;=$C$10),C405,"—")</f>
        <v>—</v>
      </c>
      <c r="M31" s="38"/>
      <c r="N31" s="39" t="str">
        <f aca="false">IF(AND(U405,5&lt;=$C$10),D405,"—")</f>
        <v>—</v>
      </c>
      <c r="O31" s="40" t="str">
        <f aca="false">IF(AND(U405,5&lt;=$C$10),E405,"—")</f>
        <v>—</v>
      </c>
      <c r="P31" s="41" t="str">
        <f aca="false">IF(AND(U405,5&lt;=$C$10),F405,"—")</f>
        <v>—</v>
      </c>
      <c r="Q31" s="42" t="str">
        <f aca="false">IF(AND(U405,5&lt;=$C$10),T405,"—")</f>
        <v>—</v>
      </c>
      <c r="R31" s="43" t="str">
        <f aca="false">IF(AND(U405,5&lt;=$C$10),$M$24-T405,"—")</f>
        <v>—</v>
      </c>
      <c r="S31" s="44" t="str">
        <f aca="false">IF(AND(U405,5&lt;=$C$10),H405,"—")</f>
        <v>—</v>
      </c>
      <c r="T31" s="45" t="s">
        <v>53</v>
      </c>
      <c r="U31" s="46" t="str">
        <f aca="false">IFERROR(IF(AND(U405,5&lt;=$C$10),INDEX('📆 Daily Schedule'!$Q$5:$Q$400,MATCH(B405,'📆 Daily Schedule'!$F$5:$F$400,0)),"—"),"—")</f>
        <v>—</v>
      </c>
      <c r="V31" s="46"/>
    </row>
    <row r="32" customFormat="false" ht="21.75" hidden="false" customHeight="true" outlineLevel="0" collapsed="false">
      <c r="B32" s="34" t="str">
        <f aca="false">IF(AND(U406,6&lt;=$C$10),6,"")</f>
        <v/>
      </c>
      <c r="C32" s="35" t="str">
        <f aca="false">IF(AND(U406,6&lt;=$C$10),IF(P406,"🚨 MUST DO",IF(O406,"⏰ OVERDUE","")),"—")</f>
        <v>—</v>
      </c>
      <c r="D32" s="35"/>
      <c r="E32" s="36" t="str">
        <f aca="false">IF(AND(U406,6&lt;=$C$10),G406,"—")</f>
        <v>—</v>
      </c>
      <c r="F32" s="36"/>
      <c r="G32" s="37" t="str">
        <f aca="false">IF(AND(U406,6&lt;=$C$10),B406,"— (not enough time / prereq blocked)")</f>
        <v>— (not enough time / prereq blocked)</v>
      </c>
      <c r="H32" s="37"/>
      <c r="I32" s="37"/>
      <c r="J32" s="37"/>
      <c r="K32" s="37"/>
      <c r="L32" s="38" t="str">
        <f aca="false">IF(AND(U406,6&lt;=$C$10),C406,"—")</f>
        <v>—</v>
      </c>
      <c r="M32" s="38"/>
      <c r="N32" s="39" t="str">
        <f aca="false">IF(AND(U406,6&lt;=$C$10),D406,"—")</f>
        <v>—</v>
      </c>
      <c r="O32" s="40" t="str">
        <f aca="false">IF(AND(U406,6&lt;=$C$10),E406,"—")</f>
        <v>—</v>
      </c>
      <c r="P32" s="41" t="str">
        <f aca="false">IF(AND(U406,6&lt;=$C$10),F406,"—")</f>
        <v>—</v>
      </c>
      <c r="Q32" s="42" t="str">
        <f aca="false">IF(AND(U406,6&lt;=$C$10),T406,"—")</f>
        <v>—</v>
      </c>
      <c r="R32" s="43" t="str">
        <f aca="false">IF(AND(U406,6&lt;=$C$10),$M$24-T406,"—")</f>
        <v>—</v>
      </c>
      <c r="S32" s="44" t="str">
        <f aca="false">IF(AND(U406,6&lt;=$C$10),H406,"—")</f>
        <v>—</v>
      </c>
      <c r="T32" s="45" t="s">
        <v>53</v>
      </c>
      <c r="U32" s="46" t="str">
        <f aca="false">IFERROR(IF(AND(U406,6&lt;=$C$10),INDEX('📆 Daily Schedule'!$Q$5:$Q$400,MATCH(B406,'📆 Daily Schedule'!$F$5:$F$400,0)),"—"),"—")</f>
        <v>—</v>
      </c>
      <c r="V32" s="46"/>
    </row>
    <row r="33" customFormat="false" ht="21.75" hidden="false" customHeight="true" outlineLevel="0" collapsed="false">
      <c r="B33" s="34" t="str">
        <f aca="false">IF(AND(U407,7&lt;=$C$10),7,"")</f>
        <v/>
      </c>
      <c r="C33" s="35" t="str">
        <f aca="false">IF(AND(U407,7&lt;=$C$10),IF(P407,"🚨 MUST DO",IF(O407,"⏰ OVERDUE","")),"—")</f>
        <v>—</v>
      </c>
      <c r="D33" s="35"/>
      <c r="E33" s="36" t="str">
        <f aca="false">IF(AND(U407,7&lt;=$C$10),G407,"—")</f>
        <v>—</v>
      </c>
      <c r="F33" s="36"/>
      <c r="G33" s="37" t="str">
        <f aca="false">IF(AND(U407,7&lt;=$C$10),B407,"— (not enough time / prereq blocked)")</f>
        <v>— (not enough time / prereq blocked)</v>
      </c>
      <c r="H33" s="37"/>
      <c r="I33" s="37"/>
      <c r="J33" s="37"/>
      <c r="K33" s="37"/>
      <c r="L33" s="38" t="str">
        <f aca="false">IF(AND(U407,7&lt;=$C$10),C407,"—")</f>
        <v>—</v>
      </c>
      <c r="M33" s="38"/>
      <c r="N33" s="39" t="str">
        <f aca="false">IF(AND(U407,7&lt;=$C$10),D407,"—")</f>
        <v>—</v>
      </c>
      <c r="O33" s="40" t="str">
        <f aca="false">IF(AND(U407,7&lt;=$C$10),E407,"—")</f>
        <v>—</v>
      </c>
      <c r="P33" s="41" t="str">
        <f aca="false">IF(AND(U407,7&lt;=$C$10),F407,"—")</f>
        <v>—</v>
      </c>
      <c r="Q33" s="42" t="str">
        <f aca="false">IF(AND(U407,7&lt;=$C$10),T407,"—")</f>
        <v>—</v>
      </c>
      <c r="R33" s="43" t="str">
        <f aca="false">IF(AND(U407,7&lt;=$C$10),$M$24-T407,"—")</f>
        <v>—</v>
      </c>
      <c r="S33" s="44" t="str">
        <f aca="false">IF(AND(U407,7&lt;=$C$10),H407,"—")</f>
        <v>—</v>
      </c>
      <c r="T33" s="45" t="s">
        <v>53</v>
      </c>
      <c r="U33" s="46" t="str">
        <f aca="false">IFERROR(IF(AND(U407,7&lt;=$C$10),INDEX('📆 Daily Schedule'!$Q$5:$Q$400,MATCH(B407,'📆 Daily Schedule'!$F$5:$F$400,0)),"—"),"—")</f>
        <v>—</v>
      </c>
      <c r="V33" s="46"/>
    </row>
    <row r="34" customFormat="false" ht="21.75" hidden="false" customHeight="true" outlineLevel="0" collapsed="false">
      <c r="B34" s="34" t="str">
        <f aca="false">IF(AND(U408,8&lt;=$C$10),8,"")</f>
        <v/>
      </c>
      <c r="C34" s="35" t="str">
        <f aca="false">IF(AND(U408,8&lt;=$C$10),IF(P408,"🚨 MUST DO",IF(O408,"⏰ OVERDUE","")),"—")</f>
        <v>—</v>
      </c>
      <c r="D34" s="35"/>
      <c r="E34" s="36" t="str">
        <f aca="false">IF(AND(U408,8&lt;=$C$10),G408,"—")</f>
        <v>—</v>
      </c>
      <c r="F34" s="36"/>
      <c r="G34" s="37" t="str">
        <f aca="false">IF(AND(U408,8&lt;=$C$10),B408,"— (not enough time / prereq blocked)")</f>
        <v>— (not enough time / prereq blocked)</v>
      </c>
      <c r="H34" s="37"/>
      <c r="I34" s="37"/>
      <c r="J34" s="37"/>
      <c r="K34" s="37"/>
      <c r="L34" s="38" t="str">
        <f aca="false">IF(AND(U408,8&lt;=$C$10),C408,"—")</f>
        <v>—</v>
      </c>
      <c r="M34" s="38"/>
      <c r="N34" s="39" t="str">
        <f aca="false">IF(AND(U408,8&lt;=$C$10),D408,"—")</f>
        <v>—</v>
      </c>
      <c r="O34" s="40" t="str">
        <f aca="false">IF(AND(U408,8&lt;=$C$10),E408,"—")</f>
        <v>—</v>
      </c>
      <c r="P34" s="41" t="str">
        <f aca="false">IF(AND(U408,8&lt;=$C$10),F408,"—")</f>
        <v>—</v>
      </c>
      <c r="Q34" s="42" t="str">
        <f aca="false">IF(AND(U408,8&lt;=$C$10),T408,"—")</f>
        <v>—</v>
      </c>
      <c r="R34" s="43" t="str">
        <f aca="false">IF(AND(U408,8&lt;=$C$10),$M$24-T408,"—")</f>
        <v>—</v>
      </c>
      <c r="S34" s="44" t="str">
        <f aca="false">IF(AND(U408,8&lt;=$C$10),H408,"—")</f>
        <v>—</v>
      </c>
      <c r="T34" s="45" t="s">
        <v>53</v>
      </c>
      <c r="U34" s="46" t="str">
        <f aca="false">IFERROR(IF(AND(U408,8&lt;=$C$10),INDEX('📆 Daily Schedule'!$Q$5:$Q$400,MATCH(B408,'📆 Daily Schedule'!$F$5:$F$400,0)),"—"),"—")</f>
        <v>—</v>
      </c>
      <c r="V34" s="46"/>
    </row>
    <row r="35" customFormat="false" ht="21.75" hidden="false" customHeight="true" outlineLevel="0" collapsed="false">
      <c r="B35" s="34" t="str">
        <f aca="false">IF(AND(U409,9&lt;=$C$10),9,"")</f>
        <v/>
      </c>
      <c r="C35" s="35" t="str">
        <f aca="false">IF(AND(U409,9&lt;=$C$10),IF(P409,"🚨 MUST DO",IF(O409,"⏰ OVERDUE","")),"—")</f>
        <v>—</v>
      </c>
      <c r="D35" s="35"/>
      <c r="E35" s="36" t="str">
        <f aca="false">IF(AND(U409,9&lt;=$C$10),G409,"—")</f>
        <v>—</v>
      </c>
      <c r="F35" s="36"/>
      <c r="G35" s="37" t="str">
        <f aca="false">IF(AND(U409,9&lt;=$C$10),B409,"— (not enough time / prereq blocked)")</f>
        <v>— (not enough time / prereq blocked)</v>
      </c>
      <c r="H35" s="37"/>
      <c r="I35" s="37"/>
      <c r="J35" s="37"/>
      <c r="K35" s="37"/>
      <c r="L35" s="38" t="str">
        <f aca="false">IF(AND(U409,9&lt;=$C$10),C409,"—")</f>
        <v>—</v>
      </c>
      <c r="M35" s="38"/>
      <c r="N35" s="39" t="str">
        <f aca="false">IF(AND(U409,9&lt;=$C$10),D409,"—")</f>
        <v>—</v>
      </c>
      <c r="O35" s="40" t="str">
        <f aca="false">IF(AND(U409,9&lt;=$C$10),E409,"—")</f>
        <v>—</v>
      </c>
      <c r="P35" s="41" t="str">
        <f aca="false">IF(AND(U409,9&lt;=$C$10),F409,"—")</f>
        <v>—</v>
      </c>
      <c r="Q35" s="42" t="str">
        <f aca="false">IF(AND(U409,9&lt;=$C$10),T409,"—")</f>
        <v>—</v>
      </c>
      <c r="R35" s="43" t="str">
        <f aca="false">IF(AND(U409,9&lt;=$C$10),$M$24-T409,"—")</f>
        <v>—</v>
      </c>
      <c r="S35" s="44" t="str">
        <f aca="false">IF(AND(U409,9&lt;=$C$10),H409,"—")</f>
        <v>—</v>
      </c>
      <c r="T35" s="45" t="s">
        <v>53</v>
      </c>
      <c r="U35" s="46" t="str">
        <f aca="false">IFERROR(IF(AND(U409,9&lt;=$C$10),INDEX('📆 Daily Schedule'!$Q$5:$Q$400,MATCH(B409,'📆 Daily Schedule'!$F$5:$F$400,0)),"—"),"—")</f>
        <v>—</v>
      </c>
      <c r="V35" s="46"/>
    </row>
    <row r="36" customFormat="false" ht="21.75" hidden="false" customHeight="true" outlineLevel="0" collapsed="false">
      <c r="B36" s="34" t="str">
        <f aca="false">IF(AND(U410,10&lt;=$C$10),10,"")</f>
        <v/>
      </c>
      <c r="C36" s="35" t="str">
        <f aca="false">IF(AND(U410,10&lt;=$C$10),IF(P410,"🚨 MUST DO",IF(O410,"⏰ OVERDUE","")),"—")</f>
        <v>—</v>
      </c>
      <c r="D36" s="35"/>
      <c r="E36" s="36" t="str">
        <f aca="false">IF(AND(U410,10&lt;=$C$10),G410,"—")</f>
        <v>—</v>
      </c>
      <c r="F36" s="36"/>
      <c r="G36" s="37" t="str">
        <f aca="false">IF(AND(U410,10&lt;=$C$10),B410,"— (not enough time / prereq blocked)")</f>
        <v>— (not enough time / prereq blocked)</v>
      </c>
      <c r="H36" s="37"/>
      <c r="I36" s="37"/>
      <c r="J36" s="37"/>
      <c r="K36" s="37"/>
      <c r="L36" s="38" t="str">
        <f aca="false">IF(AND(U410,10&lt;=$C$10),C410,"—")</f>
        <v>—</v>
      </c>
      <c r="M36" s="38"/>
      <c r="N36" s="39" t="str">
        <f aca="false">IF(AND(U410,10&lt;=$C$10),D410,"—")</f>
        <v>—</v>
      </c>
      <c r="O36" s="40" t="str">
        <f aca="false">IF(AND(U410,10&lt;=$C$10),E410,"—")</f>
        <v>—</v>
      </c>
      <c r="P36" s="41" t="str">
        <f aca="false">IF(AND(U410,10&lt;=$C$10),F410,"—")</f>
        <v>—</v>
      </c>
      <c r="Q36" s="42" t="str">
        <f aca="false">IF(AND(U410,10&lt;=$C$10),T410,"—")</f>
        <v>—</v>
      </c>
      <c r="R36" s="43" t="str">
        <f aca="false">IF(AND(U410,10&lt;=$C$10),$M$24-T410,"—")</f>
        <v>—</v>
      </c>
      <c r="S36" s="44" t="str">
        <f aca="false">IF(AND(U410,10&lt;=$C$10),H410,"—")</f>
        <v>—</v>
      </c>
      <c r="T36" s="45" t="s">
        <v>53</v>
      </c>
      <c r="U36" s="46" t="str">
        <f aca="false">IFERROR(IF(AND(U410,10&lt;=$C$10),INDEX('📆 Daily Schedule'!$Q$5:$Q$400,MATCH(B410,'📆 Daily Schedule'!$F$5:$F$400,0)),"—"),"—")</f>
        <v>—</v>
      </c>
      <c r="V36" s="46"/>
    </row>
    <row r="37" customFormat="false" ht="21.75" hidden="false" customHeight="true" outlineLevel="0" collapsed="false">
      <c r="B37" s="34" t="str">
        <f aca="false">IF(AND(U411,11&lt;=$C$10),11,"")</f>
        <v/>
      </c>
      <c r="C37" s="35" t="str">
        <f aca="false">IF(AND(U411,11&lt;=$C$10),IF(P411,"🚨 MUST DO",IF(O411,"⏰ OVERDUE","")),"—")</f>
        <v>—</v>
      </c>
      <c r="D37" s="35"/>
      <c r="E37" s="36" t="str">
        <f aca="false">IF(AND(U411,11&lt;=$C$10),G411,"—")</f>
        <v>—</v>
      </c>
      <c r="F37" s="36"/>
      <c r="G37" s="37" t="str">
        <f aca="false">IF(AND(U411,11&lt;=$C$10),B411,"— (not enough time / prereq blocked)")</f>
        <v>— (not enough time / prereq blocked)</v>
      </c>
      <c r="H37" s="37"/>
      <c r="I37" s="37"/>
      <c r="J37" s="37"/>
      <c r="K37" s="37"/>
      <c r="L37" s="38" t="str">
        <f aca="false">IF(AND(U411,11&lt;=$C$10),C411,"—")</f>
        <v>—</v>
      </c>
      <c r="M37" s="38"/>
      <c r="N37" s="39" t="str">
        <f aca="false">IF(AND(U411,11&lt;=$C$10),D411,"—")</f>
        <v>—</v>
      </c>
      <c r="O37" s="40" t="str">
        <f aca="false">IF(AND(U411,11&lt;=$C$10),E411,"—")</f>
        <v>—</v>
      </c>
      <c r="P37" s="41" t="str">
        <f aca="false">IF(AND(U411,11&lt;=$C$10),F411,"—")</f>
        <v>—</v>
      </c>
      <c r="Q37" s="42" t="str">
        <f aca="false">IF(AND(U411,11&lt;=$C$10),T411,"—")</f>
        <v>—</v>
      </c>
      <c r="R37" s="43" t="str">
        <f aca="false">IF(AND(U411,11&lt;=$C$10),$M$24-T411,"—")</f>
        <v>—</v>
      </c>
      <c r="S37" s="44" t="str">
        <f aca="false">IF(AND(U411,11&lt;=$C$10),H411,"—")</f>
        <v>—</v>
      </c>
      <c r="T37" s="45" t="s">
        <v>53</v>
      </c>
      <c r="U37" s="46" t="str">
        <f aca="false">IFERROR(IF(AND(U411,11&lt;=$C$10),INDEX('📆 Daily Schedule'!$Q$5:$Q$400,MATCH(B411,'📆 Daily Schedule'!$F$5:$F$400,0)),"—"),"—")</f>
        <v>—</v>
      </c>
      <c r="V37" s="46"/>
    </row>
    <row r="38" customFormat="false" ht="21.75" hidden="false" customHeight="true" outlineLevel="0" collapsed="false">
      <c r="B38" s="34" t="str">
        <f aca="false">IF(AND(U412,12&lt;=$C$10),12,"")</f>
        <v/>
      </c>
      <c r="C38" s="35" t="str">
        <f aca="false">IF(AND(U412,12&lt;=$C$10),IF(P412,"🚨 MUST DO",IF(O412,"⏰ OVERDUE","")),"—")</f>
        <v>—</v>
      </c>
      <c r="D38" s="35"/>
      <c r="E38" s="36" t="str">
        <f aca="false">IF(AND(U412,12&lt;=$C$10),G412,"—")</f>
        <v>—</v>
      </c>
      <c r="F38" s="36"/>
      <c r="G38" s="37" t="str">
        <f aca="false">IF(AND(U412,12&lt;=$C$10),B412,"— (not enough time / prereq blocked)")</f>
        <v>— (not enough time / prereq blocked)</v>
      </c>
      <c r="H38" s="37"/>
      <c r="I38" s="37"/>
      <c r="J38" s="37"/>
      <c r="K38" s="37"/>
      <c r="L38" s="38" t="str">
        <f aca="false">IF(AND(U412,12&lt;=$C$10),C412,"—")</f>
        <v>—</v>
      </c>
      <c r="M38" s="38"/>
      <c r="N38" s="39" t="str">
        <f aca="false">IF(AND(U412,12&lt;=$C$10),D412,"—")</f>
        <v>—</v>
      </c>
      <c r="O38" s="40" t="str">
        <f aca="false">IF(AND(U412,12&lt;=$C$10),E412,"—")</f>
        <v>—</v>
      </c>
      <c r="P38" s="41" t="str">
        <f aca="false">IF(AND(U412,12&lt;=$C$10),F412,"—")</f>
        <v>—</v>
      </c>
      <c r="Q38" s="42" t="str">
        <f aca="false">IF(AND(U412,12&lt;=$C$10),T412,"—")</f>
        <v>—</v>
      </c>
      <c r="R38" s="43" t="str">
        <f aca="false">IF(AND(U412,12&lt;=$C$10),$M$24-T412,"—")</f>
        <v>—</v>
      </c>
      <c r="S38" s="44" t="str">
        <f aca="false">IF(AND(U412,12&lt;=$C$10),H412,"—")</f>
        <v>—</v>
      </c>
      <c r="T38" s="45" t="s">
        <v>53</v>
      </c>
      <c r="U38" s="46" t="str">
        <f aca="false">IFERROR(IF(AND(U412,12&lt;=$C$10),INDEX('📆 Daily Schedule'!$Q$5:$Q$400,MATCH(B412,'📆 Daily Schedule'!$F$5:$F$400,0)),"—"),"—")</f>
        <v>—</v>
      </c>
      <c r="V38" s="46"/>
    </row>
    <row r="39" customFormat="false" ht="21.75" hidden="false" customHeight="true" outlineLevel="0" collapsed="false">
      <c r="B39" s="34" t="str">
        <f aca="false">IF(AND(U413,13&lt;=$C$10),13,"")</f>
        <v/>
      </c>
      <c r="C39" s="35" t="str">
        <f aca="false">IF(AND(U413,13&lt;=$C$10),IF(P413,"🚨 MUST DO",IF(O413,"⏰ OVERDUE","")),"—")</f>
        <v>—</v>
      </c>
      <c r="D39" s="35"/>
      <c r="E39" s="36" t="str">
        <f aca="false">IF(AND(U413,13&lt;=$C$10),G413,"—")</f>
        <v>—</v>
      </c>
      <c r="F39" s="36"/>
      <c r="G39" s="37" t="str">
        <f aca="false">IF(AND(U413,13&lt;=$C$10),B413,"— (not enough time / prereq blocked)")</f>
        <v>— (not enough time / prereq blocked)</v>
      </c>
      <c r="H39" s="37"/>
      <c r="I39" s="37"/>
      <c r="J39" s="37"/>
      <c r="K39" s="37"/>
      <c r="L39" s="38" t="str">
        <f aca="false">IF(AND(U413,13&lt;=$C$10),C413,"—")</f>
        <v>—</v>
      </c>
      <c r="M39" s="38"/>
      <c r="N39" s="39" t="str">
        <f aca="false">IF(AND(U413,13&lt;=$C$10),D413,"—")</f>
        <v>—</v>
      </c>
      <c r="O39" s="40" t="str">
        <f aca="false">IF(AND(U413,13&lt;=$C$10),E413,"—")</f>
        <v>—</v>
      </c>
      <c r="P39" s="41" t="str">
        <f aca="false">IF(AND(U413,13&lt;=$C$10),F413,"—")</f>
        <v>—</v>
      </c>
      <c r="Q39" s="42" t="str">
        <f aca="false">IF(AND(U413,13&lt;=$C$10),T413,"—")</f>
        <v>—</v>
      </c>
      <c r="R39" s="43" t="str">
        <f aca="false">IF(AND(U413,13&lt;=$C$10),$M$24-T413,"—")</f>
        <v>—</v>
      </c>
      <c r="S39" s="44" t="str">
        <f aca="false">IF(AND(U413,13&lt;=$C$10),H413,"—")</f>
        <v>—</v>
      </c>
      <c r="T39" s="45" t="s">
        <v>53</v>
      </c>
      <c r="U39" s="46" t="str">
        <f aca="false">IFERROR(IF(AND(U413,13&lt;=$C$10),INDEX('📆 Daily Schedule'!$Q$5:$Q$400,MATCH(B413,'📆 Daily Schedule'!$F$5:$F$400,0)),"—"),"—")</f>
        <v>—</v>
      </c>
      <c r="V39" s="46"/>
    </row>
    <row r="40" customFormat="false" ht="21.75" hidden="false" customHeight="true" outlineLevel="0" collapsed="false">
      <c r="B40" s="34" t="str">
        <f aca="false">IF(AND(U414,14&lt;=$C$10),14,"")</f>
        <v/>
      </c>
      <c r="C40" s="35" t="str">
        <f aca="false">IF(AND(U414,14&lt;=$C$10),IF(P414,"🚨 MUST DO",IF(O414,"⏰ OVERDUE","")),"—")</f>
        <v>—</v>
      </c>
      <c r="D40" s="35"/>
      <c r="E40" s="36" t="str">
        <f aca="false">IF(AND(U414,14&lt;=$C$10),G414,"—")</f>
        <v>—</v>
      </c>
      <c r="F40" s="36"/>
      <c r="G40" s="37" t="str">
        <f aca="false">IF(AND(U414,14&lt;=$C$10),B414,"— (not enough time / prereq blocked)")</f>
        <v>— (not enough time / prereq blocked)</v>
      </c>
      <c r="H40" s="37"/>
      <c r="I40" s="37"/>
      <c r="J40" s="37"/>
      <c r="K40" s="37"/>
      <c r="L40" s="38" t="str">
        <f aca="false">IF(AND(U414,14&lt;=$C$10),C414,"—")</f>
        <v>—</v>
      </c>
      <c r="M40" s="38"/>
      <c r="N40" s="39" t="str">
        <f aca="false">IF(AND(U414,14&lt;=$C$10),D414,"—")</f>
        <v>—</v>
      </c>
      <c r="O40" s="40" t="str">
        <f aca="false">IF(AND(U414,14&lt;=$C$10),E414,"—")</f>
        <v>—</v>
      </c>
      <c r="P40" s="41" t="str">
        <f aca="false">IF(AND(U414,14&lt;=$C$10),F414,"—")</f>
        <v>—</v>
      </c>
      <c r="Q40" s="42" t="str">
        <f aca="false">IF(AND(U414,14&lt;=$C$10),T414,"—")</f>
        <v>—</v>
      </c>
      <c r="R40" s="43" t="str">
        <f aca="false">IF(AND(U414,14&lt;=$C$10),$M$24-T414,"—")</f>
        <v>—</v>
      </c>
      <c r="S40" s="44" t="str">
        <f aca="false">IF(AND(U414,14&lt;=$C$10),H414,"—")</f>
        <v>—</v>
      </c>
      <c r="T40" s="45" t="s">
        <v>53</v>
      </c>
      <c r="U40" s="46" t="str">
        <f aca="false">IFERROR(IF(AND(U414,14&lt;=$C$10),INDEX('📆 Daily Schedule'!$Q$5:$Q$400,MATCH(B414,'📆 Daily Schedule'!$F$5:$F$400,0)),"—"),"—")</f>
        <v>—</v>
      </c>
      <c r="V40" s="46"/>
    </row>
    <row r="41" customFormat="false" ht="21.75" hidden="false" customHeight="true" outlineLevel="0" collapsed="false">
      <c r="B41" s="34" t="str">
        <f aca="false">IF(AND(U415,15&lt;=$C$10),15,"")</f>
        <v/>
      </c>
      <c r="C41" s="35" t="str">
        <f aca="false">IF(AND(U415,15&lt;=$C$10),IF(P415,"🚨 MUST DO",IF(O415,"⏰ OVERDUE","")),"—")</f>
        <v>—</v>
      </c>
      <c r="D41" s="35"/>
      <c r="E41" s="36" t="str">
        <f aca="false">IF(AND(U415,15&lt;=$C$10),G415,"—")</f>
        <v>—</v>
      </c>
      <c r="F41" s="36"/>
      <c r="G41" s="37" t="str">
        <f aca="false">IF(AND(U415,15&lt;=$C$10),B415,"— (not enough time / prereq blocked)")</f>
        <v>— (not enough time / prereq blocked)</v>
      </c>
      <c r="H41" s="37"/>
      <c r="I41" s="37"/>
      <c r="J41" s="37"/>
      <c r="K41" s="37"/>
      <c r="L41" s="38" t="str">
        <f aca="false">IF(AND(U415,15&lt;=$C$10),C415,"—")</f>
        <v>—</v>
      </c>
      <c r="M41" s="38"/>
      <c r="N41" s="39" t="str">
        <f aca="false">IF(AND(U415,15&lt;=$C$10),D415,"—")</f>
        <v>—</v>
      </c>
      <c r="O41" s="40" t="str">
        <f aca="false">IF(AND(U415,15&lt;=$C$10),E415,"—")</f>
        <v>—</v>
      </c>
      <c r="P41" s="41" t="str">
        <f aca="false">IF(AND(U415,15&lt;=$C$10),F415,"—")</f>
        <v>—</v>
      </c>
      <c r="Q41" s="42" t="str">
        <f aca="false">IF(AND(U415,15&lt;=$C$10),T415,"—")</f>
        <v>—</v>
      </c>
      <c r="R41" s="43" t="str">
        <f aca="false">IF(AND(U415,15&lt;=$C$10),$M$24-T415,"—")</f>
        <v>—</v>
      </c>
      <c r="S41" s="44" t="str">
        <f aca="false">IF(AND(U415,15&lt;=$C$10),H415,"—")</f>
        <v>—</v>
      </c>
      <c r="T41" s="45" t="s">
        <v>53</v>
      </c>
      <c r="U41" s="46" t="str">
        <f aca="false">IFERROR(IF(AND(U415,15&lt;=$C$10),INDEX('📆 Daily Schedule'!$Q$5:$Q$400,MATCH(B415,'📆 Daily Schedule'!$F$5:$F$400,0)),"—"),"—")</f>
        <v>—</v>
      </c>
      <c r="V41" s="46"/>
    </row>
    <row r="42" customFormat="false" ht="21.75" hidden="false" customHeight="true" outlineLevel="0" collapsed="false">
      <c r="B42" s="34" t="str">
        <f aca="false">IF(AND(U416,16&lt;=$C$10),16,"")</f>
        <v/>
      </c>
      <c r="C42" s="35" t="str">
        <f aca="false">IF(AND(U416,16&lt;=$C$10),IF(P416,"🚨 MUST DO",IF(O416,"⏰ OVERDUE","")),"—")</f>
        <v>—</v>
      </c>
      <c r="D42" s="35"/>
      <c r="E42" s="36" t="str">
        <f aca="false">IF(AND(U416,16&lt;=$C$10),G416,"—")</f>
        <v>—</v>
      </c>
      <c r="F42" s="36"/>
      <c r="G42" s="37" t="str">
        <f aca="false">IF(AND(U416,16&lt;=$C$10),B416,"— (not enough time / prereq blocked)")</f>
        <v>— (not enough time / prereq blocked)</v>
      </c>
      <c r="H42" s="37"/>
      <c r="I42" s="37"/>
      <c r="J42" s="37"/>
      <c r="K42" s="37"/>
      <c r="L42" s="38" t="str">
        <f aca="false">IF(AND(U416,16&lt;=$C$10),C416,"—")</f>
        <v>—</v>
      </c>
      <c r="M42" s="38"/>
      <c r="N42" s="39" t="str">
        <f aca="false">IF(AND(U416,16&lt;=$C$10),D416,"—")</f>
        <v>—</v>
      </c>
      <c r="O42" s="40" t="str">
        <f aca="false">IF(AND(U416,16&lt;=$C$10),E416,"—")</f>
        <v>—</v>
      </c>
      <c r="P42" s="41" t="str">
        <f aca="false">IF(AND(U416,16&lt;=$C$10),F416,"—")</f>
        <v>—</v>
      </c>
      <c r="Q42" s="42" t="str">
        <f aca="false">IF(AND(U416,16&lt;=$C$10),T416,"—")</f>
        <v>—</v>
      </c>
      <c r="R42" s="43" t="str">
        <f aca="false">IF(AND(U416,16&lt;=$C$10),$M$24-T416,"—")</f>
        <v>—</v>
      </c>
      <c r="S42" s="44" t="str">
        <f aca="false">IF(AND(U416,16&lt;=$C$10),H416,"—")</f>
        <v>—</v>
      </c>
      <c r="T42" s="45" t="s">
        <v>53</v>
      </c>
      <c r="U42" s="46" t="str">
        <f aca="false">IFERROR(IF(AND(U416,16&lt;=$C$10),INDEX('📆 Daily Schedule'!$Q$5:$Q$400,MATCH(B416,'📆 Daily Schedule'!$F$5:$F$400,0)),"—"),"—")</f>
        <v>—</v>
      </c>
      <c r="V42" s="46"/>
    </row>
    <row r="43" customFormat="false" ht="21.75" hidden="false" customHeight="true" outlineLevel="0" collapsed="false">
      <c r="B43" s="34" t="str">
        <f aca="false">IF(AND(U417,17&lt;=$C$10),17,"")</f>
        <v/>
      </c>
      <c r="C43" s="35" t="str">
        <f aca="false">IF(AND(U417,17&lt;=$C$10),IF(P417,"🚨 MUST DO",IF(O417,"⏰ OVERDUE","")),"—")</f>
        <v>—</v>
      </c>
      <c r="D43" s="35"/>
      <c r="E43" s="36" t="str">
        <f aca="false">IF(AND(U417,17&lt;=$C$10),G417,"—")</f>
        <v>—</v>
      </c>
      <c r="F43" s="36"/>
      <c r="G43" s="37" t="str">
        <f aca="false">IF(AND(U417,17&lt;=$C$10),B417,"— (not enough time / prereq blocked)")</f>
        <v>— (not enough time / prereq blocked)</v>
      </c>
      <c r="H43" s="37"/>
      <c r="I43" s="37"/>
      <c r="J43" s="37"/>
      <c r="K43" s="37"/>
      <c r="L43" s="38" t="str">
        <f aca="false">IF(AND(U417,17&lt;=$C$10),C417,"—")</f>
        <v>—</v>
      </c>
      <c r="M43" s="38"/>
      <c r="N43" s="39" t="str">
        <f aca="false">IF(AND(U417,17&lt;=$C$10),D417,"—")</f>
        <v>—</v>
      </c>
      <c r="O43" s="40" t="str">
        <f aca="false">IF(AND(U417,17&lt;=$C$10),E417,"—")</f>
        <v>—</v>
      </c>
      <c r="P43" s="41" t="str">
        <f aca="false">IF(AND(U417,17&lt;=$C$10),F417,"—")</f>
        <v>—</v>
      </c>
      <c r="Q43" s="42" t="str">
        <f aca="false">IF(AND(U417,17&lt;=$C$10),T417,"—")</f>
        <v>—</v>
      </c>
      <c r="R43" s="43" t="str">
        <f aca="false">IF(AND(U417,17&lt;=$C$10),$M$24-T417,"—")</f>
        <v>—</v>
      </c>
      <c r="S43" s="44" t="str">
        <f aca="false">IF(AND(U417,17&lt;=$C$10),H417,"—")</f>
        <v>—</v>
      </c>
      <c r="T43" s="45" t="s">
        <v>53</v>
      </c>
      <c r="U43" s="46" t="str">
        <f aca="false">IFERROR(IF(AND(U417,17&lt;=$C$10),INDEX('📆 Daily Schedule'!$Q$5:$Q$400,MATCH(B417,'📆 Daily Schedule'!$F$5:$F$400,0)),"—"),"—")</f>
        <v>—</v>
      </c>
      <c r="V43" s="46"/>
    </row>
    <row r="44" customFormat="false" ht="21.75" hidden="false" customHeight="true" outlineLevel="0" collapsed="false">
      <c r="B44" s="34" t="str">
        <f aca="false">IF(AND(U418,18&lt;=$C$10),18,"")</f>
        <v/>
      </c>
      <c r="C44" s="35" t="str">
        <f aca="false">IF(AND(U418,18&lt;=$C$10),IF(P418,"🚨 MUST DO",IF(O418,"⏰ OVERDUE","")),"—")</f>
        <v>—</v>
      </c>
      <c r="D44" s="35"/>
      <c r="E44" s="36" t="str">
        <f aca="false">IF(AND(U418,18&lt;=$C$10),G418,"—")</f>
        <v>—</v>
      </c>
      <c r="F44" s="36"/>
      <c r="G44" s="37" t="str">
        <f aca="false">IF(AND(U418,18&lt;=$C$10),B418,"— (not enough time / prereq blocked)")</f>
        <v>— (not enough time / prereq blocked)</v>
      </c>
      <c r="H44" s="37"/>
      <c r="I44" s="37"/>
      <c r="J44" s="37"/>
      <c r="K44" s="37"/>
      <c r="L44" s="38" t="str">
        <f aca="false">IF(AND(U418,18&lt;=$C$10),C418,"—")</f>
        <v>—</v>
      </c>
      <c r="M44" s="38"/>
      <c r="N44" s="39" t="str">
        <f aca="false">IF(AND(U418,18&lt;=$C$10),D418,"—")</f>
        <v>—</v>
      </c>
      <c r="O44" s="40" t="str">
        <f aca="false">IF(AND(U418,18&lt;=$C$10),E418,"—")</f>
        <v>—</v>
      </c>
      <c r="P44" s="41" t="str">
        <f aca="false">IF(AND(U418,18&lt;=$C$10),F418,"—")</f>
        <v>—</v>
      </c>
      <c r="Q44" s="42" t="str">
        <f aca="false">IF(AND(U418,18&lt;=$C$10),T418,"—")</f>
        <v>—</v>
      </c>
      <c r="R44" s="43" t="str">
        <f aca="false">IF(AND(U418,18&lt;=$C$10),$M$24-T418,"—")</f>
        <v>—</v>
      </c>
      <c r="S44" s="44" t="str">
        <f aca="false">IF(AND(U418,18&lt;=$C$10),H418,"—")</f>
        <v>—</v>
      </c>
      <c r="T44" s="45" t="s">
        <v>53</v>
      </c>
      <c r="U44" s="46" t="str">
        <f aca="false">IFERROR(IF(AND(U418,18&lt;=$C$10),INDEX('📆 Daily Schedule'!$Q$5:$Q$400,MATCH(B418,'📆 Daily Schedule'!$F$5:$F$400,0)),"—"),"—")</f>
        <v>—</v>
      </c>
      <c r="V44" s="46"/>
    </row>
    <row r="45" customFormat="false" ht="21.75" hidden="false" customHeight="true" outlineLevel="0" collapsed="false">
      <c r="B45" s="34" t="str">
        <f aca="false">IF(AND(U419,19&lt;=$C$10),19,"")</f>
        <v/>
      </c>
      <c r="C45" s="35" t="str">
        <f aca="false">IF(AND(U419,19&lt;=$C$10),IF(P419,"🚨 MUST DO",IF(O419,"⏰ OVERDUE","")),"—")</f>
        <v>—</v>
      </c>
      <c r="D45" s="35"/>
      <c r="E45" s="36" t="str">
        <f aca="false">IF(AND(U419,19&lt;=$C$10),G419,"—")</f>
        <v>—</v>
      </c>
      <c r="F45" s="36"/>
      <c r="G45" s="37" t="str">
        <f aca="false">IF(AND(U419,19&lt;=$C$10),B419,"— (not enough time / prereq blocked)")</f>
        <v>— (not enough time / prereq blocked)</v>
      </c>
      <c r="H45" s="37"/>
      <c r="I45" s="37"/>
      <c r="J45" s="37"/>
      <c r="K45" s="37"/>
      <c r="L45" s="38" t="str">
        <f aca="false">IF(AND(U419,19&lt;=$C$10),C419,"—")</f>
        <v>—</v>
      </c>
      <c r="M45" s="38"/>
      <c r="N45" s="39" t="str">
        <f aca="false">IF(AND(U419,19&lt;=$C$10),D419,"—")</f>
        <v>—</v>
      </c>
      <c r="O45" s="40" t="str">
        <f aca="false">IF(AND(U419,19&lt;=$C$10),E419,"—")</f>
        <v>—</v>
      </c>
      <c r="P45" s="41" t="str">
        <f aca="false">IF(AND(U419,19&lt;=$C$10),F419,"—")</f>
        <v>—</v>
      </c>
      <c r="Q45" s="42" t="str">
        <f aca="false">IF(AND(U419,19&lt;=$C$10),T419,"—")</f>
        <v>—</v>
      </c>
      <c r="R45" s="43" t="str">
        <f aca="false">IF(AND(U419,19&lt;=$C$10),$M$24-T419,"—")</f>
        <v>—</v>
      </c>
      <c r="S45" s="44" t="str">
        <f aca="false">IF(AND(U419,19&lt;=$C$10),H419,"—")</f>
        <v>—</v>
      </c>
      <c r="T45" s="45" t="s">
        <v>53</v>
      </c>
      <c r="U45" s="46" t="str">
        <f aca="false">IFERROR(IF(AND(U419,19&lt;=$C$10),INDEX('📆 Daily Schedule'!$Q$5:$Q$400,MATCH(B419,'📆 Daily Schedule'!$F$5:$F$400,0)),"—"),"—")</f>
        <v>—</v>
      </c>
      <c r="V45" s="46"/>
    </row>
    <row r="46" customFormat="false" ht="21.75" hidden="false" customHeight="true" outlineLevel="0" collapsed="false">
      <c r="B46" s="34" t="str">
        <f aca="false">IF(AND(U420,20&lt;=$C$10),20,"")</f>
        <v/>
      </c>
      <c r="C46" s="35" t="str">
        <f aca="false">IF(AND(U420,20&lt;=$C$10),IF(P420,"🚨 MUST DO",IF(O420,"⏰ OVERDUE","")),"—")</f>
        <v>—</v>
      </c>
      <c r="D46" s="35"/>
      <c r="E46" s="36" t="str">
        <f aca="false">IF(AND(U420,20&lt;=$C$10),G420,"—")</f>
        <v>—</v>
      </c>
      <c r="F46" s="36"/>
      <c r="G46" s="37" t="str">
        <f aca="false">IF(AND(U420,20&lt;=$C$10),B420,"— (not enough time / prereq blocked)")</f>
        <v>— (not enough time / prereq blocked)</v>
      </c>
      <c r="H46" s="37"/>
      <c r="I46" s="37"/>
      <c r="J46" s="37"/>
      <c r="K46" s="37"/>
      <c r="L46" s="38" t="str">
        <f aca="false">IF(AND(U420,20&lt;=$C$10),C420,"—")</f>
        <v>—</v>
      </c>
      <c r="M46" s="38"/>
      <c r="N46" s="39" t="str">
        <f aca="false">IF(AND(U420,20&lt;=$C$10),D420,"—")</f>
        <v>—</v>
      </c>
      <c r="O46" s="40" t="str">
        <f aca="false">IF(AND(U420,20&lt;=$C$10),E420,"—")</f>
        <v>—</v>
      </c>
      <c r="P46" s="41" t="str">
        <f aca="false">IF(AND(U420,20&lt;=$C$10),F420,"—")</f>
        <v>—</v>
      </c>
      <c r="Q46" s="42" t="str">
        <f aca="false">IF(AND(U420,20&lt;=$C$10),T420,"—")</f>
        <v>—</v>
      </c>
      <c r="R46" s="43" t="str">
        <f aca="false">IF(AND(U420,20&lt;=$C$10),$M$24-T420,"—")</f>
        <v>—</v>
      </c>
      <c r="S46" s="44" t="str">
        <f aca="false">IF(AND(U420,20&lt;=$C$10),H420,"—")</f>
        <v>—</v>
      </c>
      <c r="T46" s="45" t="s">
        <v>53</v>
      </c>
      <c r="U46" s="46" t="str">
        <f aca="false">IFERROR(IF(AND(U420,20&lt;=$C$10),INDEX('📆 Daily Schedule'!$Q$5:$Q$400,MATCH(B420,'📆 Daily Schedule'!$F$5:$F$400,0)),"—"),"—")</f>
        <v>—</v>
      </c>
      <c r="V46" s="46"/>
    </row>
    <row r="47" customFormat="false" ht="21.75" hidden="false" customHeight="true" outlineLevel="0" collapsed="false">
      <c r="B47" s="34" t="str">
        <f aca="false">IF(AND(U421,21&lt;=$C$10),21,"")</f>
        <v/>
      </c>
      <c r="C47" s="35" t="str">
        <f aca="false">IF(AND(U421,21&lt;=$C$10),IF(P421,"🚨 MUST DO",IF(O421,"⏰ OVERDUE","")),"—")</f>
        <v>—</v>
      </c>
      <c r="D47" s="35"/>
      <c r="E47" s="36" t="str">
        <f aca="false">IF(AND(U421,21&lt;=$C$10),G421,"—")</f>
        <v>—</v>
      </c>
      <c r="F47" s="36"/>
      <c r="G47" s="37" t="str">
        <f aca="false">IF(AND(U421,21&lt;=$C$10),B421,"— (not enough time / prereq blocked)")</f>
        <v>— (not enough time / prereq blocked)</v>
      </c>
      <c r="H47" s="37"/>
      <c r="I47" s="37"/>
      <c r="J47" s="37"/>
      <c r="K47" s="37"/>
      <c r="L47" s="38" t="str">
        <f aca="false">IF(AND(U421,21&lt;=$C$10),C421,"—")</f>
        <v>—</v>
      </c>
      <c r="M47" s="38"/>
      <c r="N47" s="39" t="str">
        <f aca="false">IF(AND(U421,21&lt;=$C$10),D421,"—")</f>
        <v>—</v>
      </c>
      <c r="O47" s="40" t="str">
        <f aca="false">IF(AND(U421,21&lt;=$C$10),E421,"—")</f>
        <v>—</v>
      </c>
      <c r="P47" s="41" t="str">
        <f aca="false">IF(AND(U421,21&lt;=$C$10),F421,"—")</f>
        <v>—</v>
      </c>
      <c r="Q47" s="42" t="str">
        <f aca="false">IF(AND(U421,21&lt;=$C$10),T421,"—")</f>
        <v>—</v>
      </c>
      <c r="R47" s="43" t="str">
        <f aca="false">IF(AND(U421,21&lt;=$C$10),$M$24-T421,"—")</f>
        <v>—</v>
      </c>
      <c r="S47" s="44" t="str">
        <f aca="false">IF(AND(U421,21&lt;=$C$10),H421,"—")</f>
        <v>—</v>
      </c>
      <c r="T47" s="45" t="s">
        <v>53</v>
      </c>
      <c r="U47" s="46" t="str">
        <f aca="false">IFERROR(IF(AND(U421,21&lt;=$C$10),INDEX('📆 Daily Schedule'!$Q$5:$Q$400,MATCH(B421,'📆 Daily Schedule'!$F$5:$F$400,0)),"—"),"—")</f>
        <v>—</v>
      </c>
      <c r="V47" s="46"/>
    </row>
    <row r="48" customFormat="false" ht="21.75" hidden="false" customHeight="true" outlineLevel="0" collapsed="false">
      <c r="B48" s="34" t="str">
        <f aca="false">IF(AND(U422,22&lt;=$C$10),22,"")</f>
        <v/>
      </c>
      <c r="C48" s="35" t="str">
        <f aca="false">IF(AND(U422,22&lt;=$C$10),IF(P422,"🚨 MUST DO",IF(O422,"⏰ OVERDUE","")),"—")</f>
        <v>—</v>
      </c>
      <c r="D48" s="35"/>
      <c r="E48" s="36" t="str">
        <f aca="false">IF(AND(U422,22&lt;=$C$10),G422,"—")</f>
        <v>—</v>
      </c>
      <c r="F48" s="36"/>
      <c r="G48" s="37" t="str">
        <f aca="false">IF(AND(U422,22&lt;=$C$10),B422,"— (not enough time / prereq blocked)")</f>
        <v>— (not enough time / prereq blocked)</v>
      </c>
      <c r="H48" s="37"/>
      <c r="I48" s="37"/>
      <c r="J48" s="37"/>
      <c r="K48" s="37"/>
      <c r="L48" s="38" t="str">
        <f aca="false">IF(AND(U422,22&lt;=$C$10),C422,"—")</f>
        <v>—</v>
      </c>
      <c r="M48" s="38"/>
      <c r="N48" s="39" t="str">
        <f aca="false">IF(AND(U422,22&lt;=$C$10),D422,"—")</f>
        <v>—</v>
      </c>
      <c r="O48" s="40" t="str">
        <f aca="false">IF(AND(U422,22&lt;=$C$10),E422,"—")</f>
        <v>—</v>
      </c>
      <c r="P48" s="41" t="str">
        <f aca="false">IF(AND(U422,22&lt;=$C$10),F422,"—")</f>
        <v>—</v>
      </c>
      <c r="Q48" s="42" t="str">
        <f aca="false">IF(AND(U422,22&lt;=$C$10),T422,"—")</f>
        <v>—</v>
      </c>
      <c r="R48" s="43" t="str">
        <f aca="false">IF(AND(U422,22&lt;=$C$10),$M$24-T422,"—")</f>
        <v>—</v>
      </c>
      <c r="S48" s="44" t="str">
        <f aca="false">IF(AND(U422,22&lt;=$C$10),H422,"—")</f>
        <v>—</v>
      </c>
      <c r="T48" s="45" t="s">
        <v>53</v>
      </c>
      <c r="U48" s="46" t="str">
        <f aca="false">IFERROR(IF(AND(U422,22&lt;=$C$10),INDEX('📆 Daily Schedule'!$Q$5:$Q$400,MATCH(B422,'📆 Daily Schedule'!$F$5:$F$400,0)),"—"),"—")</f>
        <v>—</v>
      </c>
      <c r="V48" s="46"/>
    </row>
    <row r="49" customFormat="false" ht="21.75" hidden="false" customHeight="true" outlineLevel="0" collapsed="false">
      <c r="B49" s="34" t="str">
        <f aca="false">IF(AND(U423,23&lt;=$C$10),23,"")</f>
        <v/>
      </c>
      <c r="C49" s="35" t="str">
        <f aca="false">IF(AND(U423,23&lt;=$C$10),IF(P423,"🚨 MUST DO",IF(O423,"⏰ OVERDUE","")),"—")</f>
        <v>—</v>
      </c>
      <c r="D49" s="35"/>
      <c r="E49" s="36" t="str">
        <f aca="false">IF(AND(U423,23&lt;=$C$10),G423,"—")</f>
        <v>—</v>
      </c>
      <c r="F49" s="36"/>
      <c r="G49" s="37" t="str">
        <f aca="false">IF(AND(U423,23&lt;=$C$10),B423,"— (not enough time / prereq blocked)")</f>
        <v>— (not enough time / prereq blocked)</v>
      </c>
      <c r="H49" s="37"/>
      <c r="I49" s="37"/>
      <c r="J49" s="37"/>
      <c r="K49" s="37"/>
      <c r="L49" s="38" t="str">
        <f aca="false">IF(AND(U423,23&lt;=$C$10),C423,"—")</f>
        <v>—</v>
      </c>
      <c r="M49" s="38"/>
      <c r="N49" s="39" t="str">
        <f aca="false">IF(AND(U423,23&lt;=$C$10),D423,"—")</f>
        <v>—</v>
      </c>
      <c r="O49" s="40" t="str">
        <f aca="false">IF(AND(U423,23&lt;=$C$10),E423,"—")</f>
        <v>—</v>
      </c>
      <c r="P49" s="41" t="str">
        <f aca="false">IF(AND(U423,23&lt;=$C$10),F423,"—")</f>
        <v>—</v>
      </c>
      <c r="Q49" s="42" t="str">
        <f aca="false">IF(AND(U423,23&lt;=$C$10),T423,"—")</f>
        <v>—</v>
      </c>
      <c r="R49" s="43" t="str">
        <f aca="false">IF(AND(U423,23&lt;=$C$10),$M$24-T423,"—")</f>
        <v>—</v>
      </c>
      <c r="S49" s="44" t="str">
        <f aca="false">IF(AND(U423,23&lt;=$C$10),H423,"—")</f>
        <v>—</v>
      </c>
      <c r="T49" s="45" t="s">
        <v>53</v>
      </c>
      <c r="U49" s="46" t="str">
        <f aca="false">IFERROR(IF(AND(U423,23&lt;=$C$10),INDEX('📆 Daily Schedule'!$Q$5:$Q$400,MATCH(B423,'📆 Daily Schedule'!$F$5:$F$400,0)),"—"),"—")</f>
        <v>—</v>
      </c>
      <c r="V49" s="46"/>
    </row>
    <row r="50" customFormat="false" ht="21.75" hidden="false" customHeight="true" outlineLevel="0" collapsed="false">
      <c r="B50" s="34" t="str">
        <f aca="false">IF(AND(U424,24&lt;=$C$10),24,"")</f>
        <v/>
      </c>
      <c r="C50" s="35" t="str">
        <f aca="false">IF(AND(U424,24&lt;=$C$10),IF(P424,"🚨 MUST DO",IF(O424,"⏰ OVERDUE","")),"—")</f>
        <v>—</v>
      </c>
      <c r="D50" s="35"/>
      <c r="E50" s="36" t="str">
        <f aca="false">IF(AND(U424,24&lt;=$C$10),G424,"—")</f>
        <v>—</v>
      </c>
      <c r="F50" s="36"/>
      <c r="G50" s="37" t="str">
        <f aca="false">IF(AND(U424,24&lt;=$C$10),B424,"— (not enough time / prereq blocked)")</f>
        <v>— (not enough time / prereq blocked)</v>
      </c>
      <c r="H50" s="37"/>
      <c r="I50" s="37"/>
      <c r="J50" s="37"/>
      <c r="K50" s="37"/>
      <c r="L50" s="38" t="str">
        <f aca="false">IF(AND(U424,24&lt;=$C$10),C424,"—")</f>
        <v>—</v>
      </c>
      <c r="M50" s="38"/>
      <c r="N50" s="39" t="str">
        <f aca="false">IF(AND(U424,24&lt;=$C$10),D424,"—")</f>
        <v>—</v>
      </c>
      <c r="O50" s="40" t="str">
        <f aca="false">IF(AND(U424,24&lt;=$C$10),E424,"—")</f>
        <v>—</v>
      </c>
      <c r="P50" s="41" t="str">
        <f aca="false">IF(AND(U424,24&lt;=$C$10),F424,"—")</f>
        <v>—</v>
      </c>
      <c r="Q50" s="42" t="str">
        <f aca="false">IF(AND(U424,24&lt;=$C$10),T424,"—")</f>
        <v>—</v>
      </c>
      <c r="R50" s="43" t="str">
        <f aca="false">IF(AND(U424,24&lt;=$C$10),$M$24-T424,"—")</f>
        <v>—</v>
      </c>
      <c r="S50" s="44" t="str">
        <f aca="false">IF(AND(U424,24&lt;=$C$10),H424,"—")</f>
        <v>—</v>
      </c>
      <c r="T50" s="45" t="s">
        <v>53</v>
      </c>
      <c r="U50" s="46" t="str">
        <f aca="false">IFERROR(IF(AND(U424,24&lt;=$C$10),INDEX('📆 Daily Schedule'!$Q$5:$Q$400,MATCH(B424,'📆 Daily Schedule'!$F$5:$F$400,0)),"—"),"—")</f>
        <v>—</v>
      </c>
      <c r="V50" s="46"/>
    </row>
    <row r="51" customFormat="false" ht="21.75" hidden="false" customHeight="true" outlineLevel="0" collapsed="false">
      <c r="B51" s="34" t="str">
        <f aca="false">IF(AND(U425,25&lt;=$C$10),25,"")</f>
        <v/>
      </c>
      <c r="C51" s="35" t="str">
        <f aca="false">IF(AND(U425,25&lt;=$C$10),IF(P425,"🚨 MUST DO",IF(O425,"⏰ OVERDUE","")),"—")</f>
        <v>—</v>
      </c>
      <c r="D51" s="35"/>
      <c r="E51" s="36" t="str">
        <f aca="false">IF(AND(U425,25&lt;=$C$10),G425,"—")</f>
        <v>—</v>
      </c>
      <c r="F51" s="36"/>
      <c r="G51" s="37" t="str">
        <f aca="false">IF(AND(U425,25&lt;=$C$10),B425,"— (not enough time / prereq blocked)")</f>
        <v>— (not enough time / prereq blocked)</v>
      </c>
      <c r="H51" s="37"/>
      <c r="I51" s="37"/>
      <c r="J51" s="37"/>
      <c r="K51" s="37"/>
      <c r="L51" s="38" t="str">
        <f aca="false">IF(AND(U425,25&lt;=$C$10),C425,"—")</f>
        <v>—</v>
      </c>
      <c r="M51" s="38"/>
      <c r="N51" s="39" t="str">
        <f aca="false">IF(AND(U425,25&lt;=$C$10),D425,"—")</f>
        <v>—</v>
      </c>
      <c r="O51" s="40" t="str">
        <f aca="false">IF(AND(U425,25&lt;=$C$10),E425,"—")</f>
        <v>—</v>
      </c>
      <c r="P51" s="41" t="str">
        <f aca="false">IF(AND(U425,25&lt;=$C$10),F425,"—")</f>
        <v>—</v>
      </c>
      <c r="Q51" s="42" t="str">
        <f aca="false">IF(AND(U425,25&lt;=$C$10),T425,"—")</f>
        <v>—</v>
      </c>
      <c r="R51" s="43" t="str">
        <f aca="false">IF(AND(U425,25&lt;=$C$10),$M$24-T425,"—")</f>
        <v>—</v>
      </c>
      <c r="S51" s="44" t="str">
        <f aca="false">IF(AND(U425,25&lt;=$C$10),H425,"—")</f>
        <v>—</v>
      </c>
      <c r="T51" s="45" t="s">
        <v>53</v>
      </c>
      <c r="U51" s="46" t="str">
        <f aca="false">IFERROR(IF(AND(U425,25&lt;=$C$10),INDEX('📆 Daily Schedule'!$Q$5:$Q$400,MATCH(B425,'📆 Daily Schedule'!$F$5:$F$400,0)),"—"),"—")</f>
        <v>—</v>
      </c>
      <c r="V51" s="46"/>
    </row>
    <row r="52" customFormat="false" ht="21.75" hidden="false" customHeight="true" outlineLevel="0" collapsed="false">
      <c r="B52" s="34" t="str">
        <f aca="false">IF(AND(U426,26&lt;=$C$10),26,"")</f>
        <v/>
      </c>
      <c r="C52" s="35" t="str">
        <f aca="false">IF(AND(U426,26&lt;=$C$10),IF(P426,"🚨 MUST DO",IF(O426,"⏰ OVERDUE","")),"—")</f>
        <v>—</v>
      </c>
      <c r="D52" s="35"/>
      <c r="E52" s="36" t="str">
        <f aca="false">IF(AND(U426,26&lt;=$C$10),G426,"—")</f>
        <v>—</v>
      </c>
      <c r="F52" s="36"/>
      <c r="G52" s="37" t="str">
        <f aca="false">IF(AND(U426,26&lt;=$C$10),B426,"— (not enough time / prereq blocked)")</f>
        <v>— (not enough time / prereq blocked)</v>
      </c>
      <c r="H52" s="37"/>
      <c r="I52" s="37"/>
      <c r="J52" s="37"/>
      <c r="K52" s="37"/>
      <c r="L52" s="38" t="str">
        <f aca="false">IF(AND(U426,26&lt;=$C$10),C426,"—")</f>
        <v>—</v>
      </c>
      <c r="M52" s="38"/>
      <c r="N52" s="39" t="str">
        <f aca="false">IF(AND(U426,26&lt;=$C$10),D426,"—")</f>
        <v>—</v>
      </c>
      <c r="O52" s="40" t="str">
        <f aca="false">IF(AND(U426,26&lt;=$C$10),E426,"—")</f>
        <v>—</v>
      </c>
      <c r="P52" s="41" t="str">
        <f aca="false">IF(AND(U426,26&lt;=$C$10),F426,"—")</f>
        <v>—</v>
      </c>
      <c r="Q52" s="42" t="str">
        <f aca="false">IF(AND(U426,26&lt;=$C$10),T426,"—")</f>
        <v>—</v>
      </c>
      <c r="R52" s="43" t="str">
        <f aca="false">IF(AND(U426,26&lt;=$C$10),$M$24-T426,"—")</f>
        <v>—</v>
      </c>
      <c r="S52" s="44" t="str">
        <f aca="false">IF(AND(U426,26&lt;=$C$10),H426,"—")</f>
        <v>—</v>
      </c>
      <c r="T52" s="45" t="s">
        <v>53</v>
      </c>
      <c r="U52" s="46" t="str">
        <f aca="false">IFERROR(IF(AND(U426,26&lt;=$C$10),INDEX('📆 Daily Schedule'!$Q$5:$Q$400,MATCH(B426,'📆 Daily Schedule'!$F$5:$F$400,0)),"—"),"—")</f>
        <v>—</v>
      </c>
      <c r="V52" s="46"/>
    </row>
    <row r="53" customFormat="false" ht="21.75" hidden="false" customHeight="true" outlineLevel="0" collapsed="false">
      <c r="B53" s="34" t="str">
        <f aca="false">IF(AND(U427,27&lt;=$C$10),27,"")</f>
        <v/>
      </c>
      <c r="C53" s="35" t="str">
        <f aca="false">IF(AND(U427,27&lt;=$C$10),IF(P427,"🚨 MUST DO",IF(O427,"⏰ OVERDUE","")),"—")</f>
        <v>—</v>
      </c>
      <c r="D53" s="35"/>
      <c r="E53" s="36" t="str">
        <f aca="false">IF(AND(U427,27&lt;=$C$10),G427,"—")</f>
        <v>—</v>
      </c>
      <c r="F53" s="36"/>
      <c r="G53" s="37" t="str">
        <f aca="false">IF(AND(U427,27&lt;=$C$10),B427,"— (not enough time / prereq blocked)")</f>
        <v>— (not enough time / prereq blocked)</v>
      </c>
      <c r="H53" s="37"/>
      <c r="I53" s="37"/>
      <c r="J53" s="37"/>
      <c r="K53" s="37"/>
      <c r="L53" s="38" t="str">
        <f aca="false">IF(AND(U427,27&lt;=$C$10),C427,"—")</f>
        <v>—</v>
      </c>
      <c r="M53" s="38"/>
      <c r="N53" s="39" t="str">
        <f aca="false">IF(AND(U427,27&lt;=$C$10),D427,"—")</f>
        <v>—</v>
      </c>
      <c r="O53" s="40" t="str">
        <f aca="false">IF(AND(U427,27&lt;=$C$10),E427,"—")</f>
        <v>—</v>
      </c>
      <c r="P53" s="41" t="str">
        <f aca="false">IF(AND(U427,27&lt;=$C$10),F427,"—")</f>
        <v>—</v>
      </c>
      <c r="Q53" s="42" t="str">
        <f aca="false">IF(AND(U427,27&lt;=$C$10),T427,"—")</f>
        <v>—</v>
      </c>
      <c r="R53" s="43" t="str">
        <f aca="false">IF(AND(U427,27&lt;=$C$10),$M$24-T427,"—")</f>
        <v>—</v>
      </c>
      <c r="S53" s="44" t="str">
        <f aca="false">IF(AND(U427,27&lt;=$C$10),H427,"—")</f>
        <v>—</v>
      </c>
      <c r="T53" s="45" t="s">
        <v>53</v>
      </c>
      <c r="U53" s="46" t="str">
        <f aca="false">IFERROR(IF(AND(U427,27&lt;=$C$10),INDEX('📆 Daily Schedule'!$Q$5:$Q$400,MATCH(B427,'📆 Daily Schedule'!$F$5:$F$400,0)),"—"),"—")</f>
        <v>—</v>
      </c>
      <c r="V53" s="46"/>
    </row>
    <row r="54" customFormat="false" ht="21.75" hidden="false" customHeight="true" outlineLevel="0" collapsed="false">
      <c r="B54" s="34" t="str">
        <f aca="false">IF(AND(U428,28&lt;=$C$10),28,"")</f>
        <v/>
      </c>
      <c r="C54" s="35" t="str">
        <f aca="false">IF(AND(U428,28&lt;=$C$10),IF(P428,"🚨 MUST DO",IF(O428,"⏰ OVERDUE","")),"—")</f>
        <v>—</v>
      </c>
      <c r="D54" s="35"/>
      <c r="E54" s="36" t="str">
        <f aca="false">IF(AND(U428,28&lt;=$C$10),G428,"—")</f>
        <v>—</v>
      </c>
      <c r="F54" s="36"/>
      <c r="G54" s="37" t="str">
        <f aca="false">IF(AND(U428,28&lt;=$C$10),B428,"— (not enough time / prereq blocked)")</f>
        <v>— (not enough time / prereq blocked)</v>
      </c>
      <c r="H54" s="37"/>
      <c r="I54" s="37"/>
      <c r="J54" s="37"/>
      <c r="K54" s="37"/>
      <c r="L54" s="38" t="str">
        <f aca="false">IF(AND(U428,28&lt;=$C$10),C428,"—")</f>
        <v>—</v>
      </c>
      <c r="M54" s="38"/>
      <c r="N54" s="39" t="str">
        <f aca="false">IF(AND(U428,28&lt;=$C$10),D428,"—")</f>
        <v>—</v>
      </c>
      <c r="O54" s="40" t="str">
        <f aca="false">IF(AND(U428,28&lt;=$C$10),E428,"—")</f>
        <v>—</v>
      </c>
      <c r="P54" s="41" t="str">
        <f aca="false">IF(AND(U428,28&lt;=$C$10),F428,"—")</f>
        <v>—</v>
      </c>
      <c r="Q54" s="42" t="str">
        <f aca="false">IF(AND(U428,28&lt;=$C$10),T428,"—")</f>
        <v>—</v>
      </c>
      <c r="R54" s="43" t="str">
        <f aca="false">IF(AND(U428,28&lt;=$C$10),$M$24-T428,"—")</f>
        <v>—</v>
      </c>
      <c r="S54" s="44" t="str">
        <f aca="false">IF(AND(U428,28&lt;=$C$10),H428,"—")</f>
        <v>—</v>
      </c>
      <c r="T54" s="45" t="s">
        <v>53</v>
      </c>
      <c r="U54" s="46" t="str">
        <f aca="false">IFERROR(IF(AND(U428,28&lt;=$C$10),INDEX('📆 Daily Schedule'!$Q$5:$Q$400,MATCH(B428,'📆 Daily Schedule'!$F$5:$F$400,0)),"—"),"—")</f>
        <v>—</v>
      </c>
      <c r="V54" s="46"/>
    </row>
    <row r="55" customFormat="false" ht="21.75" hidden="false" customHeight="true" outlineLevel="0" collapsed="false">
      <c r="B55" s="34" t="str">
        <f aca="false">IF(AND(U429,29&lt;=$C$10),29,"")</f>
        <v/>
      </c>
      <c r="C55" s="35" t="str">
        <f aca="false">IF(AND(U429,29&lt;=$C$10),IF(P429,"🚨 MUST DO",IF(O429,"⏰ OVERDUE","")),"—")</f>
        <v>—</v>
      </c>
      <c r="D55" s="35"/>
      <c r="E55" s="36" t="str">
        <f aca="false">IF(AND(U429,29&lt;=$C$10),G429,"—")</f>
        <v>—</v>
      </c>
      <c r="F55" s="36"/>
      <c r="G55" s="37" t="str">
        <f aca="false">IF(AND(U429,29&lt;=$C$10),B429,"— (not enough time / prereq blocked)")</f>
        <v>— (not enough time / prereq blocked)</v>
      </c>
      <c r="H55" s="37"/>
      <c r="I55" s="37"/>
      <c r="J55" s="37"/>
      <c r="K55" s="37"/>
      <c r="L55" s="38" t="str">
        <f aca="false">IF(AND(U429,29&lt;=$C$10),C429,"—")</f>
        <v>—</v>
      </c>
      <c r="M55" s="38"/>
      <c r="N55" s="39" t="str">
        <f aca="false">IF(AND(U429,29&lt;=$C$10),D429,"—")</f>
        <v>—</v>
      </c>
      <c r="O55" s="40" t="str">
        <f aca="false">IF(AND(U429,29&lt;=$C$10),E429,"—")</f>
        <v>—</v>
      </c>
      <c r="P55" s="41" t="str">
        <f aca="false">IF(AND(U429,29&lt;=$C$10),F429,"—")</f>
        <v>—</v>
      </c>
      <c r="Q55" s="42" t="str">
        <f aca="false">IF(AND(U429,29&lt;=$C$10),T429,"—")</f>
        <v>—</v>
      </c>
      <c r="R55" s="43" t="str">
        <f aca="false">IF(AND(U429,29&lt;=$C$10),$M$24-T429,"—")</f>
        <v>—</v>
      </c>
      <c r="S55" s="44" t="str">
        <f aca="false">IF(AND(U429,29&lt;=$C$10),H429,"—")</f>
        <v>—</v>
      </c>
      <c r="T55" s="45" t="s">
        <v>53</v>
      </c>
      <c r="U55" s="46" t="str">
        <f aca="false">IFERROR(IF(AND(U429,29&lt;=$C$10),INDEX('📆 Daily Schedule'!$Q$5:$Q$400,MATCH(B429,'📆 Daily Schedule'!$F$5:$F$400,0)),"—"),"—")</f>
        <v>—</v>
      </c>
      <c r="V55" s="46"/>
    </row>
    <row r="56" customFormat="false" ht="21.75" hidden="false" customHeight="true" outlineLevel="0" collapsed="false">
      <c r="B56" s="34" t="str">
        <f aca="false">IF(AND(U430,30&lt;=$C$10),30,"")</f>
        <v/>
      </c>
      <c r="C56" s="35" t="str">
        <f aca="false">IF(AND(U430,30&lt;=$C$10),IF(P430,"🚨 MUST DO",IF(O430,"⏰ OVERDUE","")),"—")</f>
        <v>—</v>
      </c>
      <c r="D56" s="35"/>
      <c r="E56" s="36" t="str">
        <f aca="false">IF(AND(U430,30&lt;=$C$10),G430,"—")</f>
        <v>—</v>
      </c>
      <c r="F56" s="36"/>
      <c r="G56" s="37" t="str">
        <f aca="false">IF(AND(U430,30&lt;=$C$10),B430,"— (not enough time / prereq blocked)")</f>
        <v>— (not enough time / prereq blocked)</v>
      </c>
      <c r="H56" s="37"/>
      <c r="I56" s="37"/>
      <c r="J56" s="37"/>
      <c r="K56" s="37"/>
      <c r="L56" s="38" t="str">
        <f aca="false">IF(AND(U430,30&lt;=$C$10),C430,"—")</f>
        <v>—</v>
      </c>
      <c r="M56" s="38"/>
      <c r="N56" s="39" t="str">
        <f aca="false">IF(AND(U430,30&lt;=$C$10),D430,"—")</f>
        <v>—</v>
      </c>
      <c r="O56" s="40" t="str">
        <f aca="false">IF(AND(U430,30&lt;=$C$10),E430,"—")</f>
        <v>—</v>
      </c>
      <c r="P56" s="41" t="str">
        <f aca="false">IF(AND(U430,30&lt;=$C$10),F430,"—")</f>
        <v>—</v>
      </c>
      <c r="Q56" s="42" t="str">
        <f aca="false">IF(AND(U430,30&lt;=$C$10),T430,"—")</f>
        <v>—</v>
      </c>
      <c r="R56" s="43" t="str">
        <f aca="false">IF(AND(U430,30&lt;=$C$10),$M$24-T430,"—")</f>
        <v>—</v>
      </c>
      <c r="S56" s="44" t="str">
        <f aca="false">IF(AND(U430,30&lt;=$C$10),H430,"—")</f>
        <v>—</v>
      </c>
      <c r="T56" s="45" t="s">
        <v>53</v>
      </c>
      <c r="U56" s="46" t="str">
        <f aca="false">IFERROR(IF(AND(U430,30&lt;=$C$10),INDEX('📆 Daily Schedule'!$Q$5:$Q$400,MATCH(B430,'📆 Daily Schedule'!$F$5:$F$400,0)),"—"),"—")</f>
        <v>—</v>
      </c>
      <c r="V56" s="46"/>
    </row>
    <row r="57" customFormat="false" ht="21.75" hidden="false" customHeight="true" outlineLevel="0" collapsed="false">
      <c r="B57" s="34" t="str">
        <f aca="false">IF(AND(U431,31&lt;=$C$10),31,"")</f>
        <v/>
      </c>
      <c r="C57" s="35" t="str">
        <f aca="false">IF(AND(U431,31&lt;=$C$10),IF(P431,"🚨 MUST DO",IF(O431,"⏰ OVERDUE","")),"—")</f>
        <v>—</v>
      </c>
      <c r="D57" s="35"/>
      <c r="E57" s="36" t="str">
        <f aca="false">IF(AND(U431,31&lt;=$C$10),G431,"—")</f>
        <v>—</v>
      </c>
      <c r="F57" s="36"/>
      <c r="G57" s="37" t="str">
        <f aca="false">IF(AND(U431,31&lt;=$C$10),B431,"— (not enough time / prereq blocked)")</f>
        <v>— (not enough time / prereq blocked)</v>
      </c>
      <c r="H57" s="37"/>
      <c r="I57" s="37"/>
      <c r="J57" s="37"/>
      <c r="K57" s="37"/>
      <c r="L57" s="38" t="str">
        <f aca="false">IF(AND(U431,31&lt;=$C$10),C431,"—")</f>
        <v>—</v>
      </c>
      <c r="M57" s="38"/>
      <c r="N57" s="39" t="str">
        <f aca="false">IF(AND(U431,31&lt;=$C$10),D431,"—")</f>
        <v>—</v>
      </c>
      <c r="O57" s="40" t="str">
        <f aca="false">IF(AND(U431,31&lt;=$C$10),E431,"—")</f>
        <v>—</v>
      </c>
      <c r="P57" s="41" t="str">
        <f aca="false">IF(AND(U431,31&lt;=$C$10),F431,"—")</f>
        <v>—</v>
      </c>
      <c r="Q57" s="42" t="str">
        <f aca="false">IF(AND(U431,31&lt;=$C$10),T431,"—")</f>
        <v>—</v>
      </c>
      <c r="R57" s="43" t="str">
        <f aca="false">IF(AND(U431,31&lt;=$C$10),$M$24-T431,"—")</f>
        <v>—</v>
      </c>
      <c r="S57" s="44" t="str">
        <f aca="false">IF(AND(U431,31&lt;=$C$10),H431,"—")</f>
        <v>—</v>
      </c>
      <c r="T57" s="45" t="s">
        <v>53</v>
      </c>
      <c r="U57" s="46" t="str">
        <f aca="false">IFERROR(IF(AND(U431,31&lt;=$C$10),INDEX('📆 Daily Schedule'!$Q$5:$Q$400,MATCH(B431,'📆 Daily Schedule'!$F$5:$F$400,0)),"—"),"—")</f>
        <v>—</v>
      </c>
      <c r="V57" s="46"/>
    </row>
    <row r="58" customFormat="false" ht="21.75" hidden="false" customHeight="true" outlineLevel="0" collapsed="false">
      <c r="B58" s="34" t="str">
        <f aca="false">IF(AND(U432,32&lt;=$C$10),32,"")</f>
        <v/>
      </c>
      <c r="C58" s="35" t="str">
        <f aca="false">IF(AND(U432,32&lt;=$C$10),IF(P432,"🚨 MUST DO",IF(O432,"⏰ OVERDUE","")),"—")</f>
        <v>—</v>
      </c>
      <c r="D58" s="35"/>
      <c r="E58" s="36" t="str">
        <f aca="false">IF(AND(U432,32&lt;=$C$10),G432,"—")</f>
        <v>—</v>
      </c>
      <c r="F58" s="36"/>
      <c r="G58" s="37" t="str">
        <f aca="false">IF(AND(U432,32&lt;=$C$10),B432,"— (not enough time / prereq blocked)")</f>
        <v>— (not enough time / prereq blocked)</v>
      </c>
      <c r="H58" s="37"/>
      <c r="I58" s="37"/>
      <c r="J58" s="37"/>
      <c r="K58" s="37"/>
      <c r="L58" s="38" t="str">
        <f aca="false">IF(AND(U432,32&lt;=$C$10),C432,"—")</f>
        <v>—</v>
      </c>
      <c r="M58" s="38"/>
      <c r="N58" s="39" t="str">
        <f aca="false">IF(AND(U432,32&lt;=$C$10),D432,"—")</f>
        <v>—</v>
      </c>
      <c r="O58" s="40" t="str">
        <f aca="false">IF(AND(U432,32&lt;=$C$10),E432,"—")</f>
        <v>—</v>
      </c>
      <c r="P58" s="41" t="str">
        <f aca="false">IF(AND(U432,32&lt;=$C$10),F432,"—")</f>
        <v>—</v>
      </c>
      <c r="Q58" s="42" t="str">
        <f aca="false">IF(AND(U432,32&lt;=$C$10),T432,"—")</f>
        <v>—</v>
      </c>
      <c r="R58" s="43" t="str">
        <f aca="false">IF(AND(U432,32&lt;=$C$10),$M$24-T432,"—")</f>
        <v>—</v>
      </c>
      <c r="S58" s="44" t="str">
        <f aca="false">IF(AND(U432,32&lt;=$C$10),H432,"—")</f>
        <v>—</v>
      </c>
      <c r="T58" s="45" t="s">
        <v>53</v>
      </c>
      <c r="U58" s="46" t="str">
        <f aca="false">IFERROR(IF(AND(U432,32&lt;=$C$10),INDEX('📆 Daily Schedule'!$Q$5:$Q$400,MATCH(B432,'📆 Daily Schedule'!$F$5:$F$400,0)),"—"),"—")</f>
        <v>—</v>
      </c>
      <c r="V58" s="46"/>
    </row>
    <row r="59" customFormat="false" ht="21.75" hidden="false" customHeight="true" outlineLevel="0" collapsed="false">
      <c r="B59" s="34" t="str">
        <f aca="false">IF(AND(U433,33&lt;=$C$10),33,"")</f>
        <v/>
      </c>
      <c r="C59" s="35" t="str">
        <f aca="false">IF(AND(U433,33&lt;=$C$10),IF(P433,"🚨 MUST DO",IF(O433,"⏰ OVERDUE","")),"—")</f>
        <v>—</v>
      </c>
      <c r="D59" s="35"/>
      <c r="E59" s="36" t="str">
        <f aca="false">IF(AND(U433,33&lt;=$C$10),G433,"—")</f>
        <v>—</v>
      </c>
      <c r="F59" s="36"/>
      <c r="G59" s="37" t="str">
        <f aca="false">IF(AND(U433,33&lt;=$C$10),B433,"— (not enough time / prereq blocked)")</f>
        <v>— (not enough time / prereq blocked)</v>
      </c>
      <c r="H59" s="37"/>
      <c r="I59" s="37"/>
      <c r="J59" s="37"/>
      <c r="K59" s="37"/>
      <c r="L59" s="38" t="str">
        <f aca="false">IF(AND(U433,33&lt;=$C$10),C433,"—")</f>
        <v>—</v>
      </c>
      <c r="M59" s="38"/>
      <c r="N59" s="39" t="str">
        <f aca="false">IF(AND(U433,33&lt;=$C$10),D433,"—")</f>
        <v>—</v>
      </c>
      <c r="O59" s="40" t="str">
        <f aca="false">IF(AND(U433,33&lt;=$C$10),E433,"—")</f>
        <v>—</v>
      </c>
      <c r="P59" s="41" t="str">
        <f aca="false">IF(AND(U433,33&lt;=$C$10),F433,"—")</f>
        <v>—</v>
      </c>
      <c r="Q59" s="42" t="str">
        <f aca="false">IF(AND(U433,33&lt;=$C$10),T433,"—")</f>
        <v>—</v>
      </c>
      <c r="R59" s="43" t="str">
        <f aca="false">IF(AND(U433,33&lt;=$C$10),$M$24-T433,"—")</f>
        <v>—</v>
      </c>
      <c r="S59" s="44" t="str">
        <f aca="false">IF(AND(U433,33&lt;=$C$10),H433,"—")</f>
        <v>—</v>
      </c>
      <c r="T59" s="45" t="s">
        <v>53</v>
      </c>
      <c r="U59" s="46" t="str">
        <f aca="false">IFERROR(IF(AND(U433,33&lt;=$C$10),INDEX('📆 Daily Schedule'!$Q$5:$Q$400,MATCH(B433,'📆 Daily Schedule'!$F$5:$F$400,0)),"—"),"—")</f>
        <v>—</v>
      </c>
      <c r="V59" s="46"/>
    </row>
    <row r="60" customFormat="false" ht="21.75" hidden="false" customHeight="true" outlineLevel="0" collapsed="false">
      <c r="B60" s="34" t="str">
        <f aca="false">IF(AND(U434,34&lt;=$C$10),34,"")</f>
        <v/>
      </c>
      <c r="C60" s="35" t="str">
        <f aca="false">IF(AND(U434,34&lt;=$C$10),IF(P434,"🚨 MUST DO",IF(O434,"⏰ OVERDUE","")),"—")</f>
        <v>—</v>
      </c>
      <c r="D60" s="35"/>
      <c r="E60" s="36" t="str">
        <f aca="false">IF(AND(U434,34&lt;=$C$10),G434,"—")</f>
        <v>—</v>
      </c>
      <c r="F60" s="36"/>
      <c r="G60" s="37" t="str">
        <f aca="false">IF(AND(U434,34&lt;=$C$10),B434,"— (not enough time / prereq blocked)")</f>
        <v>— (not enough time / prereq blocked)</v>
      </c>
      <c r="H60" s="37"/>
      <c r="I60" s="37"/>
      <c r="J60" s="37"/>
      <c r="K60" s="37"/>
      <c r="L60" s="38" t="str">
        <f aca="false">IF(AND(U434,34&lt;=$C$10),C434,"—")</f>
        <v>—</v>
      </c>
      <c r="M60" s="38"/>
      <c r="N60" s="39" t="str">
        <f aca="false">IF(AND(U434,34&lt;=$C$10),D434,"—")</f>
        <v>—</v>
      </c>
      <c r="O60" s="40" t="str">
        <f aca="false">IF(AND(U434,34&lt;=$C$10),E434,"—")</f>
        <v>—</v>
      </c>
      <c r="P60" s="41" t="str">
        <f aca="false">IF(AND(U434,34&lt;=$C$10),F434,"—")</f>
        <v>—</v>
      </c>
      <c r="Q60" s="42" t="str">
        <f aca="false">IF(AND(U434,34&lt;=$C$10),T434,"—")</f>
        <v>—</v>
      </c>
      <c r="R60" s="43" t="str">
        <f aca="false">IF(AND(U434,34&lt;=$C$10),$M$24-T434,"—")</f>
        <v>—</v>
      </c>
      <c r="S60" s="44" t="str">
        <f aca="false">IF(AND(U434,34&lt;=$C$10),H434,"—")</f>
        <v>—</v>
      </c>
      <c r="T60" s="45" t="s">
        <v>53</v>
      </c>
      <c r="U60" s="46" t="str">
        <f aca="false">IFERROR(IF(AND(U434,34&lt;=$C$10),INDEX('📆 Daily Schedule'!$Q$5:$Q$400,MATCH(B434,'📆 Daily Schedule'!$F$5:$F$400,0)),"—"),"—")</f>
        <v>—</v>
      </c>
      <c r="V60" s="46"/>
    </row>
    <row r="61" customFormat="false" ht="21.75" hidden="false" customHeight="true" outlineLevel="0" collapsed="false">
      <c r="B61" s="34" t="str">
        <f aca="false">IF(AND(U435,35&lt;=$C$10),35,"")</f>
        <v/>
      </c>
      <c r="C61" s="35" t="str">
        <f aca="false">IF(AND(U435,35&lt;=$C$10),IF(P435,"🚨 MUST DO",IF(O435,"⏰ OVERDUE","")),"—")</f>
        <v>—</v>
      </c>
      <c r="D61" s="35"/>
      <c r="E61" s="36" t="str">
        <f aca="false">IF(AND(U435,35&lt;=$C$10),G435,"—")</f>
        <v>—</v>
      </c>
      <c r="F61" s="36"/>
      <c r="G61" s="37" t="str">
        <f aca="false">IF(AND(U435,35&lt;=$C$10),B435,"— (not enough time / prereq blocked)")</f>
        <v>— (not enough time / prereq blocked)</v>
      </c>
      <c r="H61" s="37"/>
      <c r="I61" s="37"/>
      <c r="J61" s="37"/>
      <c r="K61" s="37"/>
      <c r="L61" s="38" t="str">
        <f aca="false">IF(AND(U435,35&lt;=$C$10),C435,"—")</f>
        <v>—</v>
      </c>
      <c r="M61" s="38"/>
      <c r="N61" s="39" t="str">
        <f aca="false">IF(AND(U435,35&lt;=$C$10),D435,"—")</f>
        <v>—</v>
      </c>
      <c r="O61" s="40" t="str">
        <f aca="false">IF(AND(U435,35&lt;=$C$10),E435,"—")</f>
        <v>—</v>
      </c>
      <c r="P61" s="41" t="str">
        <f aca="false">IF(AND(U435,35&lt;=$C$10),F435,"—")</f>
        <v>—</v>
      </c>
      <c r="Q61" s="42" t="str">
        <f aca="false">IF(AND(U435,35&lt;=$C$10),T435,"—")</f>
        <v>—</v>
      </c>
      <c r="R61" s="43" t="str">
        <f aca="false">IF(AND(U435,35&lt;=$C$10),$M$24-T435,"—")</f>
        <v>—</v>
      </c>
      <c r="S61" s="44" t="str">
        <f aca="false">IF(AND(U435,35&lt;=$C$10),H435,"—")</f>
        <v>—</v>
      </c>
      <c r="T61" s="45" t="s">
        <v>53</v>
      </c>
      <c r="U61" s="46" t="str">
        <f aca="false">IFERROR(IF(AND(U435,35&lt;=$C$10),INDEX('📆 Daily Schedule'!$Q$5:$Q$400,MATCH(B435,'📆 Daily Schedule'!$F$5:$F$400,0)),"—"),"—")</f>
        <v>—</v>
      </c>
      <c r="V61" s="46"/>
    </row>
    <row r="62" customFormat="false" ht="21.75" hidden="false" customHeight="true" outlineLevel="0" collapsed="false">
      <c r="B62" s="34" t="str">
        <f aca="false">IF(AND(U436,36&lt;=$C$10),36,"")</f>
        <v/>
      </c>
      <c r="C62" s="35" t="str">
        <f aca="false">IF(AND(U436,36&lt;=$C$10),IF(P436,"🚨 MUST DO",IF(O436,"⏰ OVERDUE","")),"—")</f>
        <v>—</v>
      </c>
      <c r="D62" s="35"/>
      <c r="E62" s="36" t="str">
        <f aca="false">IF(AND(U436,36&lt;=$C$10),G436,"—")</f>
        <v>—</v>
      </c>
      <c r="F62" s="36"/>
      <c r="G62" s="37" t="str">
        <f aca="false">IF(AND(U436,36&lt;=$C$10),B436,"— (not enough time / prereq blocked)")</f>
        <v>— (not enough time / prereq blocked)</v>
      </c>
      <c r="H62" s="37"/>
      <c r="I62" s="37"/>
      <c r="J62" s="37"/>
      <c r="K62" s="37"/>
      <c r="L62" s="38" t="str">
        <f aca="false">IF(AND(U436,36&lt;=$C$10),C436,"—")</f>
        <v>—</v>
      </c>
      <c r="M62" s="38"/>
      <c r="N62" s="39" t="str">
        <f aca="false">IF(AND(U436,36&lt;=$C$10),D436,"—")</f>
        <v>—</v>
      </c>
      <c r="O62" s="40" t="str">
        <f aca="false">IF(AND(U436,36&lt;=$C$10),E436,"—")</f>
        <v>—</v>
      </c>
      <c r="P62" s="41" t="str">
        <f aca="false">IF(AND(U436,36&lt;=$C$10),F436,"—")</f>
        <v>—</v>
      </c>
      <c r="Q62" s="42" t="str">
        <f aca="false">IF(AND(U436,36&lt;=$C$10),T436,"—")</f>
        <v>—</v>
      </c>
      <c r="R62" s="43" t="str">
        <f aca="false">IF(AND(U436,36&lt;=$C$10),$M$24-T436,"—")</f>
        <v>—</v>
      </c>
      <c r="S62" s="44" t="str">
        <f aca="false">IF(AND(U436,36&lt;=$C$10),H436,"—")</f>
        <v>—</v>
      </c>
      <c r="T62" s="45" t="s">
        <v>53</v>
      </c>
      <c r="U62" s="46" t="str">
        <f aca="false">IFERROR(IF(AND(U436,36&lt;=$C$10),INDEX('📆 Daily Schedule'!$Q$5:$Q$400,MATCH(B436,'📆 Daily Schedule'!$F$5:$F$400,0)),"—"),"—")</f>
        <v>—</v>
      </c>
      <c r="V62" s="46"/>
    </row>
    <row r="63" customFormat="false" ht="21.75" hidden="false" customHeight="true" outlineLevel="0" collapsed="false">
      <c r="B63" s="34" t="str">
        <f aca="false">IF(AND(U437,37&lt;=$C$10),37,"")</f>
        <v/>
      </c>
      <c r="C63" s="35" t="str">
        <f aca="false">IF(AND(U437,37&lt;=$C$10),IF(P437,"🚨 MUST DO",IF(O437,"⏰ OVERDUE","")),"—")</f>
        <v>—</v>
      </c>
      <c r="D63" s="35"/>
      <c r="E63" s="36" t="str">
        <f aca="false">IF(AND(U437,37&lt;=$C$10),G437,"—")</f>
        <v>—</v>
      </c>
      <c r="F63" s="36"/>
      <c r="G63" s="37" t="str">
        <f aca="false">IF(AND(U437,37&lt;=$C$10),B437,"— (not enough time / prereq blocked)")</f>
        <v>— (not enough time / prereq blocked)</v>
      </c>
      <c r="H63" s="37"/>
      <c r="I63" s="37"/>
      <c r="J63" s="37"/>
      <c r="K63" s="37"/>
      <c r="L63" s="38" t="str">
        <f aca="false">IF(AND(U437,37&lt;=$C$10),C437,"—")</f>
        <v>—</v>
      </c>
      <c r="M63" s="38"/>
      <c r="N63" s="39" t="str">
        <f aca="false">IF(AND(U437,37&lt;=$C$10),D437,"—")</f>
        <v>—</v>
      </c>
      <c r="O63" s="40" t="str">
        <f aca="false">IF(AND(U437,37&lt;=$C$10),E437,"—")</f>
        <v>—</v>
      </c>
      <c r="P63" s="41" t="str">
        <f aca="false">IF(AND(U437,37&lt;=$C$10),F437,"—")</f>
        <v>—</v>
      </c>
      <c r="Q63" s="42" t="str">
        <f aca="false">IF(AND(U437,37&lt;=$C$10),T437,"—")</f>
        <v>—</v>
      </c>
      <c r="R63" s="43" t="str">
        <f aca="false">IF(AND(U437,37&lt;=$C$10),$M$24-T437,"—")</f>
        <v>—</v>
      </c>
      <c r="S63" s="44" t="str">
        <f aca="false">IF(AND(U437,37&lt;=$C$10),H437,"—")</f>
        <v>—</v>
      </c>
      <c r="T63" s="45" t="s">
        <v>53</v>
      </c>
      <c r="U63" s="46" t="str">
        <f aca="false">IFERROR(IF(AND(U437,37&lt;=$C$10),INDEX('📆 Daily Schedule'!$Q$5:$Q$400,MATCH(B437,'📆 Daily Schedule'!$F$5:$F$400,0)),"—"),"—")</f>
        <v>—</v>
      </c>
      <c r="V63" s="46"/>
    </row>
    <row r="64" customFormat="false" ht="21.75" hidden="false" customHeight="true" outlineLevel="0" collapsed="false">
      <c r="B64" s="34" t="str">
        <f aca="false">IF(AND(U438,38&lt;=$C$10),38,"")</f>
        <v/>
      </c>
      <c r="C64" s="35" t="str">
        <f aca="false">IF(AND(U438,38&lt;=$C$10),IF(P438,"🚨 MUST DO",IF(O438,"⏰ OVERDUE","")),"—")</f>
        <v>—</v>
      </c>
      <c r="D64" s="35"/>
      <c r="E64" s="36" t="str">
        <f aca="false">IF(AND(U438,38&lt;=$C$10),G438,"—")</f>
        <v>—</v>
      </c>
      <c r="F64" s="36"/>
      <c r="G64" s="37" t="str">
        <f aca="false">IF(AND(U438,38&lt;=$C$10),B438,"— (not enough time / prereq blocked)")</f>
        <v>— (not enough time / prereq blocked)</v>
      </c>
      <c r="H64" s="37"/>
      <c r="I64" s="37"/>
      <c r="J64" s="37"/>
      <c r="K64" s="37"/>
      <c r="L64" s="38" t="str">
        <f aca="false">IF(AND(U438,38&lt;=$C$10),C438,"—")</f>
        <v>—</v>
      </c>
      <c r="M64" s="38"/>
      <c r="N64" s="39" t="str">
        <f aca="false">IF(AND(U438,38&lt;=$C$10),D438,"—")</f>
        <v>—</v>
      </c>
      <c r="O64" s="40" t="str">
        <f aca="false">IF(AND(U438,38&lt;=$C$10),E438,"—")</f>
        <v>—</v>
      </c>
      <c r="P64" s="41" t="str">
        <f aca="false">IF(AND(U438,38&lt;=$C$10),F438,"—")</f>
        <v>—</v>
      </c>
      <c r="Q64" s="42" t="str">
        <f aca="false">IF(AND(U438,38&lt;=$C$10),T438,"—")</f>
        <v>—</v>
      </c>
      <c r="R64" s="43" t="str">
        <f aca="false">IF(AND(U438,38&lt;=$C$10),$M$24-T438,"—")</f>
        <v>—</v>
      </c>
      <c r="S64" s="44" t="str">
        <f aca="false">IF(AND(U438,38&lt;=$C$10),H438,"—")</f>
        <v>—</v>
      </c>
      <c r="T64" s="45" t="s">
        <v>53</v>
      </c>
      <c r="U64" s="46" t="str">
        <f aca="false">IFERROR(IF(AND(U438,38&lt;=$C$10),INDEX('📆 Daily Schedule'!$Q$5:$Q$400,MATCH(B438,'📆 Daily Schedule'!$F$5:$F$400,0)),"—"),"—")</f>
        <v>—</v>
      </c>
      <c r="V64" s="46"/>
    </row>
    <row r="65" customFormat="false" ht="21.75" hidden="false" customHeight="true" outlineLevel="0" collapsed="false">
      <c r="B65" s="34" t="str">
        <f aca="false">IF(AND(U439,39&lt;=$C$10),39,"")</f>
        <v/>
      </c>
      <c r="C65" s="35" t="str">
        <f aca="false">IF(AND(U439,39&lt;=$C$10),IF(P439,"🚨 MUST DO",IF(O439,"⏰ OVERDUE","")),"—")</f>
        <v>—</v>
      </c>
      <c r="D65" s="35"/>
      <c r="E65" s="36" t="str">
        <f aca="false">IF(AND(U439,39&lt;=$C$10),G439,"—")</f>
        <v>—</v>
      </c>
      <c r="F65" s="36"/>
      <c r="G65" s="37" t="str">
        <f aca="false">IF(AND(U439,39&lt;=$C$10),B439,"— (not enough time / prereq blocked)")</f>
        <v>— (not enough time / prereq blocked)</v>
      </c>
      <c r="H65" s="37"/>
      <c r="I65" s="37"/>
      <c r="J65" s="37"/>
      <c r="K65" s="37"/>
      <c r="L65" s="38" t="str">
        <f aca="false">IF(AND(U439,39&lt;=$C$10),C439,"—")</f>
        <v>—</v>
      </c>
      <c r="M65" s="38"/>
      <c r="N65" s="39" t="str">
        <f aca="false">IF(AND(U439,39&lt;=$C$10),D439,"—")</f>
        <v>—</v>
      </c>
      <c r="O65" s="40" t="str">
        <f aca="false">IF(AND(U439,39&lt;=$C$10),E439,"—")</f>
        <v>—</v>
      </c>
      <c r="P65" s="41" t="str">
        <f aca="false">IF(AND(U439,39&lt;=$C$10),F439,"—")</f>
        <v>—</v>
      </c>
      <c r="Q65" s="42" t="str">
        <f aca="false">IF(AND(U439,39&lt;=$C$10),T439,"—")</f>
        <v>—</v>
      </c>
      <c r="R65" s="43" t="str">
        <f aca="false">IF(AND(U439,39&lt;=$C$10),$M$24-T439,"—")</f>
        <v>—</v>
      </c>
      <c r="S65" s="44" t="str">
        <f aca="false">IF(AND(U439,39&lt;=$C$10),H439,"—")</f>
        <v>—</v>
      </c>
      <c r="T65" s="45" t="s">
        <v>53</v>
      </c>
      <c r="U65" s="46" t="str">
        <f aca="false">IFERROR(IF(AND(U439,39&lt;=$C$10),INDEX('📆 Daily Schedule'!$Q$5:$Q$400,MATCH(B439,'📆 Daily Schedule'!$F$5:$F$400,0)),"—"),"—")</f>
        <v>—</v>
      </c>
      <c r="V65" s="46"/>
    </row>
    <row r="66" customFormat="false" ht="21.75" hidden="false" customHeight="true" outlineLevel="0" collapsed="false">
      <c r="B66" s="34" t="str">
        <f aca="false">IF(AND(U440,40&lt;=$C$10),40,"")</f>
        <v/>
      </c>
      <c r="C66" s="35" t="str">
        <f aca="false">IF(AND(U440,40&lt;=$C$10),IF(P440,"🚨 MUST DO",IF(O440,"⏰ OVERDUE","")),"—")</f>
        <v>—</v>
      </c>
      <c r="D66" s="35"/>
      <c r="E66" s="36" t="str">
        <f aca="false">IF(AND(U440,40&lt;=$C$10),G440,"—")</f>
        <v>—</v>
      </c>
      <c r="F66" s="36"/>
      <c r="G66" s="37" t="str">
        <f aca="false">IF(AND(U440,40&lt;=$C$10),B440,"— (not enough time / prereq blocked)")</f>
        <v>— (not enough time / prereq blocked)</v>
      </c>
      <c r="H66" s="37"/>
      <c r="I66" s="37"/>
      <c r="J66" s="37"/>
      <c r="K66" s="37"/>
      <c r="L66" s="38" t="str">
        <f aca="false">IF(AND(U440,40&lt;=$C$10),C440,"—")</f>
        <v>—</v>
      </c>
      <c r="M66" s="38"/>
      <c r="N66" s="39" t="str">
        <f aca="false">IF(AND(U440,40&lt;=$C$10),D440,"—")</f>
        <v>—</v>
      </c>
      <c r="O66" s="40" t="str">
        <f aca="false">IF(AND(U440,40&lt;=$C$10),E440,"—")</f>
        <v>—</v>
      </c>
      <c r="P66" s="41" t="str">
        <f aca="false">IF(AND(U440,40&lt;=$C$10),F440,"—")</f>
        <v>—</v>
      </c>
      <c r="Q66" s="42" t="str">
        <f aca="false">IF(AND(U440,40&lt;=$C$10),T440,"—")</f>
        <v>—</v>
      </c>
      <c r="R66" s="43" t="str">
        <f aca="false">IF(AND(U440,40&lt;=$C$10),$M$24-T440,"—")</f>
        <v>—</v>
      </c>
      <c r="S66" s="44" t="str">
        <f aca="false">IF(AND(U440,40&lt;=$C$10),H440,"—")</f>
        <v>—</v>
      </c>
      <c r="T66" s="45" t="s">
        <v>53</v>
      </c>
      <c r="U66" s="46" t="str">
        <f aca="false">IFERROR(IF(AND(U440,40&lt;=$C$10),INDEX('📆 Daily Schedule'!$Q$5:$Q$400,MATCH(B440,'📆 Daily Schedule'!$F$5:$F$400,0)),"—"),"—")</f>
        <v>—</v>
      </c>
      <c r="V66" s="46"/>
    </row>
    <row r="67" customFormat="false" ht="18" hidden="false" customHeight="true" outlineLevel="0" collapsed="false">
      <c r="B67" s="47" t="s">
        <v>54</v>
      </c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8" t="n">
        <f aca="false">IFERROR(SUMPRODUCT((U401:U440=TRUE())*E401:E440),0)</f>
        <v>0</v>
      </c>
      <c r="R67" s="49" t="n">
        <f aca="false">IFERROR(COUNTIF(U401:U440,TRUE()),0)</f>
        <v>0</v>
      </c>
      <c r="S67" s="50" t="s">
        <v>55</v>
      </c>
      <c r="T67" s="50"/>
      <c r="U67" s="50"/>
      <c r="V67" s="50"/>
    </row>
    <row r="68" customFormat="false" ht="4.5" hidden="false" customHeight="true" outlineLevel="0" collapsed="false"/>
    <row r="69" customFormat="false" ht="16.5" hidden="false" customHeight="true" outlineLevel="0" collapsed="false">
      <c r="A69" s="51" t="s">
        <v>56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</row>
    <row r="70" customFormat="false" ht="15.75" hidden="false" customHeight="true" outlineLevel="0" collapsed="false">
      <c r="B70" s="52" t="str">
        <f aca="false">IF($C$14="Option 1 — Same Month Only","📋 Pool: Same Month Only — showing topics from today's month (M"&amp;$B$400&amp;")","📋 Pool: Current + Next Week — showing W"&amp;$A$400&amp;" &amp; W"&amp;$A$400+1&amp;" topics")</f>
        <v>📋 Pool: Current + Next Week — showing W1 &amp; W2 topics</v>
      </c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</row>
    <row r="71" customFormat="false" ht="24" hidden="false" customHeight="true" outlineLevel="0" collapsed="false">
      <c r="B71" s="53" t="s">
        <v>57</v>
      </c>
      <c r="C71" s="53" t="s">
        <v>58</v>
      </c>
      <c r="D71" s="53"/>
      <c r="E71" s="53"/>
      <c r="F71" s="53"/>
      <c r="G71" s="53"/>
      <c r="H71" s="53"/>
      <c r="I71" s="53"/>
      <c r="J71" s="53"/>
      <c r="K71" s="53"/>
      <c r="L71" s="53"/>
      <c r="M71" s="53" t="s">
        <v>44</v>
      </c>
      <c r="N71" s="53"/>
      <c r="O71" s="53" t="s">
        <v>59</v>
      </c>
      <c r="P71" s="53" t="s">
        <v>60</v>
      </c>
      <c r="Q71" s="53"/>
      <c r="R71" s="53" t="s">
        <v>61</v>
      </c>
      <c r="S71" s="53" t="s">
        <v>62</v>
      </c>
      <c r="T71" s="53"/>
      <c r="U71" s="53" t="s">
        <v>63</v>
      </c>
      <c r="V71" s="53"/>
    </row>
    <row r="72" customFormat="false" ht="18" hidden="false" customHeight="true" outlineLevel="0" collapsed="false">
      <c r="B72" s="54" t="str">
        <f aca="false">IF(AND('🔄 Topic Pool'!P19&lt;&gt;"✅ Done",'🔄 Topic Pool'!M19="✅ YES",NOT(A460=2),NOT(AND(A460=1,OR('🔄 Topic Pool'!P19="❌ Missed",'🔄 Topic Pool'!P19="🔄 Partial"))),IF($C$14="Option 1 — Same Month Only",'🔄 Topic Pool'!B19=$B$400,OR(AND('🔄 Topic Pool'!B19=$B$400,ROUND(('🔄 Topic Pool'!A19-1)/7,0)=$A$400),AND('🔄 Topic Pool'!B19=$B$400,ROUND(('🔄 Topic Pool'!A19-1)/7,0)=$A$400+1)))),'🔄 Topic Pool'!A19,"—")</f>
        <v>—</v>
      </c>
      <c r="C72" s="55" t="str">
        <f aca="false">IF(AND('🔄 Topic Pool'!P19&lt;&gt;"✅ Done",'🔄 Topic Pool'!M19="✅ YES",NOT(A460=2),NOT(AND(A460=1,OR('🔄 Topic Pool'!P19="❌ Missed",'🔄 Topic Pool'!P19="🔄 Partial"))),IF($C$14="Option 1 — Same Month Only",'🔄 Topic Pool'!B19=$B$400,OR(AND('🔄 Topic Pool'!B19=$B$400,ROUND(('🔄 Topic Pool'!A19-1)/7,0)=$A$400),AND('🔄 Topic Pool'!B19=$B$400,ROUND(('🔄 Topic Pool'!A19-1)/7,0)=$A$400+1)))),'🔄 Topic Pool'!D19,"—")</f>
        <v>—</v>
      </c>
      <c r="D72" s="55"/>
      <c r="E72" s="55"/>
      <c r="F72" s="55"/>
      <c r="G72" s="55"/>
      <c r="H72" s="55"/>
      <c r="I72" s="55"/>
      <c r="J72" s="55"/>
      <c r="K72" s="55"/>
      <c r="L72" s="55"/>
      <c r="M72" s="56" t="str">
        <f aca="false">IF(AND('🔄 Topic Pool'!P19&lt;&gt;"✅ Done",'🔄 Topic Pool'!M19="✅ YES",NOT(A460=2),NOT(AND(A460=1,OR('🔄 Topic Pool'!P19="❌ Missed",'🔄 Topic Pool'!P19="🔄 Partial"))),IF($C$14="Option 1 — Same Month Only",'🔄 Topic Pool'!B19=$B$400,OR(AND('🔄 Topic Pool'!B19=$B$400,ROUND(('🔄 Topic Pool'!A19-1)/7,0)=$A$400),AND('🔄 Topic Pool'!B19=$B$400,ROUND(('🔄 Topic Pool'!A19-1)/7,0)=$A$400+1)))),'🔄 Topic Pool'!E19,"—")</f>
        <v>—</v>
      </c>
      <c r="N72" s="56"/>
      <c r="O72" s="40" t="str">
        <f aca="false">IF(AND('🔄 Topic Pool'!P19&lt;&gt;"✅ Done",'🔄 Topic Pool'!M19="✅ YES",NOT(A460=2),NOT(AND(A460=1,OR('🔄 Topic Pool'!P19="❌ Missed",'🔄 Topic Pool'!P19="🔄 Partial"))),IF($C$14="Option 1 — Same Month Only",'🔄 Topic Pool'!B19=$B$400,OR(AND('🔄 Topic Pool'!B19=$B$400,ROUND(('🔄 Topic Pool'!A19-1)/7,0)=$A$400),AND('🔄 Topic Pool'!B19=$B$400,ROUND(('🔄 Topic Pool'!A19-1)/7,0)=$A$400+1)))),'🔄 Topic Pool'!G19,"—")</f>
        <v>—</v>
      </c>
      <c r="P72" s="57" t="str">
        <f aca="false">IF(AND('🔄 Topic Pool'!P19&lt;&gt;"✅ Done",'🔄 Topic Pool'!M19="✅ YES",NOT(A460=2),NOT(AND(A460=1,OR('🔄 Topic Pool'!P19="❌ Missed",'🔄 Topic Pool'!P19="🔄 Partial"))),IF($C$14="Option 1 — Same Month Only",'🔄 Topic Pool'!B19=$B$400,OR(AND('🔄 Topic Pool'!B19=$B$400,ROUND(('🔄 Topic Pool'!A19-1)/7,0)=$A$400),AND('🔄 Topic Pool'!B19=$B$400,ROUND(('🔄 Topic Pool'!A19-1)/7,0)=$A$400+1)))),'🔄 Topic Pool'!J19,"—")</f>
        <v>—</v>
      </c>
      <c r="Q72" s="57"/>
      <c r="R72" s="58" t="str">
        <f aca="false">IF(AND('🔄 Topic Pool'!P19&lt;&gt;"✅ Done",'🔄 Topic Pool'!M19="✅ YES",NOT(A460=2),NOT(AND(A460=1,OR('🔄 Topic Pool'!P19="❌ Missed",'🔄 Topic Pool'!P19="🔄 Partial"))),IF($C$14="Option 1 — Same Month Only",'🔄 Topic Pool'!B19=$B$400,OR(AND('🔄 Topic Pool'!B19=$B$400,ROUND(('🔄 Topic Pool'!A19-1)/7,0)=$A$400),AND('🔄 Topic Pool'!B19=$B$400,ROUND(('🔄 Topic Pool'!A19-1)/7,0)=$A$400+1)))),COUNTIF('📋 Swap History'!$F$4:$F$200,'🔄 Topic Pool'!D19),"—")</f>
        <v>—</v>
      </c>
      <c r="S72" s="59" t="str">
        <f aca="false">IF(NOT(AND('🔄 Topic Pool'!P19&lt;&gt;"✅ Done",'🔄 Topic Pool'!M19="✅ YES",NOT(A460=2),NOT(AND(A460=1,OR('🔄 Topic Pool'!P19="❌ Missed",'🔄 Topic Pool'!P19="🔄 Partial"))),IF($C$14="Option 1 — Same Month Only",'🔄 Topic Pool'!B19=$B$400,OR(AND('🔄 Topic Pool'!B19=$B$400,ROUND(('🔄 Topic Pool'!A19-1)/7,0)=$A$400),AND('🔄 Topic Pool'!B19=$B$400,ROUND(('🔄 Topic Pool'!A19-1)/7,0)=$A$400+1))))),"🔒",IF('🔄 Topic Pool'!M19="🔒 NO","🔒",IF(COUNTIF('📋 Swap History'!$F$4:$F$200,'🔄 Topic Pool'!D19)&gt;=$C$8,"🔒","✅")))</f>
        <v>🔒</v>
      </c>
      <c r="T72" s="59"/>
      <c r="U72" s="60" t="str">
        <f aca="false">IF(AND('🔄 Topic Pool'!P19&lt;&gt;"✅ Done",'🔄 Topic Pool'!M19="✅ YES",NOT(A460=2),NOT(AND(A460=1,OR('🔄 Topic Pool'!P19="❌ Missed",'🔄 Topic Pool'!P19="🔄 Partial"))),IF($C$14="Option 1 — Same Month Only",'🔄 Topic Pool'!B19=$B$400,OR(AND('🔄 Topic Pool'!B19=$B$400,ROUND(('🔄 Topic Pool'!A19-1)/7,0)=$A$400),AND('🔄 Topic Pool'!B19=$B$400,ROUND(('🔄 Topic Pool'!A19-1)/7,0)=$A$400+1)))),'🔄 Topic Pool'!J19&amp;" — Seq "&amp;'🔄 Topic Pool'!C19&amp;" in month","—")</f>
        <v>—</v>
      </c>
      <c r="V72" s="60"/>
    </row>
    <row r="73" customFormat="false" ht="18" hidden="false" customHeight="true" outlineLevel="0" collapsed="false">
      <c r="B73" s="61" t="str">
        <f aca="false">IF(AND('🔄 Topic Pool'!P23&lt;&gt;"✅ Done",'🔄 Topic Pool'!M23="✅ YES",NOT(A460=2),NOT(AND(A460=1,OR('🔄 Topic Pool'!P23="❌ Missed",'🔄 Topic Pool'!P23="🔄 Partial"))),IF($C$14="Option 1 — Same Month Only",'🔄 Topic Pool'!B23=$B$400,OR(AND('🔄 Topic Pool'!B23=$B$400,ROUND(('🔄 Topic Pool'!A23-1)/7,0)=$A$400),AND('🔄 Topic Pool'!B23=$B$400,ROUND(('🔄 Topic Pool'!A23-1)/7,0)=$A$400+1)))),'🔄 Topic Pool'!A23,"—")</f>
        <v>—</v>
      </c>
      <c r="C73" s="62" t="str">
        <f aca="false">IF(AND('🔄 Topic Pool'!P23&lt;&gt;"✅ Done",'🔄 Topic Pool'!M23="✅ YES",NOT(A460=2),NOT(AND(A460=1,OR('🔄 Topic Pool'!P23="❌ Missed",'🔄 Topic Pool'!P23="🔄 Partial"))),IF($C$14="Option 1 — Same Month Only",'🔄 Topic Pool'!B23=$B$400,OR(AND('🔄 Topic Pool'!B23=$B$400,ROUND(('🔄 Topic Pool'!A23-1)/7,0)=$A$400),AND('🔄 Topic Pool'!B23=$B$400,ROUND(('🔄 Topic Pool'!A23-1)/7,0)=$A$400+1)))),'🔄 Topic Pool'!D23,"—")</f>
        <v>—</v>
      </c>
      <c r="D73" s="62"/>
      <c r="E73" s="62"/>
      <c r="F73" s="62"/>
      <c r="G73" s="62"/>
      <c r="H73" s="62"/>
      <c r="I73" s="62"/>
      <c r="J73" s="62"/>
      <c r="K73" s="62"/>
      <c r="L73" s="62"/>
      <c r="M73" s="56" t="str">
        <f aca="false">IF(AND('🔄 Topic Pool'!P23&lt;&gt;"✅ Done",'🔄 Topic Pool'!M23="✅ YES",NOT(A460=2),NOT(AND(A460=1,OR('🔄 Topic Pool'!P23="❌ Missed",'🔄 Topic Pool'!P23="🔄 Partial"))),IF($C$14="Option 1 — Same Month Only",'🔄 Topic Pool'!B23=$B$400,OR(AND('🔄 Topic Pool'!B23=$B$400,ROUND(('🔄 Topic Pool'!A23-1)/7,0)=$A$400),AND('🔄 Topic Pool'!B23=$B$400,ROUND(('🔄 Topic Pool'!A23-1)/7,0)=$A$400+1)))),'🔄 Topic Pool'!E23,"—")</f>
        <v>—</v>
      </c>
      <c r="N73" s="56"/>
      <c r="O73" s="40" t="str">
        <f aca="false">IF(AND('🔄 Topic Pool'!P23&lt;&gt;"✅ Done",'🔄 Topic Pool'!M23="✅ YES",NOT(A460=2),NOT(AND(A460=1,OR('🔄 Topic Pool'!P23="❌ Missed",'🔄 Topic Pool'!P23="🔄 Partial"))),IF($C$14="Option 1 — Same Month Only",'🔄 Topic Pool'!B23=$B$400,OR(AND('🔄 Topic Pool'!B23=$B$400,ROUND(('🔄 Topic Pool'!A23-1)/7,0)=$A$400),AND('🔄 Topic Pool'!B23=$B$400,ROUND(('🔄 Topic Pool'!A23-1)/7,0)=$A$400+1)))),'🔄 Topic Pool'!G23,"—")</f>
        <v>—</v>
      </c>
      <c r="P73" s="63" t="str">
        <f aca="false">IF(AND('🔄 Topic Pool'!P23&lt;&gt;"✅ Done",'🔄 Topic Pool'!M23="✅ YES",NOT(A460=2),NOT(AND(A460=1,OR('🔄 Topic Pool'!P23="❌ Missed",'🔄 Topic Pool'!P23="🔄 Partial"))),IF($C$14="Option 1 — Same Month Only",'🔄 Topic Pool'!B23=$B$400,OR(AND('🔄 Topic Pool'!B23=$B$400,ROUND(('🔄 Topic Pool'!A23-1)/7,0)=$A$400),AND('🔄 Topic Pool'!B23=$B$400,ROUND(('🔄 Topic Pool'!A23-1)/7,0)=$A$400+1)))),'🔄 Topic Pool'!J23,"—")</f>
        <v>—</v>
      </c>
      <c r="Q73" s="63"/>
      <c r="R73" s="58" t="str">
        <f aca="false">IF(AND('🔄 Topic Pool'!P23&lt;&gt;"✅ Done",'🔄 Topic Pool'!M23="✅ YES",NOT(A460=2),NOT(AND(A460=1,OR('🔄 Topic Pool'!P23="❌ Missed",'🔄 Topic Pool'!P23="🔄 Partial"))),IF($C$14="Option 1 — Same Month Only",'🔄 Topic Pool'!B23=$B$400,OR(AND('🔄 Topic Pool'!B23=$B$400,ROUND(('🔄 Topic Pool'!A23-1)/7,0)=$A$400),AND('🔄 Topic Pool'!B23=$B$400,ROUND(('🔄 Topic Pool'!A23-1)/7,0)=$A$400+1)))),COUNTIF('📋 Swap History'!$F$4:$F$200,'🔄 Topic Pool'!D23),"—")</f>
        <v>—</v>
      </c>
      <c r="S73" s="64" t="str">
        <f aca="false">IF(NOT(AND('🔄 Topic Pool'!P23&lt;&gt;"✅ Done",'🔄 Topic Pool'!M23="✅ YES",NOT(A460=2),NOT(AND(A460=1,OR('🔄 Topic Pool'!P23="❌ Missed",'🔄 Topic Pool'!P23="🔄 Partial"))),IF($C$14="Option 1 — Same Month Only",'🔄 Topic Pool'!B23=$B$400,OR(AND('🔄 Topic Pool'!B23=$B$400,ROUND(('🔄 Topic Pool'!A23-1)/7,0)=$A$400),AND('🔄 Topic Pool'!B23=$B$400,ROUND(('🔄 Topic Pool'!A23-1)/7,0)=$A$400+1))))),"🔒",IF('🔄 Topic Pool'!M23="🔒 NO","🔒",IF(COUNTIF('📋 Swap History'!$F$4:$F$200,'🔄 Topic Pool'!D23)&gt;=$C$8,"🔒","✅")))</f>
        <v>🔒</v>
      </c>
      <c r="T73" s="64"/>
      <c r="U73" s="65" t="str">
        <f aca="false">IF(AND('🔄 Topic Pool'!P23&lt;&gt;"✅ Done",'🔄 Topic Pool'!M23="✅ YES",NOT(A460=2),NOT(AND(A460=1,OR('🔄 Topic Pool'!P23="❌ Missed",'🔄 Topic Pool'!P23="🔄 Partial"))),IF($C$14="Option 1 — Same Month Only",'🔄 Topic Pool'!B23=$B$400,OR(AND('🔄 Topic Pool'!B23=$B$400,ROUND(('🔄 Topic Pool'!A23-1)/7,0)=$A$400),AND('🔄 Topic Pool'!B23=$B$400,ROUND(('🔄 Topic Pool'!A23-1)/7,0)=$A$400+1)))),'🔄 Topic Pool'!J23&amp;" — Seq "&amp;'🔄 Topic Pool'!C23&amp;" in month","—")</f>
        <v>—</v>
      </c>
      <c r="V73" s="65"/>
    </row>
    <row r="74" customFormat="false" ht="18" hidden="false" customHeight="true" outlineLevel="0" collapsed="false">
      <c r="B74" s="54" t="str">
        <f aca="false">IF(AND('🔄 Topic Pool'!P8&lt;&gt;"✅ Done",'🔄 Topic Pool'!M8="✅ YES",NOT(A460=2),NOT(AND(A460=1,OR('🔄 Topic Pool'!P8="❌ Missed",'🔄 Topic Pool'!P8="🔄 Partial"))),IF($C$14="Option 1 — Same Month Only",'🔄 Topic Pool'!B8=$B$400,OR(AND('🔄 Topic Pool'!B8=$B$400,ROUND(('🔄 Topic Pool'!A8-1)/7,0)=$A$400),AND('🔄 Topic Pool'!B8=$B$400,ROUND(('🔄 Topic Pool'!A8-1)/7,0)=$A$400+1)))),'🔄 Topic Pool'!A8,"—")</f>
        <v>—</v>
      </c>
      <c r="C74" s="55" t="str">
        <f aca="false">IF(AND('🔄 Topic Pool'!P8&lt;&gt;"✅ Done",'🔄 Topic Pool'!M8="✅ YES",NOT(A460=2),NOT(AND(A460=1,OR('🔄 Topic Pool'!P8="❌ Missed",'🔄 Topic Pool'!P8="🔄 Partial"))),IF($C$14="Option 1 — Same Month Only",'🔄 Topic Pool'!B8=$B$400,OR(AND('🔄 Topic Pool'!B8=$B$400,ROUND(('🔄 Topic Pool'!A8-1)/7,0)=$A$400),AND('🔄 Topic Pool'!B8=$B$400,ROUND(('🔄 Topic Pool'!A8-1)/7,0)=$A$400+1)))),'🔄 Topic Pool'!D8,"—")</f>
        <v>—</v>
      </c>
      <c r="D74" s="55"/>
      <c r="E74" s="55"/>
      <c r="F74" s="55"/>
      <c r="G74" s="55"/>
      <c r="H74" s="55"/>
      <c r="I74" s="55"/>
      <c r="J74" s="55"/>
      <c r="K74" s="55"/>
      <c r="L74" s="55"/>
      <c r="M74" s="56" t="str">
        <f aca="false">IF(AND('🔄 Topic Pool'!P8&lt;&gt;"✅ Done",'🔄 Topic Pool'!M8="✅ YES",NOT(A460=2),NOT(AND(A460=1,OR('🔄 Topic Pool'!P8="❌ Missed",'🔄 Topic Pool'!P8="🔄 Partial"))),IF($C$14="Option 1 — Same Month Only",'🔄 Topic Pool'!B8=$B$400,OR(AND('🔄 Topic Pool'!B8=$B$400,ROUND(('🔄 Topic Pool'!A8-1)/7,0)=$A$400),AND('🔄 Topic Pool'!B8=$B$400,ROUND(('🔄 Topic Pool'!A8-1)/7,0)=$A$400+1)))),'🔄 Topic Pool'!E8,"—")</f>
        <v>—</v>
      </c>
      <c r="N74" s="56"/>
      <c r="O74" s="40" t="str">
        <f aca="false">IF(AND('🔄 Topic Pool'!P8&lt;&gt;"✅ Done",'🔄 Topic Pool'!M8="✅ YES",NOT(A460=2),NOT(AND(A460=1,OR('🔄 Topic Pool'!P8="❌ Missed",'🔄 Topic Pool'!P8="🔄 Partial"))),IF($C$14="Option 1 — Same Month Only",'🔄 Topic Pool'!B8=$B$400,OR(AND('🔄 Topic Pool'!B8=$B$400,ROUND(('🔄 Topic Pool'!A8-1)/7,0)=$A$400),AND('🔄 Topic Pool'!B8=$B$400,ROUND(('🔄 Topic Pool'!A8-1)/7,0)=$A$400+1)))),'🔄 Topic Pool'!G8,"—")</f>
        <v>—</v>
      </c>
      <c r="P74" s="57" t="str">
        <f aca="false">IF(AND('🔄 Topic Pool'!P8&lt;&gt;"✅ Done",'🔄 Topic Pool'!M8="✅ YES",NOT(A460=2),NOT(AND(A460=1,OR('🔄 Topic Pool'!P8="❌ Missed",'🔄 Topic Pool'!P8="🔄 Partial"))),IF($C$14="Option 1 — Same Month Only",'🔄 Topic Pool'!B8=$B$400,OR(AND('🔄 Topic Pool'!B8=$B$400,ROUND(('🔄 Topic Pool'!A8-1)/7,0)=$A$400),AND('🔄 Topic Pool'!B8=$B$400,ROUND(('🔄 Topic Pool'!A8-1)/7,0)=$A$400+1)))),'🔄 Topic Pool'!J8,"—")</f>
        <v>—</v>
      </c>
      <c r="Q74" s="57"/>
      <c r="R74" s="58" t="str">
        <f aca="false">IF(AND('🔄 Topic Pool'!P8&lt;&gt;"✅ Done",'🔄 Topic Pool'!M8="✅ YES",NOT(A460=2),NOT(AND(A460=1,OR('🔄 Topic Pool'!P8="❌ Missed",'🔄 Topic Pool'!P8="🔄 Partial"))),IF($C$14="Option 1 — Same Month Only",'🔄 Topic Pool'!B8=$B$400,OR(AND('🔄 Topic Pool'!B8=$B$400,ROUND(('🔄 Topic Pool'!A8-1)/7,0)=$A$400),AND('🔄 Topic Pool'!B8=$B$400,ROUND(('🔄 Topic Pool'!A8-1)/7,0)=$A$400+1)))),COUNTIF('📋 Swap History'!$F$4:$F$200,'🔄 Topic Pool'!D8),"—")</f>
        <v>—</v>
      </c>
      <c r="S74" s="59" t="str">
        <f aca="false">IF(NOT(AND('🔄 Topic Pool'!P8&lt;&gt;"✅ Done",'🔄 Topic Pool'!M8="✅ YES",NOT(A460=2),NOT(AND(A460=1,OR('🔄 Topic Pool'!P8="❌ Missed",'🔄 Topic Pool'!P8="🔄 Partial"))),IF($C$14="Option 1 — Same Month Only",'🔄 Topic Pool'!B8=$B$400,OR(AND('🔄 Topic Pool'!B8=$B$400,ROUND(('🔄 Topic Pool'!A8-1)/7,0)=$A$400),AND('🔄 Topic Pool'!B8=$B$400,ROUND(('🔄 Topic Pool'!A8-1)/7,0)=$A$400+1))))),"🔒",IF('🔄 Topic Pool'!M8="🔒 NO","🔒",IF(COUNTIF('📋 Swap History'!$F$4:$F$200,'🔄 Topic Pool'!D8)&gt;=$C$8,"🔒","✅")))</f>
        <v>🔒</v>
      </c>
      <c r="T74" s="59"/>
      <c r="U74" s="60" t="str">
        <f aca="false">IF(AND('🔄 Topic Pool'!P8&lt;&gt;"✅ Done",'🔄 Topic Pool'!M8="✅ YES",NOT(A460=2),NOT(AND(A460=1,OR('🔄 Topic Pool'!P8="❌ Missed",'🔄 Topic Pool'!P8="🔄 Partial"))),IF($C$14="Option 1 — Same Month Only",'🔄 Topic Pool'!B8=$B$400,OR(AND('🔄 Topic Pool'!B8=$B$400,ROUND(('🔄 Topic Pool'!A8-1)/7,0)=$A$400),AND('🔄 Topic Pool'!B8=$B$400,ROUND(('🔄 Topic Pool'!A8-1)/7,0)=$A$400+1)))),'🔄 Topic Pool'!J8&amp;" — Seq "&amp;'🔄 Topic Pool'!C8&amp;" in month","—")</f>
        <v>—</v>
      </c>
      <c r="V74" s="60"/>
    </row>
    <row r="75" customFormat="false" ht="18" hidden="false" customHeight="true" outlineLevel="0" collapsed="false">
      <c r="B75" s="61" t="str">
        <f aca="false">IF(A460=2,"🔒 ALL SWAPS LOCKED",IF(A460=1,"🟡 Overdue topics locked — others swappable",IF($C$14="Option 1 — Same Month Only","📋 Pool: Same Month — M"&amp;$B$400&amp;" topics","📋 Pool: Cur+Next Week — W"&amp;$A$400&amp;" &amp; W"&amp;($A$400+1)&amp;" topics")))</f>
        <v>📋 Pool: Cur+Next Week — W1 &amp; W2 topics</v>
      </c>
      <c r="C75" s="62" t="str">
        <f aca="false">IF(AND('🔄 Topic Pool'!P15&lt;&gt;"✅ Done",'🔄 Topic Pool'!M15="✅ YES",NOT(A460=2),NOT(AND(A460=1,OR('🔄 Topic Pool'!P15="❌ Missed",'🔄 Topic Pool'!P15="🔄 Partial"))),IF($C$14="Option 1 — Same Month Only",'🔄 Topic Pool'!B15=$B$400,OR(AND('🔄 Topic Pool'!B15=$B$400,ROUND(('🔄 Topic Pool'!A15-1)/7,0)=$A$400),AND('🔄 Topic Pool'!B15=$B$400,ROUND(('🔄 Topic Pool'!A15-1)/7,0)=$A$400+1)))),'🔄 Topic Pool'!D15,"—")</f>
        <v>—</v>
      </c>
      <c r="D75" s="62"/>
      <c r="E75" s="62"/>
      <c r="F75" s="62"/>
      <c r="G75" s="62"/>
      <c r="H75" s="62"/>
      <c r="I75" s="62"/>
      <c r="J75" s="62"/>
      <c r="K75" s="62"/>
      <c r="L75" s="62"/>
      <c r="M75" s="56" t="str">
        <f aca="false">IF(AND('🔄 Topic Pool'!P15&lt;&gt;"✅ Done",'🔄 Topic Pool'!M15="✅ YES",NOT(A460=2),NOT(AND(A460=1,OR('🔄 Topic Pool'!P15="❌ Missed",'🔄 Topic Pool'!P15="🔄 Partial"))),IF($C$14="Option 1 — Same Month Only",'🔄 Topic Pool'!B15=$B$400,OR(AND('🔄 Topic Pool'!B15=$B$400,ROUND(('🔄 Topic Pool'!A15-1)/7,0)=$A$400),AND('🔄 Topic Pool'!B15=$B$400,ROUND(('🔄 Topic Pool'!A15-1)/7,0)=$A$400+1)))),'🔄 Topic Pool'!E15,"—")</f>
        <v>—</v>
      </c>
      <c r="N75" s="56"/>
      <c r="O75" s="40" t="str">
        <f aca="false">IF(AND('🔄 Topic Pool'!P15&lt;&gt;"✅ Done",'🔄 Topic Pool'!M15="✅ YES",NOT(A460=2),NOT(AND(A460=1,OR('🔄 Topic Pool'!P15="❌ Missed",'🔄 Topic Pool'!P15="🔄 Partial"))),IF($C$14="Option 1 — Same Month Only",'🔄 Topic Pool'!B15=$B$400,OR(AND('🔄 Topic Pool'!B15=$B$400,ROUND(('🔄 Topic Pool'!A15-1)/7,0)=$A$400),AND('🔄 Topic Pool'!B15=$B$400,ROUND(('🔄 Topic Pool'!A15-1)/7,0)=$A$400+1)))),'🔄 Topic Pool'!G15,"—")</f>
        <v>—</v>
      </c>
      <c r="P75" s="63" t="str">
        <f aca="false">IF(AND('🔄 Topic Pool'!P15&lt;&gt;"✅ Done",'🔄 Topic Pool'!M15="✅ YES",NOT(A460=2),NOT(AND(A460=1,OR('🔄 Topic Pool'!P15="❌ Missed",'🔄 Topic Pool'!P15="🔄 Partial"))),IF($C$14="Option 1 — Same Month Only",'🔄 Topic Pool'!B15=$B$400,OR(AND('🔄 Topic Pool'!B15=$B$400,ROUND(('🔄 Topic Pool'!A15-1)/7,0)=$A$400),AND('🔄 Topic Pool'!B15=$B$400,ROUND(('🔄 Topic Pool'!A15-1)/7,0)=$A$400+1)))),'🔄 Topic Pool'!J15,"—")</f>
        <v>—</v>
      </c>
      <c r="Q75" s="63"/>
      <c r="R75" s="58" t="str">
        <f aca="false">IF(AND('🔄 Topic Pool'!P15&lt;&gt;"✅ Done",'🔄 Topic Pool'!M15="✅ YES",NOT(A460=2),NOT(AND(A460=1,OR('🔄 Topic Pool'!P15="❌ Missed",'🔄 Topic Pool'!P15="🔄 Partial"))),IF($C$14="Option 1 — Same Month Only",'🔄 Topic Pool'!B15=$B$400,OR(AND('🔄 Topic Pool'!B15=$B$400,ROUND(('🔄 Topic Pool'!A15-1)/7,0)=$A$400),AND('🔄 Topic Pool'!B15=$B$400,ROUND(('🔄 Topic Pool'!A15-1)/7,0)=$A$400+1)))),COUNTIF('📋 Swap History'!$F$4:$F$200,'🔄 Topic Pool'!D15),"—")</f>
        <v>—</v>
      </c>
      <c r="S75" s="64" t="str">
        <f aca="false">IF(NOT(AND('🔄 Topic Pool'!P15&lt;&gt;"✅ Done",'🔄 Topic Pool'!M15="✅ YES",NOT(A460=2),NOT(AND(A460=1,OR('🔄 Topic Pool'!P15="❌ Missed",'🔄 Topic Pool'!P15="🔄 Partial"))),IF($C$14="Option 1 — Same Month Only",'🔄 Topic Pool'!B15=$B$400,OR(AND('🔄 Topic Pool'!B15=$B$400,ROUND(('🔄 Topic Pool'!A15-1)/7,0)=$A$400),AND('🔄 Topic Pool'!B15=$B$400,ROUND(('🔄 Topic Pool'!A15-1)/7,0)=$A$400+1))))),"🔒",IF('🔄 Topic Pool'!M15="🔒 NO","🔒",IF(COUNTIF('📋 Swap History'!$F$4:$F$200,'🔄 Topic Pool'!D15)&gt;=$C$8,"🔒","✅")))</f>
        <v>🔒</v>
      </c>
      <c r="T75" s="64"/>
      <c r="U75" s="65" t="str">
        <f aca="false">IF(AND('🔄 Topic Pool'!P15&lt;&gt;"✅ Done",'🔄 Topic Pool'!M15="✅ YES",NOT(A460=2),NOT(AND(A460=1,OR('🔄 Topic Pool'!P15="❌ Missed",'🔄 Topic Pool'!P15="🔄 Partial"))),IF($C$14="Option 1 — Same Month Only",'🔄 Topic Pool'!B15=$B$400,OR(AND('🔄 Topic Pool'!B15=$B$400,ROUND(('🔄 Topic Pool'!A15-1)/7,0)=$A$400),AND('🔄 Topic Pool'!B15=$B$400,ROUND(('🔄 Topic Pool'!A15-1)/7,0)=$A$400+1)))),'🔄 Topic Pool'!J15&amp;" — Seq "&amp;'🔄 Topic Pool'!C15&amp;" in month","—")</f>
        <v>—</v>
      </c>
      <c r="V75" s="65"/>
    </row>
    <row r="76" customFormat="false" ht="18" hidden="false" customHeight="true" outlineLevel="0" collapsed="false">
      <c r="B76" s="54" t="str">
        <f aca="false">IF(AND('🔄 Topic Pool'!P22&lt;&gt;"✅ Done",'🔄 Topic Pool'!M22="✅ YES",NOT(A460=2),NOT(AND(A460=1,OR('🔄 Topic Pool'!P22="❌ Missed",'🔄 Topic Pool'!P22="🔄 Partial"))),IF($C$14="Option 1 — Same Month Only",'🔄 Topic Pool'!B22=$B$400,OR(AND('🔄 Topic Pool'!B22=$B$400,ROUND(('🔄 Topic Pool'!A22-1)/7,0)=$A$400),AND('🔄 Topic Pool'!B22=$B$400,ROUND(('🔄 Topic Pool'!A22-1)/7,0)=$A$400+1)))),'🔄 Topic Pool'!A22,"—")</f>
        <v>—</v>
      </c>
      <c r="C76" s="55" t="str">
        <f aca="false">IF(AND('🔄 Topic Pool'!P22&lt;&gt;"✅ Done",'🔄 Topic Pool'!M22="✅ YES",NOT(A460=2),NOT(AND(A460=1,OR('🔄 Topic Pool'!P22="❌ Missed",'🔄 Topic Pool'!P22="🔄 Partial"))),IF($C$14="Option 1 — Same Month Only",'🔄 Topic Pool'!B22=$B$400,OR(AND('🔄 Topic Pool'!B22=$B$400,ROUND(('🔄 Topic Pool'!A22-1)/7,0)=$A$400),AND('🔄 Topic Pool'!B22=$B$400,ROUND(('🔄 Topic Pool'!A22-1)/7,0)=$A$400+1)))),'🔄 Topic Pool'!D22,"—")</f>
        <v>—</v>
      </c>
      <c r="D76" s="55"/>
      <c r="E76" s="55"/>
      <c r="F76" s="55"/>
      <c r="G76" s="55"/>
      <c r="H76" s="55"/>
      <c r="I76" s="55"/>
      <c r="J76" s="55"/>
      <c r="K76" s="55"/>
      <c r="L76" s="55"/>
      <c r="M76" s="56" t="str">
        <f aca="false">IF(AND('🔄 Topic Pool'!P22&lt;&gt;"✅ Done",'🔄 Topic Pool'!M22="✅ YES",NOT(A460=2),NOT(AND(A460=1,OR('🔄 Topic Pool'!P22="❌ Missed",'🔄 Topic Pool'!P22="🔄 Partial"))),IF($C$14="Option 1 — Same Month Only",'🔄 Topic Pool'!B22=$B$400,OR(AND('🔄 Topic Pool'!B22=$B$400,ROUND(('🔄 Topic Pool'!A22-1)/7,0)=$A$400),AND('🔄 Topic Pool'!B22=$B$400,ROUND(('🔄 Topic Pool'!A22-1)/7,0)=$A$400+1)))),'🔄 Topic Pool'!E22,"—")</f>
        <v>—</v>
      </c>
      <c r="N76" s="56"/>
      <c r="O76" s="40" t="str">
        <f aca="false">IF(AND('🔄 Topic Pool'!P22&lt;&gt;"✅ Done",'🔄 Topic Pool'!M22="✅ YES",NOT(A460=2),NOT(AND(A460=1,OR('🔄 Topic Pool'!P22="❌ Missed",'🔄 Topic Pool'!P22="🔄 Partial"))),IF($C$14="Option 1 — Same Month Only",'🔄 Topic Pool'!B22=$B$400,OR(AND('🔄 Topic Pool'!B22=$B$400,ROUND(('🔄 Topic Pool'!A22-1)/7,0)=$A$400),AND('🔄 Topic Pool'!B22=$B$400,ROUND(('🔄 Topic Pool'!A22-1)/7,0)=$A$400+1)))),'🔄 Topic Pool'!G22,"—")</f>
        <v>—</v>
      </c>
      <c r="P76" s="57" t="str">
        <f aca="false">IF(AND('🔄 Topic Pool'!P22&lt;&gt;"✅ Done",'🔄 Topic Pool'!M22="✅ YES",NOT(A460=2),NOT(AND(A460=1,OR('🔄 Topic Pool'!P22="❌ Missed",'🔄 Topic Pool'!P22="🔄 Partial"))),IF($C$14="Option 1 — Same Month Only",'🔄 Topic Pool'!B22=$B$400,OR(AND('🔄 Topic Pool'!B22=$B$400,ROUND(('🔄 Topic Pool'!A22-1)/7,0)=$A$400),AND('🔄 Topic Pool'!B22=$B$400,ROUND(('🔄 Topic Pool'!A22-1)/7,0)=$A$400+1)))),'🔄 Topic Pool'!J22,"—")</f>
        <v>—</v>
      </c>
      <c r="Q76" s="57"/>
      <c r="R76" s="58" t="str">
        <f aca="false">IF(AND('🔄 Topic Pool'!P22&lt;&gt;"✅ Done",'🔄 Topic Pool'!M22="✅ YES",NOT(A460=2),NOT(AND(A460=1,OR('🔄 Topic Pool'!P22="❌ Missed",'🔄 Topic Pool'!P22="🔄 Partial"))),IF($C$14="Option 1 — Same Month Only",'🔄 Topic Pool'!B22=$B$400,OR(AND('🔄 Topic Pool'!B22=$B$400,ROUND(('🔄 Topic Pool'!A22-1)/7,0)=$A$400),AND('🔄 Topic Pool'!B22=$B$400,ROUND(('🔄 Topic Pool'!A22-1)/7,0)=$A$400+1)))),COUNTIF('📋 Swap History'!$F$4:$F$200,'🔄 Topic Pool'!D22),"—")</f>
        <v>—</v>
      </c>
      <c r="S76" s="59" t="str">
        <f aca="false">IF(NOT(AND('🔄 Topic Pool'!P22&lt;&gt;"✅ Done",'🔄 Topic Pool'!M22="✅ YES",NOT(A460=2),NOT(AND(A460=1,OR('🔄 Topic Pool'!P22="❌ Missed",'🔄 Topic Pool'!P22="🔄 Partial"))),IF($C$14="Option 1 — Same Month Only",'🔄 Topic Pool'!B22=$B$400,OR(AND('🔄 Topic Pool'!B22=$B$400,ROUND(('🔄 Topic Pool'!A22-1)/7,0)=$A$400),AND('🔄 Topic Pool'!B22=$B$400,ROUND(('🔄 Topic Pool'!A22-1)/7,0)=$A$400+1))))),"🔒",IF('🔄 Topic Pool'!M22="🔒 NO","🔒",IF(COUNTIF('📋 Swap History'!$F$4:$F$200,'🔄 Topic Pool'!D22)&gt;=$C$8,"🔒","✅")))</f>
        <v>🔒</v>
      </c>
      <c r="T76" s="59"/>
      <c r="U76" s="60" t="str">
        <f aca="false">IF(AND('🔄 Topic Pool'!P22&lt;&gt;"✅ Done",'🔄 Topic Pool'!M22="✅ YES",NOT(A460=2),NOT(AND(A460=1,OR('🔄 Topic Pool'!P22="❌ Missed",'🔄 Topic Pool'!P22="🔄 Partial"))),IF($C$14="Option 1 — Same Month Only",'🔄 Topic Pool'!B22=$B$400,OR(AND('🔄 Topic Pool'!B22=$B$400,ROUND(('🔄 Topic Pool'!A22-1)/7,0)=$A$400),AND('🔄 Topic Pool'!B22=$B$400,ROUND(('🔄 Topic Pool'!A22-1)/7,0)=$A$400+1)))),'🔄 Topic Pool'!J22&amp;" — Seq "&amp;'🔄 Topic Pool'!C22&amp;" in month","—")</f>
        <v>—</v>
      </c>
      <c r="V76" s="60"/>
    </row>
    <row r="77" customFormat="false" ht="18" hidden="false" customHeight="true" outlineLevel="0" collapsed="false">
      <c r="B77" s="61" t="str">
        <f aca="false">IF(AND('🔄 Topic Pool'!P29&lt;&gt;"✅ Done",'🔄 Topic Pool'!M29="✅ YES",NOT(A460=2),NOT(AND(A460=1,OR('🔄 Topic Pool'!P29="❌ Missed",'🔄 Topic Pool'!P29="🔄 Partial"))),IF($C$14="Option 1 — Same Month Only",'🔄 Topic Pool'!B29=$B$400,OR(AND('🔄 Topic Pool'!B29=$B$400,ROUND(('🔄 Topic Pool'!A29-1)/7,0)=$A$400),AND('🔄 Topic Pool'!B29=$B$400,ROUND(('🔄 Topic Pool'!A29-1)/7,0)=$A$400+1)))),'🔄 Topic Pool'!A29,"—")</f>
        <v>—</v>
      </c>
      <c r="C77" s="62" t="str">
        <f aca="false">IF(AND('🔄 Topic Pool'!P29&lt;&gt;"✅ Done",'🔄 Topic Pool'!M29="✅ YES",NOT(A460=2),NOT(AND(A460=1,OR('🔄 Topic Pool'!P29="❌ Missed",'🔄 Topic Pool'!P29="🔄 Partial"))),IF($C$14="Option 1 — Same Month Only",'🔄 Topic Pool'!B29=$B$400,OR(AND('🔄 Topic Pool'!B29=$B$400,ROUND(('🔄 Topic Pool'!A29-1)/7,0)=$A$400),AND('🔄 Topic Pool'!B29=$B$400,ROUND(('🔄 Topic Pool'!A29-1)/7,0)=$A$400+1)))),'🔄 Topic Pool'!D29,"—")</f>
        <v>—</v>
      </c>
      <c r="D77" s="62"/>
      <c r="E77" s="62"/>
      <c r="F77" s="62"/>
      <c r="G77" s="62"/>
      <c r="H77" s="62"/>
      <c r="I77" s="62"/>
      <c r="J77" s="62"/>
      <c r="K77" s="62"/>
      <c r="L77" s="62"/>
      <c r="M77" s="56" t="str">
        <f aca="false">IF(AND('🔄 Topic Pool'!P29&lt;&gt;"✅ Done",'🔄 Topic Pool'!M29="✅ YES",NOT(A460=2),NOT(AND(A460=1,OR('🔄 Topic Pool'!P29="❌ Missed",'🔄 Topic Pool'!P29="🔄 Partial"))),IF($C$14="Option 1 — Same Month Only",'🔄 Topic Pool'!B29=$B$400,OR(AND('🔄 Topic Pool'!B29=$B$400,ROUND(('🔄 Topic Pool'!A29-1)/7,0)=$A$400),AND('🔄 Topic Pool'!B29=$B$400,ROUND(('🔄 Topic Pool'!A29-1)/7,0)=$A$400+1)))),'🔄 Topic Pool'!E29,"—")</f>
        <v>—</v>
      </c>
      <c r="N77" s="56"/>
      <c r="O77" s="40" t="str">
        <f aca="false">IF(AND('🔄 Topic Pool'!P29&lt;&gt;"✅ Done",'🔄 Topic Pool'!M29="✅ YES",NOT(A460=2),NOT(AND(A460=1,OR('🔄 Topic Pool'!P29="❌ Missed",'🔄 Topic Pool'!P29="🔄 Partial"))),IF($C$14="Option 1 — Same Month Only",'🔄 Topic Pool'!B29=$B$400,OR(AND('🔄 Topic Pool'!B29=$B$400,ROUND(('🔄 Topic Pool'!A29-1)/7,0)=$A$400),AND('🔄 Topic Pool'!B29=$B$400,ROUND(('🔄 Topic Pool'!A29-1)/7,0)=$A$400+1)))),'🔄 Topic Pool'!G29,"—")</f>
        <v>—</v>
      </c>
      <c r="P77" s="63" t="str">
        <f aca="false">IF(AND('🔄 Topic Pool'!P29&lt;&gt;"✅ Done",'🔄 Topic Pool'!M29="✅ YES",NOT(A460=2),NOT(AND(A460=1,OR('🔄 Topic Pool'!P29="❌ Missed",'🔄 Topic Pool'!P29="🔄 Partial"))),IF($C$14="Option 1 — Same Month Only",'🔄 Topic Pool'!B29=$B$400,OR(AND('🔄 Topic Pool'!B29=$B$400,ROUND(('🔄 Topic Pool'!A29-1)/7,0)=$A$400),AND('🔄 Topic Pool'!B29=$B$400,ROUND(('🔄 Topic Pool'!A29-1)/7,0)=$A$400+1)))),'🔄 Topic Pool'!J29,"—")</f>
        <v>—</v>
      </c>
      <c r="Q77" s="63"/>
      <c r="R77" s="58" t="str">
        <f aca="false">IF(AND('🔄 Topic Pool'!P29&lt;&gt;"✅ Done",'🔄 Topic Pool'!M29="✅ YES",NOT(A460=2),NOT(AND(A460=1,OR('🔄 Topic Pool'!P29="❌ Missed",'🔄 Topic Pool'!P29="🔄 Partial"))),IF($C$14="Option 1 — Same Month Only",'🔄 Topic Pool'!B29=$B$400,OR(AND('🔄 Topic Pool'!B29=$B$400,ROUND(('🔄 Topic Pool'!A29-1)/7,0)=$A$400),AND('🔄 Topic Pool'!B29=$B$400,ROUND(('🔄 Topic Pool'!A29-1)/7,0)=$A$400+1)))),COUNTIF('📋 Swap History'!$F$4:$F$200,'🔄 Topic Pool'!D29),"—")</f>
        <v>—</v>
      </c>
      <c r="S77" s="64" t="str">
        <f aca="false">IF(NOT(AND('🔄 Topic Pool'!P29&lt;&gt;"✅ Done",'🔄 Topic Pool'!M29="✅ YES",NOT(A460=2),NOT(AND(A460=1,OR('🔄 Topic Pool'!P29="❌ Missed",'🔄 Topic Pool'!P29="🔄 Partial"))),IF($C$14="Option 1 — Same Month Only",'🔄 Topic Pool'!B29=$B$400,OR(AND('🔄 Topic Pool'!B29=$B$400,ROUND(('🔄 Topic Pool'!A29-1)/7,0)=$A$400),AND('🔄 Topic Pool'!B29=$B$400,ROUND(('🔄 Topic Pool'!A29-1)/7,0)=$A$400+1))))),"🔒",IF('🔄 Topic Pool'!M29="🔒 NO","🔒",IF(COUNTIF('📋 Swap History'!$F$4:$F$200,'🔄 Topic Pool'!D29)&gt;=$C$8,"🔒","✅")))</f>
        <v>🔒</v>
      </c>
      <c r="T77" s="64"/>
      <c r="U77" s="65" t="str">
        <f aca="false">IF(AND('🔄 Topic Pool'!P29&lt;&gt;"✅ Done",'🔄 Topic Pool'!M29="✅ YES",NOT(A460=2),NOT(AND(A460=1,OR('🔄 Topic Pool'!P29="❌ Missed",'🔄 Topic Pool'!P29="🔄 Partial"))),IF($C$14="Option 1 — Same Month Only",'🔄 Topic Pool'!B29=$B$400,OR(AND('🔄 Topic Pool'!B29=$B$400,ROUND(('🔄 Topic Pool'!A29-1)/7,0)=$A$400),AND('🔄 Topic Pool'!B29=$B$400,ROUND(('🔄 Topic Pool'!A29-1)/7,0)=$A$400+1)))),'🔄 Topic Pool'!J29&amp;" — Seq "&amp;'🔄 Topic Pool'!C29&amp;" in month","—")</f>
        <v>—</v>
      </c>
      <c r="V77" s="65"/>
    </row>
    <row r="78" customFormat="false" ht="18" hidden="false" customHeight="true" outlineLevel="0" collapsed="false">
      <c r="B78" s="54" t="str">
        <f aca="false">IF(AND('🔄 Topic Pool'!P4&lt;&gt;"✅ Done",'🔄 Topic Pool'!M4="✅ YES",NOT(A460=2),NOT(AND(A460=1,OR('🔄 Topic Pool'!P4="❌ Missed",'🔄 Topic Pool'!P4="🔄 Partial"))),IF($C$14="Option 1 — Same Month Only",'🔄 Topic Pool'!B4=$B$400,OR(AND('🔄 Topic Pool'!B4=$B$400,ROUND(('🔄 Topic Pool'!A4-1)/7,0)=$A$400),AND('🔄 Topic Pool'!B4=$B$400,ROUND(('🔄 Topic Pool'!A4-1)/7,0)=$A$400+1)))),'🔄 Topic Pool'!A4,"—")</f>
        <v>—</v>
      </c>
      <c r="C78" s="55" t="str">
        <f aca="false">IF(AND('🔄 Topic Pool'!P4&lt;&gt;"✅ Done",'🔄 Topic Pool'!M4="✅ YES",NOT(A460=2),NOT(AND(A460=1,OR('🔄 Topic Pool'!P4="❌ Missed",'🔄 Topic Pool'!P4="🔄 Partial"))),IF($C$14="Option 1 — Same Month Only",'🔄 Topic Pool'!B4=$B$400,OR(AND('🔄 Topic Pool'!B4=$B$400,ROUND(('🔄 Topic Pool'!A4-1)/7,0)=$A$400),AND('🔄 Topic Pool'!B4=$B$400,ROUND(('🔄 Topic Pool'!A4-1)/7,0)=$A$400+1)))),'🔄 Topic Pool'!D4,"—")</f>
        <v>—</v>
      </c>
      <c r="D78" s="55"/>
      <c r="E78" s="55"/>
      <c r="F78" s="55"/>
      <c r="G78" s="55"/>
      <c r="H78" s="55"/>
      <c r="I78" s="55"/>
      <c r="J78" s="55"/>
      <c r="K78" s="55"/>
      <c r="L78" s="55"/>
      <c r="M78" s="56" t="str">
        <f aca="false">IF(AND('🔄 Topic Pool'!P4&lt;&gt;"✅ Done",'🔄 Topic Pool'!M4="✅ YES",NOT(A460=2),NOT(AND(A460=1,OR('🔄 Topic Pool'!P4="❌ Missed",'🔄 Topic Pool'!P4="🔄 Partial"))),IF($C$14="Option 1 — Same Month Only",'🔄 Topic Pool'!B4=$B$400,OR(AND('🔄 Topic Pool'!B4=$B$400,ROUND(('🔄 Topic Pool'!A4-1)/7,0)=$A$400),AND('🔄 Topic Pool'!B4=$B$400,ROUND(('🔄 Topic Pool'!A4-1)/7,0)=$A$400+1)))),'🔄 Topic Pool'!E4,"—")</f>
        <v>—</v>
      </c>
      <c r="N78" s="56"/>
      <c r="O78" s="40" t="str">
        <f aca="false">IF(AND('🔄 Topic Pool'!P4&lt;&gt;"✅ Done",'🔄 Topic Pool'!M4="✅ YES",NOT(A460=2),NOT(AND(A460=1,OR('🔄 Topic Pool'!P4="❌ Missed",'🔄 Topic Pool'!P4="🔄 Partial"))),IF($C$14="Option 1 — Same Month Only",'🔄 Topic Pool'!B4=$B$400,OR(AND('🔄 Topic Pool'!B4=$B$400,ROUND(('🔄 Topic Pool'!A4-1)/7,0)=$A$400),AND('🔄 Topic Pool'!B4=$B$400,ROUND(('🔄 Topic Pool'!A4-1)/7,0)=$A$400+1)))),'🔄 Topic Pool'!G4,"—")</f>
        <v>—</v>
      </c>
      <c r="P78" s="57" t="str">
        <f aca="false">IF(AND('🔄 Topic Pool'!P4&lt;&gt;"✅ Done",'🔄 Topic Pool'!M4="✅ YES",NOT(A460=2),NOT(AND(A460=1,OR('🔄 Topic Pool'!P4="❌ Missed",'🔄 Topic Pool'!P4="🔄 Partial"))),IF($C$14="Option 1 — Same Month Only",'🔄 Topic Pool'!B4=$B$400,OR(AND('🔄 Topic Pool'!B4=$B$400,ROUND(('🔄 Topic Pool'!A4-1)/7,0)=$A$400),AND('🔄 Topic Pool'!B4=$B$400,ROUND(('🔄 Topic Pool'!A4-1)/7,0)=$A$400+1)))),'🔄 Topic Pool'!J4,"—")</f>
        <v>—</v>
      </c>
      <c r="Q78" s="57"/>
      <c r="R78" s="58" t="str">
        <f aca="false">IF(AND('🔄 Topic Pool'!P4&lt;&gt;"✅ Done",'🔄 Topic Pool'!M4="✅ YES",NOT(A460=2),NOT(AND(A460=1,OR('🔄 Topic Pool'!P4="❌ Missed",'🔄 Topic Pool'!P4="🔄 Partial"))),IF($C$14="Option 1 — Same Month Only",'🔄 Topic Pool'!B4=$B$400,OR(AND('🔄 Topic Pool'!B4=$B$400,ROUND(('🔄 Topic Pool'!A4-1)/7,0)=$A$400),AND('🔄 Topic Pool'!B4=$B$400,ROUND(('🔄 Topic Pool'!A4-1)/7,0)=$A$400+1)))),COUNTIF('📋 Swap History'!$F$4:$F$200,'🔄 Topic Pool'!D4),"—")</f>
        <v>—</v>
      </c>
      <c r="S78" s="59" t="str">
        <f aca="false">IF(NOT(AND('🔄 Topic Pool'!P4&lt;&gt;"✅ Done",'🔄 Topic Pool'!M4="✅ YES",NOT(A460=2),NOT(AND(A460=1,OR('🔄 Topic Pool'!P4="❌ Missed",'🔄 Topic Pool'!P4="🔄 Partial"))),IF($C$14="Option 1 — Same Month Only",'🔄 Topic Pool'!B4=$B$400,OR(AND('🔄 Topic Pool'!B4=$B$400,ROUND(('🔄 Topic Pool'!A4-1)/7,0)=$A$400),AND('🔄 Topic Pool'!B4=$B$400,ROUND(('🔄 Topic Pool'!A4-1)/7,0)=$A$400+1))))),"🔒",IF('🔄 Topic Pool'!M4="🔒 NO","🔒",IF(COUNTIF('📋 Swap History'!$F$4:$F$200,'🔄 Topic Pool'!D4)&gt;=$C$8,"🔒","✅")))</f>
        <v>🔒</v>
      </c>
      <c r="T78" s="59"/>
      <c r="U78" s="60" t="str">
        <f aca="false">IF(AND('🔄 Topic Pool'!P4&lt;&gt;"✅ Done",'🔄 Topic Pool'!M4="✅ YES",NOT(A460=2),NOT(AND(A460=1,OR('🔄 Topic Pool'!P4="❌ Missed",'🔄 Topic Pool'!P4="🔄 Partial"))),IF($C$14="Option 1 — Same Month Only",'🔄 Topic Pool'!B4=$B$400,OR(AND('🔄 Topic Pool'!B4=$B$400,ROUND(('🔄 Topic Pool'!A4-1)/7,0)=$A$400),AND('🔄 Topic Pool'!B4=$B$400,ROUND(('🔄 Topic Pool'!A4-1)/7,0)=$A$400+1)))),'🔄 Topic Pool'!J4&amp;" — Seq "&amp;'🔄 Topic Pool'!C4&amp;" in month","—")</f>
        <v>—</v>
      </c>
      <c r="V78" s="60"/>
    </row>
    <row r="79" customFormat="false" ht="18" hidden="false" customHeight="true" outlineLevel="0" collapsed="false">
      <c r="B79" s="61" t="str">
        <f aca="false">IF(AND('🔄 Topic Pool'!P5&lt;&gt;"✅ Done",'🔄 Topic Pool'!M5="✅ YES",NOT(A460=2),NOT(AND(A460=1,OR('🔄 Topic Pool'!P5="❌ Missed",'🔄 Topic Pool'!P5="🔄 Partial"))),IF($C$14="Option 1 — Same Month Only",'🔄 Topic Pool'!B5=$B$400,OR(AND('🔄 Topic Pool'!B5=$B$400,ROUND(('🔄 Topic Pool'!A5-1)/7,0)=$A$400),AND('🔄 Topic Pool'!B5=$B$400,ROUND(('🔄 Topic Pool'!A5-1)/7,0)=$A$400+1)))),'🔄 Topic Pool'!A5,"—")</f>
        <v>—</v>
      </c>
      <c r="C79" s="62" t="str">
        <f aca="false">IF(AND('🔄 Topic Pool'!P5&lt;&gt;"✅ Done",'🔄 Topic Pool'!M5="✅ YES",NOT(A460=2),NOT(AND(A460=1,OR('🔄 Topic Pool'!P5="❌ Missed",'🔄 Topic Pool'!P5="🔄 Partial"))),IF($C$14="Option 1 — Same Month Only",'🔄 Topic Pool'!B5=$B$400,OR(AND('🔄 Topic Pool'!B5=$B$400,ROUND(('🔄 Topic Pool'!A5-1)/7,0)=$A$400),AND('🔄 Topic Pool'!B5=$B$400,ROUND(('🔄 Topic Pool'!A5-1)/7,0)=$A$400+1)))),'🔄 Topic Pool'!D5,"—")</f>
        <v>—</v>
      </c>
      <c r="D79" s="62"/>
      <c r="E79" s="62"/>
      <c r="F79" s="62"/>
      <c r="G79" s="62"/>
      <c r="H79" s="62"/>
      <c r="I79" s="62"/>
      <c r="J79" s="62"/>
      <c r="K79" s="62"/>
      <c r="L79" s="62"/>
      <c r="M79" s="56" t="str">
        <f aca="false">IF(AND('🔄 Topic Pool'!P5&lt;&gt;"✅ Done",'🔄 Topic Pool'!M5="✅ YES",NOT(A460=2),NOT(AND(A460=1,OR('🔄 Topic Pool'!P5="❌ Missed",'🔄 Topic Pool'!P5="🔄 Partial"))),IF($C$14="Option 1 — Same Month Only",'🔄 Topic Pool'!B5=$B$400,OR(AND('🔄 Topic Pool'!B5=$B$400,ROUND(('🔄 Topic Pool'!A5-1)/7,0)=$A$400),AND('🔄 Topic Pool'!B5=$B$400,ROUND(('🔄 Topic Pool'!A5-1)/7,0)=$A$400+1)))),'🔄 Topic Pool'!E5,"—")</f>
        <v>—</v>
      </c>
      <c r="N79" s="56"/>
      <c r="O79" s="40" t="str">
        <f aca="false">IF(AND('🔄 Topic Pool'!P5&lt;&gt;"✅ Done",'🔄 Topic Pool'!M5="✅ YES",NOT(A460=2),NOT(AND(A460=1,OR('🔄 Topic Pool'!P5="❌ Missed",'🔄 Topic Pool'!P5="🔄 Partial"))),IF($C$14="Option 1 — Same Month Only",'🔄 Topic Pool'!B5=$B$400,OR(AND('🔄 Topic Pool'!B5=$B$400,ROUND(('🔄 Topic Pool'!A5-1)/7,0)=$A$400),AND('🔄 Topic Pool'!B5=$B$400,ROUND(('🔄 Topic Pool'!A5-1)/7,0)=$A$400+1)))),'🔄 Topic Pool'!G5,"—")</f>
        <v>—</v>
      </c>
      <c r="P79" s="63" t="str">
        <f aca="false">IF(AND('🔄 Topic Pool'!P5&lt;&gt;"✅ Done",'🔄 Topic Pool'!M5="✅ YES",NOT(A460=2),NOT(AND(A460=1,OR('🔄 Topic Pool'!P5="❌ Missed",'🔄 Topic Pool'!P5="🔄 Partial"))),IF($C$14="Option 1 — Same Month Only",'🔄 Topic Pool'!B5=$B$400,OR(AND('🔄 Topic Pool'!B5=$B$400,ROUND(('🔄 Topic Pool'!A5-1)/7,0)=$A$400),AND('🔄 Topic Pool'!B5=$B$400,ROUND(('🔄 Topic Pool'!A5-1)/7,0)=$A$400+1)))),'🔄 Topic Pool'!J5,"—")</f>
        <v>—</v>
      </c>
      <c r="Q79" s="63"/>
      <c r="R79" s="58" t="str">
        <f aca="false">IF(AND('🔄 Topic Pool'!P5&lt;&gt;"✅ Done",'🔄 Topic Pool'!M5="✅ YES",NOT(A460=2),NOT(AND(A460=1,OR('🔄 Topic Pool'!P5="❌ Missed",'🔄 Topic Pool'!P5="🔄 Partial"))),IF($C$14="Option 1 — Same Month Only",'🔄 Topic Pool'!B5=$B$400,OR(AND('🔄 Topic Pool'!B5=$B$400,ROUND(('🔄 Topic Pool'!A5-1)/7,0)=$A$400),AND('🔄 Topic Pool'!B5=$B$400,ROUND(('🔄 Topic Pool'!A5-1)/7,0)=$A$400+1)))),COUNTIF('📋 Swap History'!$F$4:$F$200,'🔄 Topic Pool'!D5),"—")</f>
        <v>—</v>
      </c>
      <c r="S79" s="64" t="str">
        <f aca="false">IF(NOT(AND('🔄 Topic Pool'!P5&lt;&gt;"✅ Done",'🔄 Topic Pool'!M5="✅ YES",NOT(A460=2),NOT(AND(A460=1,OR('🔄 Topic Pool'!P5="❌ Missed",'🔄 Topic Pool'!P5="🔄 Partial"))),IF($C$14="Option 1 — Same Month Only",'🔄 Topic Pool'!B5=$B$400,OR(AND('🔄 Topic Pool'!B5=$B$400,ROUND(('🔄 Topic Pool'!A5-1)/7,0)=$A$400),AND('🔄 Topic Pool'!B5=$B$400,ROUND(('🔄 Topic Pool'!A5-1)/7,0)=$A$400+1))))),"🔒",IF('🔄 Topic Pool'!M5="🔒 NO","🔒",IF(COUNTIF('📋 Swap History'!$F$4:$F$200,'🔄 Topic Pool'!D5)&gt;=$C$8,"🔒","✅")))</f>
        <v>🔒</v>
      </c>
      <c r="T79" s="64"/>
      <c r="U79" s="65" t="str">
        <f aca="false">IF(AND('🔄 Topic Pool'!P5&lt;&gt;"✅ Done",'🔄 Topic Pool'!M5="✅ YES",NOT(A460=2),NOT(AND(A460=1,OR('🔄 Topic Pool'!P5="❌ Missed",'🔄 Topic Pool'!P5="🔄 Partial"))),IF($C$14="Option 1 — Same Month Only",'🔄 Topic Pool'!B5=$B$400,OR(AND('🔄 Topic Pool'!B5=$B$400,ROUND(('🔄 Topic Pool'!A5-1)/7,0)=$A$400),AND('🔄 Topic Pool'!B5=$B$400,ROUND(('🔄 Topic Pool'!A5-1)/7,0)=$A$400+1)))),'🔄 Topic Pool'!J5&amp;" — Seq "&amp;'🔄 Topic Pool'!C5&amp;" in month","—")</f>
        <v>—</v>
      </c>
      <c r="V79" s="65"/>
    </row>
    <row r="80" customFormat="false" ht="18" hidden="false" customHeight="true" outlineLevel="0" collapsed="false">
      <c r="B80" s="54" t="str">
        <f aca="false">IF(AND('🔄 Topic Pool'!P6&lt;&gt;"✅ Done",'🔄 Topic Pool'!M6="✅ YES",NOT(A460=2),NOT(AND(A460=1,OR('🔄 Topic Pool'!P6="❌ Missed",'🔄 Topic Pool'!P6="🔄 Partial"))),IF($C$14="Option 1 — Same Month Only",'🔄 Topic Pool'!B6=$B$400,OR(AND('🔄 Topic Pool'!B6=$B$400,ROUND(('🔄 Topic Pool'!A6-1)/7,0)=$A$400),AND('🔄 Topic Pool'!B6=$B$400,ROUND(('🔄 Topic Pool'!A6-1)/7,0)=$A$400+1)))),'🔄 Topic Pool'!A6,"—")</f>
        <v>—</v>
      </c>
      <c r="C80" s="55" t="str">
        <f aca="false">IF(AND('🔄 Topic Pool'!P6&lt;&gt;"✅ Done",'🔄 Topic Pool'!M6="✅ YES",NOT(A460=2),NOT(AND(A460=1,OR('🔄 Topic Pool'!P6="❌ Missed",'🔄 Topic Pool'!P6="🔄 Partial"))),IF($C$14="Option 1 — Same Month Only",'🔄 Topic Pool'!B6=$B$400,OR(AND('🔄 Topic Pool'!B6=$B$400,ROUND(('🔄 Topic Pool'!A6-1)/7,0)=$A$400),AND('🔄 Topic Pool'!B6=$B$400,ROUND(('🔄 Topic Pool'!A6-1)/7,0)=$A$400+1)))),'🔄 Topic Pool'!D6,"—")</f>
        <v>—</v>
      </c>
      <c r="D80" s="55"/>
      <c r="E80" s="55"/>
      <c r="F80" s="55"/>
      <c r="G80" s="55"/>
      <c r="H80" s="55"/>
      <c r="I80" s="55"/>
      <c r="J80" s="55"/>
      <c r="K80" s="55"/>
      <c r="L80" s="55"/>
      <c r="M80" s="56" t="str">
        <f aca="false">IF(AND('🔄 Topic Pool'!P6&lt;&gt;"✅ Done",'🔄 Topic Pool'!M6="✅ YES",NOT(A460=2),NOT(AND(A460=1,OR('🔄 Topic Pool'!P6="❌ Missed",'🔄 Topic Pool'!P6="🔄 Partial"))),IF($C$14="Option 1 — Same Month Only",'🔄 Topic Pool'!B6=$B$400,OR(AND('🔄 Topic Pool'!B6=$B$400,ROUND(('🔄 Topic Pool'!A6-1)/7,0)=$A$400),AND('🔄 Topic Pool'!B6=$B$400,ROUND(('🔄 Topic Pool'!A6-1)/7,0)=$A$400+1)))),'🔄 Topic Pool'!E6,"—")</f>
        <v>—</v>
      </c>
      <c r="N80" s="56"/>
      <c r="O80" s="40" t="str">
        <f aca="false">IF(AND('🔄 Topic Pool'!P6&lt;&gt;"✅ Done",'🔄 Topic Pool'!M6="✅ YES",NOT(A460=2),NOT(AND(A460=1,OR('🔄 Topic Pool'!P6="❌ Missed",'🔄 Topic Pool'!P6="🔄 Partial"))),IF($C$14="Option 1 — Same Month Only",'🔄 Topic Pool'!B6=$B$400,OR(AND('🔄 Topic Pool'!B6=$B$400,ROUND(('🔄 Topic Pool'!A6-1)/7,0)=$A$400),AND('🔄 Topic Pool'!B6=$B$400,ROUND(('🔄 Topic Pool'!A6-1)/7,0)=$A$400+1)))),'🔄 Topic Pool'!G6,"—")</f>
        <v>—</v>
      </c>
      <c r="P80" s="57" t="str">
        <f aca="false">IF(AND('🔄 Topic Pool'!P6&lt;&gt;"✅ Done",'🔄 Topic Pool'!M6="✅ YES",NOT(A460=2),NOT(AND(A460=1,OR('🔄 Topic Pool'!P6="❌ Missed",'🔄 Topic Pool'!P6="🔄 Partial"))),IF($C$14="Option 1 — Same Month Only",'🔄 Topic Pool'!B6=$B$400,OR(AND('🔄 Topic Pool'!B6=$B$400,ROUND(('🔄 Topic Pool'!A6-1)/7,0)=$A$400),AND('🔄 Topic Pool'!B6=$B$400,ROUND(('🔄 Topic Pool'!A6-1)/7,0)=$A$400+1)))),'🔄 Topic Pool'!J6,"—")</f>
        <v>—</v>
      </c>
      <c r="Q80" s="57"/>
      <c r="R80" s="58" t="str">
        <f aca="false">IF(AND('🔄 Topic Pool'!P6&lt;&gt;"✅ Done",'🔄 Topic Pool'!M6="✅ YES",NOT(A460=2),NOT(AND(A460=1,OR('🔄 Topic Pool'!P6="❌ Missed",'🔄 Topic Pool'!P6="🔄 Partial"))),IF($C$14="Option 1 — Same Month Only",'🔄 Topic Pool'!B6=$B$400,OR(AND('🔄 Topic Pool'!B6=$B$400,ROUND(('🔄 Topic Pool'!A6-1)/7,0)=$A$400),AND('🔄 Topic Pool'!B6=$B$400,ROUND(('🔄 Topic Pool'!A6-1)/7,0)=$A$400+1)))),COUNTIF('📋 Swap History'!$F$4:$F$200,'🔄 Topic Pool'!D6),"—")</f>
        <v>—</v>
      </c>
      <c r="S80" s="59" t="str">
        <f aca="false">IF(NOT(AND('🔄 Topic Pool'!P6&lt;&gt;"✅ Done",'🔄 Topic Pool'!M6="✅ YES",NOT(A460=2),NOT(AND(A460=1,OR('🔄 Topic Pool'!P6="❌ Missed",'🔄 Topic Pool'!P6="🔄 Partial"))),IF($C$14="Option 1 — Same Month Only",'🔄 Topic Pool'!B6=$B$400,OR(AND('🔄 Topic Pool'!B6=$B$400,ROUND(('🔄 Topic Pool'!A6-1)/7,0)=$A$400),AND('🔄 Topic Pool'!B6=$B$400,ROUND(('🔄 Topic Pool'!A6-1)/7,0)=$A$400+1))))),"🔒",IF('🔄 Topic Pool'!M6="🔒 NO","🔒",IF(COUNTIF('📋 Swap History'!$F$4:$F$200,'🔄 Topic Pool'!D6)&gt;=$C$8,"🔒","✅")))</f>
        <v>🔒</v>
      </c>
      <c r="T80" s="59"/>
      <c r="U80" s="60" t="str">
        <f aca="false">IF(AND('🔄 Topic Pool'!P6&lt;&gt;"✅ Done",'🔄 Topic Pool'!M6="✅ YES",NOT(A460=2),NOT(AND(A460=1,OR('🔄 Topic Pool'!P6="❌ Missed",'🔄 Topic Pool'!P6="🔄 Partial"))),IF($C$14="Option 1 — Same Month Only",'🔄 Topic Pool'!B6=$B$400,OR(AND('🔄 Topic Pool'!B6=$B$400,ROUND(('🔄 Topic Pool'!A6-1)/7,0)=$A$400),AND('🔄 Topic Pool'!B6=$B$400,ROUND(('🔄 Topic Pool'!A6-1)/7,0)=$A$400+1)))),'🔄 Topic Pool'!J6&amp;" — Seq "&amp;'🔄 Topic Pool'!C6&amp;" in month","—")</f>
        <v>—</v>
      </c>
      <c r="V80" s="60"/>
    </row>
    <row r="81" customFormat="false" ht="18" hidden="false" customHeight="true" outlineLevel="0" collapsed="false">
      <c r="B81" s="61" t="str">
        <f aca="false">IF(AND('🔄 Topic Pool'!P7&lt;&gt;"✅ Done",'🔄 Topic Pool'!M7="✅ YES",NOT(A460=2),NOT(AND(A460=1,OR('🔄 Topic Pool'!P7="❌ Missed",'🔄 Topic Pool'!P7="🔄 Partial"))),IF($C$14="Option 1 — Same Month Only",'🔄 Topic Pool'!B7=$B$400,OR(AND('🔄 Topic Pool'!B7=$B$400,ROUND(('🔄 Topic Pool'!A7-1)/7,0)=$A$400),AND('🔄 Topic Pool'!B7=$B$400,ROUND(('🔄 Topic Pool'!A7-1)/7,0)=$A$400+1)))),'🔄 Topic Pool'!A7,"—")</f>
        <v>—</v>
      </c>
      <c r="C81" s="62" t="str">
        <f aca="false">IF(AND('🔄 Topic Pool'!P7&lt;&gt;"✅ Done",'🔄 Topic Pool'!M7="✅ YES",NOT(A460=2),NOT(AND(A460=1,OR('🔄 Topic Pool'!P7="❌ Missed",'🔄 Topic Pool'!P7="🔄 Partial"))),IF($C$14="Option 1 — Same Month Only",'🔄 Topic Pool'!B7=$B$400,OR(AND('🔄 Topic Pool'!B7=$B$400,ROUND(('🔄 Topic Pool'!A7-1)/7,0)=$A$400),AND('🔄 Topic Pool'!B7=$B$400,ROUND(('🔄 Topic Pool'!A7-1)/7,0)=$A$400+1)))),'🔄 Topic Pool'!D7,"—")</f>
        <v>—</v>
      </c>
      <c r="D81" s="62"/>
      <c r="E81" s="62"/>
      <c r="F81" s="62"/>
      <c r="G81" s="62"/>
      <c r="H81" s="62"/>
      <c r="I81" s="62"/>
      <c r="J81" s="62"/>
      <c r="K81" s="62"/>
      <c r="L81" s="62"/>
      <c r="M81" s="56" t="str">
        <f aca="false">IF(AND('🔄 Topic Pool'!P7&lt;&gt;"✅ Done",'🔄 Topic Pool'!M7="✅ YES",NOT(A460=2),NOT(AND(A460=1,OR('🔄 Topic Pool'!P7="❌ Missed",'🔄 Topic Pool'!P7="🔄 Partial"))),IF($C$14="Option 1 — Same Month Only",'🔄 Topic Pool'!B7=$B$400,OR(AND('🔄 Topic Pool'!B7=$B$400,ROUND(('🔄 Topic Pool'!A7-1)/7,0)=$A$400),AND('🔄 Topic Pool'!B7=$B$400,ROUND(('🔄 Topic Pool'!A7-1)/7,0)=$A$400+1)))),'🔄 Topic Pool'!E7,"—")</f>
        <v>—</v>
      </c>
      <c r="N81" s="56"/>
      <c r="O81" s="40" t="str">
        <f aca="false">IF(AND('🔄 Topic Pool'!P7&lt;&gt;"✅ Done",'🔄 Topic Pool'!M7="✅ YES",NOT(A460=2),NOT(AND(A460=1,OR('🔄 Topic Pool'!P7="❌ Missed",'🔄 Topic Pool'!P7="🔄 Partial"))),IF($C$14="Option 1 — Same Month Only",'🔄 Topic Pool'!B7=$B$400,OR(AND('🔄 Topic Pool'!B7=$B$400,ROUND(('🔄 Topic Pool'!A7-1)/7,0)=$A$400),AND('🔄 Topic Pool'!B7=$B$400,ROUND(('🔄 Topic Pool'!A7-1)/7,0)=$A$400+1)))),'🔄 Topic Pool'!G7,"—")</f>
        <v>—</v>
      </c>
      <c r="P81" s="63" t="str">
        <f aca="false">IF(AND('🔄 Topic Pool'!P7&lt;&gt;"✅ Done",'🔄 Topic Pool'!M7="✅ YES",NOT(A460=2),NOT(AND(A460=1,OR('🔄 Topic Pool'!P7="❌ Missed",'🔄 Topic Pool'!P7="🔄 Partial"))),IF($C$14="Option 1 — Same Month Only",'🔄 Topic Pool'!B7=$B$400,OR(AND('🔄 Topic Pool'!B7=$B$400,ROUND(('🔄 Topic Pool'!A7-1)/7,0)=$A$400),AND('🔄 Topic Pool'!B7=$B$400,ROUND(('🔄 Topic Pool'!A7-1)/7,0)=$A$400+1)))),'🔄 Topic Pool'!J7,"—")</f>
        <v>—</v>
      </c>
      <c r="Q81" s="63"/>
      <c r="R81" s="58" t="str">
        <f aca="false">IF(AND('🔄 Topic Pool'!P7&lt;&gt;"✅ Done",'🔄 Topic Pool'!M7="✅ YES",NOT(A460=2),NOT(AND(A460=1,OR('🔄 Topic Pool'!P7="❌ Missed",'🔄 Topic Pool'!P7="🔄 Partial"))),IF($C$14="Option 1 — Same Month Only",'🔄 Topic Pool'!B7=$B$400,OR(AND('🔄 Topic Pool'!B7=$B$400,ROUND(('🔄 Topic Pool'!A7-1)/7,0)=$A$400),AND('🔄 Topic Pool'!B7=$B$400,ROUND(('🔄 Topic Pool'!A7-1)/7,0)=$A$400+1)))),COUNTIF('📋 Swap History'!$F$4:$F$200,'🔄 Topic Pool'!D7),"—")</f>
        <v>—</v>
      </c>
      <c r="S81" s="64" t="str">
        <f aca="false">IF(NOT(AND('🔄 Topic Pool'!P7&lt;&gt;"✅ Done",'🔄 Topic Pool'!M7="✅ YES",NOT(A460=2),NOT(AND(A460=1,OR('🔄 Topic Pool'!P7="❌ Missed",'🔄 Topic Pool'!P7="🔄 Partial"))),IF($C$14="Option 1 — Same Month Only",'🔄 Topic Pool'!B7=$B$400,OR(AND('🔄 Topic Pool'!B7=$B$400,ROUND(('🔄 Topic Pool'!A7-1)/7,0)=$A$400),AND('🔄 Topic Pool'!B7=$B$400,ROUND(('🔄 Topic Pool'!A7-1)/7,0)=$A$400+1))))),"🔒",IF('🔄 Topic Pool'!M7="🔒 NO","🔒",IF(COUNTIF('📋 Swap History'!$F$4:$F$200,'🔄 Topic Pool'!D7)&gt;=$C$8,"🔒","✅")))</f>
        <v>🔒</v>
      </c>
      <c r="T81" s="64"/>
      <c r="U81" s="65" t="str">
        <f aca="false">IF(AND('🔄 Topic Pool'!P7&lt;&gt;"✅ Done",'🔄 Topic Pool'!M7="✅ YES",NOT(A460=2),NOT(AND(A460=1,OR('🔄 Topic Pool'!P7="❌ Missed",'🔄 Topic Pool'!P7="🔄 Partial"))),IF($C$14="Option 1 — Same Month Only",'🔄 Topic Pool'!B7=$B$400,OR(AND('🔄 Topic Pool'!B7=$B$400,ROUND(('🔄 Topic Pool'!A7-1)/7,0)=$A$400),AND('🔄 Topic Pool'!B7=$B$400,ROUND(('🔄 Topic Pool'!A7-1)/7,0)=$A$400+1)))),'🔄 Topic Pool'!J7&amp;" — Seq "&amp;'🔄 Topic Pool'!C7&amp;" in month","—")</f>
        <v>—</v>
      </c>
      <c r="V81" s="65"/>
    </row>
    <row r="82" customFormat="false" ht="18" hidden="false" customHeight="true" outlineLevel="0" collapsed="false">
      <c r="B82" s="54" t="str">
        <f aca="false">IF(AND('🔄 Topic Pool'!P9&lt;&gt;"✅ Done",'🔄 Topic Pool'!M9="✅ YES",NOT(A460=2),NOT(AND(A460=1,OR('🔄 Topic Pool'!P9="❌ Missed",'🔄 Topic Pool'!P9="🔄 Partial"))),IF($C$14="Option 1 — Same Month Only",'🔄 Topic Pool'!B9=$B$400,OR(AND('🔄 Topic Pool'!B9=$B$400,ROUND(('🔄 Topic Pool'!A9-1)/7,0)=$A$400),AND('🔄 Topic Pool'!B9=$B$400,ROUND(('🔄 Topic Pool'!A9-1)/7,0)=$A$400+1)))),'🔄 Topic Pool'!A9,"—")</f>
        <v>—</v>
      </c>
      <c r="C82" s="55" t="str">
        <f aca="false">IF(AND('🔄 Topic Pool'!P9&lt;&gt;"✅ Done",'🔄 Topic Pool'!M9="✅ YES",NOT(A460=2),NOT(AND(A460=1,OR('🔄 Topic Pool'!P9="❌ Missed",'🔄 Topic Pool'!P9="🔄 Partial"))),IF($C$14="Option 1 — Same Month Only",'🔄 Topic Pool'!B9=$B$400,OR(AND('🔄 Topic Pool'!B9=$B$400,ROUND(('🔄 Topic Pool'!A9-1)/7,0)=$A$400),AND('🔄 Topic Pool'!B9=$B$400,ROUND(('🔄 Topic Pool'!A9-1)/7,0)=$A$400+1)))),'🔄 Topic Pool'!D9,"—")</f>
        <v>—</v>
      </c>
      <c r="D82" s="55"/>
      <c r="E82" s="55"/>
      <c r="F82" s="55"/>
      <c r="G82" s="55"/>
      <c r="H82" s="55"/>
      <c r="I82" s="55"/>
      <c r="J82" s="55"/>
      <c r="K82" s="55"/>
      <c r="L82" s="55"/>
      <c r="M82" s="56" t="str">
        <f aca="false">IF(AND('🔄 Topic Pool'!P9&lt;&gt;"✅ Done",'🔄 Topic Pool'!M9="✅ YES",NOT(A460=2),NOT(AND(A460=1,OR('🔄 Topic Pool'!P9="❌ Missed",'🔄 Topic Pool'!P9="🔄 Partial"))),IF($C$14="Option 1 — Same Month Only",'🔄 Topic Pool'!B9=$B$400,OR(AND('🔄 Topic Pool'!B9=$B$400,ROUND(('🔄 Topic Pool'!A9-1)/7,0)=$A$400),AND('🔄 Topic Pool'!B9=$B$400,ROUND(('🔄 Topic Pool'!A9-1)/7,0)=$A$400+1)))),'🔄 Topic Pool'!E9,"—")</f>
        <v>—</v>
      </c>
      <c r="N82" s="56"/>
      <c r="O82" s="40" t="str">
        <f aca="false">IF(AND('🔄 Topic Pool'!P9&lt;&gt;"✅ Done",'🔄 Topic Pool'!M9="✅ YES",NOT(A460=2),NOT(AND(A460=1,OR('🔄 Topic Pool'!P9="❌ Missed",'🔄 Topic Pool'!P9="🔄 Partial"))),IF($C$14="Option 1 — Same Month Only",'🔄 Topic Pool'!B9=$B$400,OR(AND('🔄 Topic Pool'!B9=$B$400,ROUND(('🔄 Topic Pool'!A9-1)/7,0)=$A$400),AND('🔄 Topic Pool'!B9=$B$400,ROUND(('🔄 Topic Pool'!A9-1)/7,0)=$A$400+1)))),'🔄 Topic Pool'!G9,"—")</f>
        <v>—</v>
      </c>
      <c r="P82" s="57" t="str">
        <f aca="false">IF(AND('🔄 Topic Pool'!P9&lt;&gt;"✅ Done",'🔄 Topic Pool'!M9="✅ YES",NOT(A460=2),NOT(AND(A460=1,OR('🔄 Topic Pool'!P9="❌ Missed",'🔄 Topic Pool'!P9="🔄 Partial"))),IF($C$14="Option 1 — Same Month Only",'🔄 Topic Pool'!B9=$B$400,OR(AND('🔄 Topic Pool'!B9=$B$400,ROUND(('🔄 Topic Pool'!A9-1)/7,0)=$A$400),AND('🔄 Topic Pool'!B9=$B$400,ROUND(('🔄 Topic Pool'!A9-1)/7,0)=$A$400+1)))),'🔄 Topic Pool'!J9,"—")</f>
        <v>—</v>
      </c>
      <c r="Q82" s="57"/>
      <c r="R82" s="58" t="str">
        <f aca="false">IF(AND('🔄 Topic Pool'!P9&lt;&gt;"✅ Done",'🔄 Topic Pool'!M9="✅ YES",NOT(A460=2),NOT(AND(A460=1,OR('🔄 Topic Pool'!P9="❌ Missed",'🔄 Topic Pool'!P9="🔄 Partial"))),IF($C$14="Option 1 — Same Month Only",'🔄 Topic Pool'!B9=$B$400,OR(AND('🔄 Topic Pool'!B9=$B$400,ROUND(('🔄 Topic Pool'!A9-1)/7,0)=$A$400),AND('🔄 Topic Pool'!B9=$B$400,ROUND(('🔄 Topic Pool'!A9-1)/7,0)=$A$400+1)))),COUNTIF('📋 Swap History'!$F$4:$F$200,'🔄 Topic Pool'!D9),"—")</f>
        <v>—</v>
      </c>
      <c r="S82" s="59" t="str">
        <f aca="false">IF(NOT(AND('🔄 Topic Pool'!P9&lt;&gt;"✅ Done",'🔄 Topic Pool'!M9="✅ YES",NOT(A460=2),NOT(AND(A460=1,OR('🔄 Topic Pool'!P9="❌ Missed",'🔄 Topic Pool'!P9="🔄 Partial"))),IF($C$14="Option 1 — Same Month Only",'🔄 Topic Pool'!B9=$B$400,OR(AND('🔄 Topic Pool'!B9=$B$400,ROUND(('🔄 Topic Pool'!A9-1)/7,0)=$A$400),AND('🔄 Topic Pool'!B9=$B$400,ROUND(('🔄 Topic Pool'!A9-1)/7,0)=$A$400+1))))),"🔒",IF('🔄 Topic Pool'!M9="🔒 NO","🔒",IF(COUNTIF('📋 Swap History'!$F$4:$F$200,'🔄 Topic Pool'!D9)&gt;=$C$8,"🔒","✅")))</f>
        <v>🔒</v>
      </c>
      <c r="T82" s="59"/>
      <c r="U82" s="60" t="str">
        <f aca="false">IF(AND('🔄 Topic Pool'!P9&lt;&gt;"✅ Done",'🔄 Topic Pool'!M9="✅ YES",NOT(A460=2),NOT(AND(A460=1,OR('🔄 Topic Pool'!P9="❌ Missed",'🔄 Topic Pool'!P9="🔄 Partial"))),IF($C$14="Option 1 — Same Month Only",'🔄 Topic Pool'!B9=$B$400,OR(AND('🔄 Topic Pool'!B9=$B$400,ROUND(('🔄 Topic Pool'!A9-1)/7,0)=$A$400),AND('🔄 Topic Pool'!B9=$B$400,ROUND(('🔄 Topic Pool'!A9-1)/7,0)=$A$400+1)))),'🔄 Topic Pool'!J9&amp;" — Seq "&amp;'🔄 Topic Pool'!C9&amp;" in month","—")</f>
        <v>—</v>
      </c>
      <c r="V82" s="60"/>
    </row>
    <row r="83" customFormat="false" ht="18" hidden="false" customHeight="true" outlineLevel="0" collapsed="false">
      <c r="B83" s="61" t="str">
        <f aca="false">IF(AND('🔄 Topic Pool'!P11&lt;&gt;"✅ Done",'🔄 Topic Pool'!M11="✅ YES",NOT(A460=2),NOT(AND(A460=1,OR('🔄 Topic Pool'!P11="❌ Missed",'🔄 Topic Pool'!P11="🔄 Partial"))),IF($C$14="Option 1 — Same Month Only",'🔄 Topic Pool'!B11=$B$400,OR(AND('🔄 Topic Pool'!B11=$B$400,ROUND(('🔄 Topic Pool'!A11-1)/7,0)=$A$400),AND('🔄 Topic Pool'!B11=$B$400,ROUND(('🔄 Topic Pool'!A11-1)/7,0)=$A$400+1)))),'🔄 Topic Pool'!A11,"—")</f>
        <v>—</v>
      </c>
      <c r="C83" s="62" t="str">
        <f aca="false">IF(AND('🔄 Topic Pool'!P11&lt;&gt;"✅ Done",'🔄 Topic Pool'!M11="✅ YES",NOT(A460=2),NOT(AND(A460=1,OR('🔄 Topic Pool'!P11="❌ Missed",'🔄 Topic Pool'!P11="🔄 Partial"))),IF($C$14="Option 1 — Same Month Only",'🔄 Topic Pool'!B11=$B$400,OR(AND('🔄 Topic Pool'!B11=$B$400,ROUND(('🔄 Topic Pool'!A11-1)/7,0)=$A$400),AND('🔄 Topic Pool'!B11=$B$400,ROUND(('🔄 Topic Pool'!A11-1)/7,0)=$A$400+1)))),'🔄 Topic Pool'!D11,"—")</f>
        <v>—</v>
      </c>
      <c r="D83" s="62"/>
      <c r="E83" s="62"/>
      <c r="F83" s="62"/>
      <c r="G83" s="62"/>
      <c r="H83" s="62"/>
      <c r="I83" s="62"/>
      <c r="J83" s="62"/>
      <c r="K83" s="62"/>
      <c r="L83" s="62"/>
      <c r="M83" s="56" t="str">
        <f aca="false">IF(AND('🔄 Topic Pool'!P11&lt;&gt;"✅ Done",'🔄 Topic Pool'!M11="✅ YES",NOT(A460=2),NOT(AND(A460=1,OR('🔄 Topic Pool'!P11="❌ Missed",'🔄 Topic Pool'!P11="🔄 Partial"))),IF($C$14="Option 1 — Same Month Only",'🔄 Topic Pool'!B11=$B$400,OR(AND('🔄 Topic Pool'!B11=$B$400,ROUND(('🔄 Topic Pool'!A11-1)/7,0)=$A$400),AND('🔄 Topic Pool'!B11=$B$400,ROUND(('🔄 Topic Pool'!A11-1)/7,0)=$A$400+1)))),'🔄 Topic Pool'!E11,"—")</f>
        <v>—</v>
      </c>
      <c r="N83" s="56"/>
      <c r="O83" s="40" t="str">
        <f aca="false">IF(AND('🔄 Topic Pool'!P11&lt;&gt;"✅ Done",'🔄 Topic Pool'!M11="✅ YES",NOT(A460=2),NOT(AND(A460=1,OR('🔄 Topic Pool'!P11="❌ Missed",'🔄 Topic Pool'!P11="🔄 Partial"))),IF($C$14="Option 1 — Same Month Only",'🔄 Topic Pool'!B11=$B$400,OR(AND('🔄 Topic Pool'!B11=$B$400,ROUND(('🔄 Topic Pool'!A11-1)/7,0)=$A$400),AND('🔄 Topic Pool'!B11=$B$400,ROUND(('🔄 Topic Pool'!A11-1)/7,0)=$A$400+1)))),'🔄 Topic Pool'!G11,"—")</f>
        <v>—</v>
      </c>
      <c r="P83" s="63" t="str">
        <f aca="false">IF(AND('🔄 Topic Pool'!P11&lt;&gt;"✅ Done",'🔄 Topic Pool'!M11="✅ YES",NOT(A460=2),NOT(AND(A460=1,OR('🔄 Topic Pool'!P11="❌ Missed",'🔄 Topic Pool'!P11="🔄 Partial"))),IF($C$14="Option 1 — Same Month Only",'🔄 Topic Pool'!B11=$B$400,OR(AND('🔄 Topic Pool'!B11=$B$400,ROUND(('🔄 Topic Pool'!A11-1)/7,0)=$A$400),AND('🔄 Topic Pool'!B11=$B$400,ROUND(('🔄 Topic Pool'!A11-1)/7,0)=$A$400+1)))),'🔄 Topic Pool'!J11,"—")</f>
        <v>—</v>
      </c>
      <c r="Q83" s="63"/>
      <c r="R83" s="58" t="str">
        <f aca="false">IF(AND('🔄 Topic Pool'!P11&lt;&gt;"✅ Done",'🔄 Topic Pool'!M11="✅ YES",NOT(A460=2),NOT(AND(A460=1,OR('🔄 Topic Pool'!P11="❌ Missed",'🔄 Topic Pool'!P11="🔄 Partial"))),IF($C$14="Option 1 — Same Month Only",'🔄 Topic Pool'!B11=$B$400,OR(AND('🔄 Topic Pool'!B11=$B$400,ROUND(('🔄 Topic Pool'!A11-1)/7,0)=$A$400),AND('🔄 Topic Pool'!B11=$B$400,ROUND(('🔄 Topic Pool'!A11-1)/7,0)=$A$400+1)))),COUNTIF('📋 Swap History'!$F$4:$F$200,'🔄 Topic Pool'!D11),"—")</f>
        <v>—</v>
      </c>
      <c r="S83" s="64" t="str">
        <f aca="false">IF(NOT(AND('🔄 Topic Pool'!P11&lt;&gt;"✅ Done",'🔄 Topic Pool'!M11="✅ YES",NOT(A460=2),NOT(AND(A460=1,OR('🔄 Topic Pool'!P11="❌ Missed",'🔄 Topic Pool'!P11="🔄 Partial"))),IF($C$14="Option 1 — Same Month Only",'🔄 Topic Pool'!B11=$B$400,OR(AND('🔄 Topic Pool'!B11=$B$400,ROUND(('🔄 Topic Pool'!A11-1)/7,0)=$A$400),AND('🔄 Topic Pool'!B11=$B$400,ROUND(('🔄 Topic Pool'!A11-1)/7,0)=$A$400+1))))),"🔒",IF('🔄 Topic Pool'!M11="🔒 NO","🔒",IF(COUNTIF('📋 Swap History'!$F$4:$F$200,'🔄 Topic Pool'!D11)&gt;=$C$8,"🔒","✅")))</f>
        <v>🔒</v>
      </c>
      <c r="T83" s="64"/>
      <c r="U83" s="65" t="str">
        <f aca="false">IF(AND('🔄 Topic Pool'!P11&lt;&gt;"✅ Done",'🔄 Topic Pool'!M11="✅ YES",NOT(A460=2),NOT(AND(A460=1,OR('🔄 Topic Pool'!P11="❌ Missed",'🔄 Topic Pool'!P11="🔄 Partial"))),IF($C$14="Option 1 — Same Month Only",'🔄 Topic Pool'!B11=$B$400,OR(AND('🔄 Topic Pool'!B11=$B$400,ROUND(('🔄 Topic Pool'!A11-1)/7,0)=$A$400),AND('🔄 Topic Pool'!B11=$B$400,ROUND(('🔄 Topic Pool'!A11-1)/7,0)=$A$400+1)))),'🔄 Topic Pool'!J11&amp;" — Seq "&amp;'🔄 Topic Pool'!C11&amp;" in month","—")</f>
        <v>—</v>
      </c>
      <c r="V83" s="65"/>
    </row>
    <row r="84" customFormat="false" ht="18" hidden="false" customHeight="true" outlineLevel="0" collapsed="false">
      <c r="B84" s="54" t="str">
        <f aca="false">IF(AND('🔄 Topic Pool'!P12&lt;&gt;"✅ Done",'🔄 Topic Pool'!M12="✅ YES",NOT(A460=2),NOT(AND(A460=1,OR('🔄 Topic Pool'!P12="❌ Missed",'🔄 Topic Pool'!P12="🔄 Partial"))),IF($C$14="Option 1 — Same Month Only",'🔄 Topic Pool'!B12=$B$400,OR(AND('🔄 Topic Pool'!B12=$B$400,ROUND(('🔄 Topic Pool'!A12-1)/7,0)=$A$400),AND('🔄 Topic Pool'!B12=$B$400,ROUND(('🔄 Topic Pool'!A12-1)/7,0)=$A$400+1)))),'🔄 Topic Pool'!A12,"—")</f>
        <v>—</v>
      </c>
      <c r="C84" s="55" t="str">
        <f aca="false">IF(AND('🔄 Topic Pool'!P12&lt;&gt;"✅ Done",'🔄 Topic Pool'!M12="✅ YES",NOT(A460=2),NOT(AND(A460=1,OR('🔄 Topic Pool'!P12="❌ Missed",'🔄 Topic Pool'!P12="🔄 Partial"))),IF($C$14="Option 1 — Same Month Only",'🔄 Topic Pool'!B12=$B$400,OR(AND('🔄 Topic Pool'!B12=$B$400,ROUND(('🔄 Topic Pool'!A12-1)/7,0)=$A$400),AND('🔄 Topic Pool'!B12=$B$400,ROUND(('🔄 Topic Pool'!A12-1)/7,0)=$A$400+1)))),'🔄 Topic Pool'!D12,"—")</f>
        <v>—</v>
      </c>
      <c r="D84" s="55"/>
      <c r="E84" s="55"/>
      <c r="F84" s="55"/>
      <c r="G84" s="55"/>
      <c r="H84" s="55"/>
      <c r="I84" s="55"/>
      <c r="J84" s="55"/>
      <c r="K84" s="55"/>
      <c r="L84" s="55"/>
      <c r="M84" s="56" t="str">
        <f aca="false">IF(AND('🔄 Topic Pool'!P12&lt;&gt;"✅ Done",'🔄 Topic Pool'!M12="✅ YES",NOT(A460=2),NOT(AND(A460=1,OR('🔄 Topic Pool'!P12="❌ Missed",'🔄 Topic Pool'!P12="🔄 Partial"))),IF($C$14="Option 1 — Same Month Only",'🔄 Topic Pool'!B12=$B$400,OR(AND('🔄 Topic Pool'!B12=$B$400,ROUND(('🔄 Topic Pool'!A12-1)/7,0)=$A$400),AND('🔄 Topic Pool'!B12=$B$400,ROUND(('🔄 Topic Pool'!A12-1)/7,0)=$A$400+1)))),'🔄 Topic Pool'!E12,"—")</f>
        <v>—</v>
      </c>
      <c r="N84" s="56"/>
      <c r="O84" s="40" t="str">
        <f aca="false">IF(AND('🔄 Topic Pool'!P12&lt;&gt;"✅ Done",'🔄 Topic Pool'!M12="✅ YES",NOT(A460=2),NOT(AND(A460=1,OR('🔄 Topic Pool'!P12="❌ Missed",'🔄 Topic Pool'!P12="🔄 Partial"))),IF($C$14="Option 1 — Same Month Only",'🔄 Topic Pool'!B12=$B$400,OR(AND('🔄 Topic Pool'!B12=$B$400,ROUND(('🔄 Topic Pool'!A12-1)/7,0)=$A$400),AND('🔄 Topic Pool'!B12=$B$400,ROUND(('🔄 Topic Pool'!A12-1)/7,0)=$A$400+1)))),'🔄 Topic Pool'!G12,"—")</f>
        <v>—</v>
      </c>
      <c r="P84" s="57" t="str">
        <f aca="false">IF(AND('🔄 Topic Pool'!P12&lt;&gt;"✅ Done",'🔄 Topic Pool'!M12="✅ YES",NOT(A460=2),NOT(AND(A460=1,OR('🔄 Topic Pool'!P12="❌ Missed",'🔄 Topic Pool'!P12="🔄 Partial"))),IF($C$14="Option 1 — Same Month Only",'🔄 Topic Pool'!B12=$B$400,OR(AND('🔄 Topic Pool'!B12=$B$400,ROUND(('🔄 Topic Pool'!A12-1)/7,0)=$A$400),AND('🔄 Topic Pool'!B12=$B$400,ROUND(('🔄 Topic Pool'!A12-1)/7,0)=$A$400+1)))),'🔄 Topic Pool'!J12,"—")</f>
        <v>—</v>
      </c>
      <c r="Q84" s="57"/>
      <c r="R84" s="58" t="str">
        <f aca="false">IF(AND('🔄 Topic Pool'!P12&lt;&gt;"✅ Done",'🔄 Topic Pool'!M12="✅ YES",NOT(A460=2),NOT(AND(A460=1,OR('🔄 Topic Pool'!P12="❌ Missed",'🔄 Topic Pool'!P12="🔄 Partial"))),IF($C$14="Option 1 — Same Month Only",'🔄 Topic Pool'!B12=$B$400,OR(AND('🔄 Topic Pool'!B12=$B$400,ROUND(('🔄 Topic Pool'!A12-1)/7,0)=$A$400),AND('🔄 Topic Pool'!B12=$B$400,ROUND(('🔄 Topic Pool'!A12-1)/7,0)=$A$400+1)))),COUNTIF('📋 Swap History'!$F$4:$F$200,'🔄 Topic Pool'!D12),"—")</f>
        <v>—</v>
      </c>
      <c r="S84" s="59" t="str">
        <f aca="false">IF(NOT(AND('🔄 Topic Pool'!P12&lt;&gt;"✅ Done",'🔄 Topic Pool'!M12="✅ YES",NOT(A460=2),NOT(AND(A460=1,OR('🔄 Topic Pool'!P12="❌ Missed",'🔄 Topic Pool'!P12="🔄 Partial"))),IF($C$14="Option 1 — Same Month Only",'🔄 Topic Pool'!B12=$B$400,OR(AND('🔄 Topic Pool'!B12=$B$400,ROUND(('🔄 Topic Pool'!A12-1)/7,0)=$A$400),AND('🔄 Topic Pool'!B12=$B$400,ROUND(('🔄 Topic Pool'!A12-1)/7,0)=$A$400+1))))),"🔒",IF('🔄 Topic Pool'!M12="🔒 NO","🔒",IF(COUNTIF('📋 Swap History'!$F$4:$F$200,'🔄 Topic Pool'!D12)&gt;=$C$8,"🔒","✅")))</f>
        <v>🔒</v>
      </c>
      <c r="T84" s="59"/>
      <c r="U84" s="60" t="str">
        <f aca="false">IF(AND('🔄 Topic Pool'!P12&lt;&gt;"✅ Done",'🔄 Topic Pool'!M12="✅ YES",NOT(A460=2),NOT(AND(A460=1,OR('🔄 Topic Pool'!P12="❌ Missed",'🔄 Topic Pool'!P12="🔄 Partial"))),IF($C$14="Option 1 — Same Month Only",'🔄 Topic Pool'!B12=$B$400,OR(AND('🔄 Topic Pool'!B12=$B$400,ROUND(('🔄 Topic Pool'!A12-1)/7,0)=$A$400),AND('🔄 Topic Pool'!B12=$B$400,ROUND(('🔄 Topic Pool'!A12-1)/7,0)=$A$400+1)))),'🔄 Topic Pool'!J12&amp;" — Seq "&amp;'🔄 Topic Pool'!C12&amp;" in month","—")</f>
        <v>—</v>
      </c>
      <c r="V84" s="60"/>
    </row>
    <row r="85" customFormat="false" ht="18" hidden="false" customHeight="true" outlineLevel="0" collapsed="false">
      <c r="B85" s="61" t="str">
        <f aca="false">IF(AND('🔄 Topic Pool'!P13&lt;&gt;"✅ Done",'🔄 Topic Pool'!M13="✅ YES",NOT(A460=2),NOT(AND(A460=1,OR('🔄 Topic Pool'!P13="❌ Missed",'🔄 Topic Pool'!P13="🔄 Partial"))),IF($C$14="Option 1 — Same Month Only",'🔄 Topic Pool'!B13=$B$400,OR(AND('🔄 Topic Pool'!B13=$B$400,ROUND(('🔄 Topic Pool'!A13-1)/7,0)=$A$400),AND('🔄 Topic Pool'!B13=$B$400,ROUND(('🔄 Topic Pool'!A13-1)/7,0)=$A$400+1)))),'🔄 Topic Pool'!A13,"—")</f>
        <v>—</v>
      </c>
      <c r="C85" s="62" t="str">
        <f aca="false">IF(AND('🔄 Topic Pool'!P13&lt;&gt;"✅ Done",'🔄 Topic Pool'!M13="✅ YES",NOT(A460=2),NOT(AND(A460=1,OR('🔄 Topic Pool'!P13="❌ Missed",'🔄 Topic Pool'!P13="🔄 Partial"))),IF($C$14="Option 1 — Same Month Only",'🔄 Topic Pool'!B13=$B$400,OR(AND('🔄 Topic Pool'!B13=$B$400,ROUND(('🔄 Topic Pool'!A13-1)/7,0)=$A$400),AND('🔄 Topic Pool'!B13=$B$400,ROUND(('🔄 Topic Pool'!A13-1)/7,0)=$A$400+1)))),'🔄 Topic Pool'!D13,"—")</f>
        <v>—</v>
      </c>
      <c r="D85" s="62"/>
      <c r="E85" s="62"/>
      <c r="F85" s="62"/>
      <c r="G85" s="62"/>
      <c r="H85" s="62"/>
      <c r="I85" s="62"/>
      <c r="J85" s="62"/>
      <c r="K85" s="62"/>
      <c r="L85" s="62"/>
      <c r="M85" s="56" t="str">
        <f aca="false">IF(AND('🔄 Topic Pool'!P13&lt;&gt;"✅ Done",'🔄 Topic Pool'!M13="✅ YES",NOT(A460=2),NOT(AND(A460=1,OR('🔄 Topic Pool'!P13="❌ Missed",'🔄 Topic Pool'!P13="🔄 Partial"))),IF($C$14="Option 1 — Same Month Only",'🔄 Topic Pool'!B13=$B$400,OR(AND('🔄 Topic Pool'!B13=$B$400,ROUND(('🔄 Topic Pool'!A13-1)/7,0)=$A$400),AND('🔄 Topic Pool'!B13=$B$400,ROUND(('🔄 Topic Pool'!A13-1)/7,0)=$A$400+1)))),'🔄 Topic Pool'!E13,"—")</f>
        <v>—</v>
      </c>
      <c r="N85" s="56"/>
      <c r="O85" s="40" t="str">
        <f aca="false">IF(AND('🔄 Topic Pool'!P13&lt;&gt;"✅ Done",'🔄 Topic Pool'!M13="✅ YES",NOT(A460=2),NOT(AND(A460=1,OR('🔄 Topic Pool'!P13="❌ Missed",'🔄 Topic Pool'!P13="🔄 Partial"))),IF($C$14="Option 1 — Same Month Only",'🔄 Topic Pool'!B13=$B$400,OR(AND('🔄 Topic Pool'!B13=$B$400,ROUND(('🔄 Topic Pool'!A13-1)/7,0)=$A$400),AND('🔄 Topic Pool'!B13=$B$400,ROUND(('🔄 Topic Pool'!A13-1)/7,0)=$A$400+1)))),'🔄 Topic Pool'!G13,"—")</f>
        <v>—</v>
      </c>
      <c r="P85" s="63" t="str">
        <f aca="false">IF(AND('🔄 Topic Pool'!P13&lt;&gt;"✅ Done",'🔄 Topic Pool'!M13="✅ YES",NOT(A460=2),NOT(AND(A460=1,OR('🔄 Topic Pool'!P13="❌ Missed",'🔄 Topic Pool'!P13="🔄 Partial"))),IF($C$14="Option 1 — Same Month Only",'🔄 Topic Pool'!B13=$B$400,OR(AND('🔄 Topic Pool'!B13=$B$400,ROUND(('🔄 Topic Pool'!A13-1)/7,0)=$A$400),AND('🔄 Topic Pool'!B13=$B$400,ROUND(('🔄 Topic Pool'!A13-1)/7,0)=$A$400+1)))),'🔄 Topic Pool'!J13,"—")</f>
        <v>—</v>
      </c>
      <c r="Q85" s="63"/>
      <c r="R85" s="58" t="str">
        <f aca="false">IF(AND('🔄 Topic Pool'!P13&lt;&gt;"✅ Done",'🔄 Topic Pool'!M13="✅ YES",NOT(A460=2),NOT(AND(A460=1,OR('🔄 Topic Pool'!P13="❌ Missed",'🔄 Topic Pool'!P13="🔄 Partial"))),IF($C$14="Option 1 — Same Month Only",'🔄 Topic Pool'!B13=$B$400,OR(AND('🔄 Topic Pool'!B13=$B$400,ROUND(('🔄 Topic Pool'!A13-1)/7,0)=$A$400),AND('🔄 Topic Pool'!B13=$B$400,ROUND(('🔄 Topic Pool'!A13-1)/7,0)=$A$400+1)))),COUNTIF('📋 Swap History'!$F$4:$F$200,'🔄 Topic Pool'!D13),"—")</f>
        <v>—</v>
      </c>
      <c r="S85" s="64" t="str">
        <f aca="false">IF(NOT(AND('🔄 Topic Pool'!P13&lt;&gt;"✅ Done",'🔄 Topic Pool'!M13="✅ YES",NOT(A460=2),NOT(AND(A460=1,OR('🔄 Topic Pool'!P13="❌ Missed",'🔄 Topic Pool'!P13="🔄 Partial"))),IF($C$14="Option 1 — Same Month Only",'🔄 Topic Pool'!B13=$B$400,OR(AND('🔄 Topic Pool'!B13=$B$400,ROUND(('🔄 Topic Pool'!A13-1)/7,0)=$A$400),AND('🔄 Topic Pool'!B13=$B$400,ROUND(('🔄 Topic Pool'!A13-1)/7,0)=$A$400+1))))),"🔒",IF('🔄 Topic Pool'!M13="🔒 NO","🔒",IF(COUNTIF('📋 Swap History'!$F$4:$F$200,'🔄 Topic Pool'!D13)&gt;=$C$8,"🔒","✅")))</f>
        <v>🔒</v>
      </c>
      <c r="T85" s="64"/>
      <c r="U85" s="65" t="str">
        <f aca="false">IF(AND('🔄 Topic Pool'!P13&lt;&gt;"✅ Done",'🔄 Topic Pool'!M13="✅ YES",NOT(A460=2),NOT(AND(A460=1,OR('🔄 Topic Pool'!P13="❌ Missed",'🔄 Topic Pool'!P13="🔄 Partial"))),IF($C$14="Option 1 — Same Month Only",'🔄 Topic Pool'!B13=$B$400,OR(AND('🔄 Topic Pool'!B13=$B$400,ROUND(('🔄 Topic Pool'!A13-1)/7,0)=$A$400),AND('🔄 Topic Pool'!B13=$B$400,ROUND(('🔄 Topic Pool'!A13-1)/7,0)=$A$400+1)))),'🔄 Topic Pool'!J13&amp;" — Seq "&amp;'🔄 Topic Pool'!C13&amp;" in month","—")</f>
        <v>—</v>
      </c>
      <c r="V85" s="65"/>
    </row>
    <row r="86" customFormat="false" ht="18" hidden="false" customHeight="true" outlineLevel="0" collapsed="false">
      <c r="B86" s="54" t="str">
        <f aca="false">IF(AND('🔄 Topic Pool'!P14&lt;&gt;"✅ Done",'🔄 Topic Pool'!M14="✅ YES",NOT(A460=2),NOT(AND(A460=1,OR('🔄 Topic Pool'!P14="❌ Missed",'🔄 Topic Pool'!P14="🔄 Partial"))),IF($C$14="Option 1 — Same Month Only",'🔄 Topic Pool'!B14=$B$400,OR(AND('🔄 Topic Pool'!B14=$B$400,ROUND(('🔄 Topic Pool'!A14-1)/7,0)=$A$400),AND('🔄 Topic Pool'!B14=$B$400,ROUND(('🔄 Topic Pool'!A14-1)/7,0)=$A$400+1)))),'🔄 Topic Pool'!A14,"—")</f>
        <v>—</v>
      </c>
      <c r="C86" s="55" t="str">
        <f aca="false">IF(AND('🔄 Topic Pool'!P14&lt;&gt;"✅ Done",'🔄 Topic Pool'!M14="✅ YES",NOT(A460=2),NOT(AND(A460=1,OR('🔄 Topic Pool'!P14="❌ Missed",'🔄 Topic Pool'!P14="🔄 Partial"))),IF($C$14="Option 1 — Same Month Only",'🔄 Topic Pool'!B14=$B$400,OR(AND('🔄 Topic Pool'!B14=$B$400,ROUND(('🔄 Topic Pool'!A14-1)/7,0)=$A$400),AND('🔄 Topic Pool'!B14=$B$400,ROUND(('🔄 Topic Pool'!A14-1)/7,0)=$A$400+1)))),'🔄 Topic Pool'!D14,"—")</f>
        <v>—</v>
      </c>
      <c r="D86" s="55"/>
      <c r="E86" s="55"/>
      <c r="F86" s="55"/>
      <c r="G86" s="55"/>
      <c r="H86" s="55"/>
      <c r="I86" s="55"/>
      <c r="J86" s="55"/>
      <c r="K86" s="55"/>
      <c r="L86" s="55"/>
      <c r="M86" s="56" t="str">
        <f aca="false">IF(AND('🔄 Topic Pool'!P14&lt;&gt;"✅ Done",'🔄 Topic Pool'!M14="✅ YES",NOT(A460=2),NOT(AND(A460=1,OR('🔄 Topic Pool'!P14="❌ Missed",'🔄 Topic Pool'!P14="🔄 Partial"))),IF($C$14="Option 1 — Same Month Only",'🔄 Topic Pool'!B14=$B$400,OR(AND('🔄 Topic Pool'!B14=$B$400,ROUND(('🔄 Topic Pool'!A14-1)/7,0)=$A$400),AND('🔄 Topic Pool'!B14=$B$400,ROUND(('🔄 Topic Pool'!A14-1)/7,0)=$A$400+1)))),'🔄 Topic Pool'!E14,"—")</f>
        <v>—</v>
      </c>
      <c r="N86" s="56"/>
      <c r="O86" s="40" t="str">
        <f aca="false">IF(AND('🔄 Topic Pool'!P14&lt;&gt;"✅ Done",'🔄 Topic Pool'!M14="✅ YES",NOT(A460=2),NOT(AND(A460=1,OR('🔄 Topic Pool'!P14="❌ Missed",'🔄 Topic Pool'!P14="🔄 Partial"))),IF($C$14="Option 1 — Same Month Only",'🔄 Topic Pool'!B14=$B$400,OR(AND('🔄 Topic Pool'!B14=$B$400,ROUND(('🔄 Topic Pool'!A14-1)/7,0)=$A$400),AND('🔄 Topic Pool'!B14=$B$400,ROUND(('🔄 Topic Pool'!A14-1)/7,0)=$A$400+1)))),'🔄 Topic Pool'!G14,"—")</f>
        <v>—</v>
      </c>
      <c r="P86" s="57" t="str">
        <f aca="false">IF(AND('🔄 Topic Pool'!P14&lt;&gt;"✅ Done",'🔄 Topic Pool'!M14="✅ YES",NOT(A460=2),NOT(AND(A460=1,OR('🔄 Topic Pool'!P14="❌ Missed",'🔄 Topic Pool'!P14="🔄 Partial"))),IF($C$14="Option 1 — Same Month Only",'🔄 Topic Pool'!B14=$B$400,OR(AND('🔄 Topic Pool'!B14=$B$400,ROUND(('🔄 Topic Pool'!A14-1)/7,0)=$A$400),AND('🔄 Topic Pool'!B14=$B$400,ROUND(('🔄 Topic Pool'!A14-1)/7,0)=$A$400+1)))),'🔄 Topic Pool'!J14,"—")</f>
        <v>—</v>
      </c>
      <c r="Q86" s="57"/>
      <c r="R86" s="58" t="str">
        <f aca="false">IF(AND('🔄 Topic Pool'!P14&lt;&gt;"✅ Done",'🔄 Topic Pool'!M14="✅ YES",NOT(A460=2),NOT(AND(A460=1,OR('🔄 Topic Pool'!P14="❌ Missed",'🔄 Topic Pool'!P14="🔄 Partial"))),IF($C$14="Option 1 — Same Month Only",'🔄 Topic Pool'!B14=$B$400,OR(AND('🔄 Topic Pool'!B14=$B$400,ROUND(('🔄 Topic Pool'!A14-1)/7,0)=$A$400),AND('🔄 Topic Pool'!B14=$B$400,ROUND(('🔄 Topic Pool'!A14-1)/7,0)=$A$400+1)))),COUNTIF('📋 Swap History'!$F$4:$F$200,'🔄 Topic Pool'!D14),"—")</f>
        <v>—</v>
      </c>
      <c r="S86" s="59" t="str">
        <f aca="false">IF(NOT(AND('🔄 Topic Pool'!P14&lt;&gt;"✅ Done",'🔄 Topic Pool'!M14="✅ YES",NOT(A460=2),NOT(AND(A460=1,OR('🔄 Topic Pool'!P14="❌ Missed",'🔄 Topic Pool'!P14="🔄 Partial"))),IF($C$14="Option 1 — Same Month Only",'🔄 Topic Pool'!B14=$B$400,OR(AND('🔄 Topic Pool'!B14=$B$400,ROUND(('🔄 Topic Pool'!A14-1)/7,0)=$A$400),AND('🔄 Topic Pool'!B14=$B$400,ROUND(('🔄 Topic Pool'!A14-1)/7,0)=$A$400+1))))),"🔒",IF('🔄 Topic Pool'!M14="🔒 NO","🔒",IF(COUNTIF('📋 Swap History'!$F$4:$F$200,'🔄 Topic Pool'!D14)&gt;=$C$8,"🔒","✅")))</f>
        <v>🔒</v>
      </c>
      <c r="T86" s="59"/>
      <c r="U86" s="60" t="str">
        <f aca="false">IF(AND('🔄 Topic Pool'!P14&lt;&gt;"✅ Done",'🔄 Topic Pool'!M14="✅ YES",NOT(A460=2),NOT(AND(A460=1,OR('🔄 Topic Pool'!P14="❌ Missed",'🔄 Topic Pool'!P14="🔄 Partial"))),IF($C$14="Option 1 — Same Month Only",'🔄 Topic Pool'!B14=$B$400,OR(AND('🔄 Topic Pool'!B14=$B$400,ROUND(('🔄 Topic Pool'!A14-1)/7,0)=$A$400),AND('🔄 Topic Pool'!B14=$B$400,ROUND(('🔄 Topic Pool'!A14-1)/7,0)=$A$400+1)))),'🔄 Topic Pool'!J14&amp;" — Seq "&amp;'🔄 Topic Pool'!C14&amp;" in month","—")</f>
        <v>—</v>
      </c>
      <c r="V86" s="60"/>
    </row>
    <row r="87" customFormat="false" ht="18" hidden="false" customHeight="true" outlineLevel="0" collapsed="false">
      <c r="B87" s="61" t="str">
        <f aca="false">IF(AND('🔄 Topic Pool'!P16&lt;&gt;"✅ Done",'🔄 Topic Pool'!M16="✅ YES",NOT(A460=2),NOT(AND(A460=1,OR('🔄 Topic Pool'!P16="❌ Missed",'🔄 Topic Pool'!P16="🔄 Partial"))),IF($C$14="Option 1 — Same Month Only",'🔄 Topic Pool'!B16=$B$400,OR(AND('🔄 Topic Pool'!B16=$B$400,ROUND(('🔄 Topic Pool'!A16-1)/7,0)=$A$400),AND('🔄 Topic Pool'!B16=$B$400,ROUND(('🔄 Topic Pool'!A16-1)/7,0)=$A$400+1)))),'🔄 Topic Pool'!A16,"—")</f>
        <v>—</v>
      </c>
      <c r="C87" s="62" t="str">
        <f aca="false">IF(AND('🔄 Topic Pool'!P16&lt;&gt;"✅ Done",'🔄 Topic Pool'!M16="✅ YES",NOT(A460=2),NOT(AND(A460=1,OR('🔄 Topic Pool'!P16="❌ Missed",'🔄 Topic Pool'!P16="🔄 Partial"))),IF($C$14="Option 1 — Same Month Only",'🔄 Topic Pool'!B16=$B$400,OR(AND('🔄 Topic Pool'!B16=$B$400,ROUND(('🔄 Topic Pool'!A16-1)/7,0)=$A$400),AND('🔄 Topic Pool'!B16=$B$400,ROUND(('🔄 Topic Pool'!A16-1)/7,0)=$A$400+1)))),'🔄 Topic Pool'!D16,"—")</f>
        <v>—</v>
      </c>
      <c r="D87" s="62"/>
      <c r="E87" s="62"/>
      <c r="F87" s="62"/>
      <c r="G87" s="62"/>
      <c r="H87" s="62"/>
      <c r="I87" s="62"/>
      <c r="J87" s="62"/>
      <c r="K87" s="62"/>
      <c r="L87" s="62"/>
      <c r="M87" s="56" t="str">
        <f aca="false">IF(AND('🔄 Topic Pool'!P16&lt;&gt;"✅ Done",'🔄 Topic Pool'!M16="✅ YES",NOT(A460=2),NOT(AND(A460=1,OR('🔄 Topic Pool'!P16="❌ Missed",'🔄 Topic Pool'!P16="🔄 Partial"))),IF($C$14="Option 1 — Same Month Only",'🔄 Topic Pool'!B16=$B$400,OR(AND('🔄 Topic Pool'!B16=$B$400,ROUND(('🔄 Topic Pool'!A16-1)/7,0)=$A$400),AND('🔄 Topic Pool'!B16=$B$400,ROUND(('🔄 Topic Pool'!A16-1)/7,0)=$A$400+1)))),'🔄 Topic Pool'!E16,"—")</f>
        <v>—</v>
      </c>
      <c r="N87" s="56"/>
      <c r="O87" s="40" t="str">
        <f aca="false">IF(AND('🔄 Topic Pool'!P16&lt;&gt;"✅ Done",'🔄 Topic Pool'!M16="✅ YES",NOT(A460=2),NOT(AND(A460=1,OR('🔄 Topic Pool'!P16="❌ Missed",'🔄 Topic Pool'!P16="🔄 Partial"))),IF($C$14="Option 1 — Same Month Only",'🔄 Topic Pool'!B16=$B$400,OR(AND('🔄 Topic Pool'!B16=$B$400,ROUND(('🔄 Topic Pool'!A16-1)/7,0)=$A$400),AND('🔄 Topic Pool'!B16=$B$400,ROUND(('🔄 Topic Pool'!A16-1)/7,0)=$A$400+1)))),'🔄 Topic Pool'!G16,"—")</f>
        <v>—</v>
      </c>
      <c r="P87" s="63" t="str">
        <f aca="false">IF(AND('🔄 Topic Pool'!P16&lt;&gt;"✅ Done",'🔄 Topic Pool'!M16="✅ YES",NOT(A460=2),NOT(AND(A460=1,OR('🔄 Topic Pool'!P16="❌ Missed",'🔄 Topic Pool'!P16="🔄 Partial"))),IF($C$14="Option 1 — Same Month Only",'🔄 Topic Pool'!B16=$B$400,OR(AND('🔄 Topic Pool'!B16=$B$400,ROUND(('🔄 Topic Pool'!A16-1)/7,0)=$A$400),AND('🔄 Topic Pool'!B16=$B$400,ROUND(('🔄 Topic Pool'!A16-1)/7,0)=$A$400+1)))),'🔄 Topic Pool'!J16,"—")</f>
        <v>—</v>
      </c>
      <c r="Q87" s="63"/>
      <c r="R87" s="58" t="str">
        <f aca="false">IF(AND('🔄 Topic Pool'!P16&lt;&gt;"✅ Done",'🔄 Topic Pool'!M16="✅ YES",NOT(A460=2),NOT(AND(A460=1,OR('🔄 Topic Pool'!P16="❌ Missed",'🔄 Topic Pool'!P16="🔄 Partial"))),IF($C$14="Option 1 — Same Month Only",'🔄 Topic Pool'!B16=$B$400,OR(AND('🔄 Topic Pool'!B16=$B$400,ROUND(('🔄 Topic Pool'!A16-1)/7,0)=$A$400),AND('🔄 Topic Pool'!B16=$B$400,ROUND(('🔄 Topic Pool'!A16-1)/7,0)=$A$400+1)))),COUNTIF('📋 Swap History'!$F$4:$F$200,'🔄 Topic Pool'!D16),"—")</f>
        <v>—</v>
      </c>
      <c r="S87" s="64" t="str">
        <f aca="false">IF(NOT(AND('🔄 Topic Pool'!P16&lt;&gt;"✅ Done",'🔄 Topic Pool'!M16="✅ YES",NOT(A460=2),NOT(AND(A460=1,OR('🔄 Topic Pool'!P16="❌ Missed",'🔄 Topic Pool'!P16="🔄 Partial"))),IF($C$14="Option 1 — Same Month Only",'🔄 Topic Pool'!B16=$B$400,OR(AND('🔄 Topic Pool'!B16=$B$400,ROUND(('🔄 Topic Pool'!A16-1)/7,0)=$A$400),AND('🔄 Topic Pool'!B16=$B$400,ROUND(('🔄 Topic Pool'!A16-1)/7,0)=$A$400+1))))),"🔒",IF('🔄 Topic Pool'!M16="🔒 NO","🔒",IF(COUNTIF('📋 Swap History'!$F$4:$F$200,'🔄 Topic Pool'!D16)&gt;=$C$8,"🔒","✅")))</f>
        <v>🔒</v>
      </c>
      <c r="T87" s="64"/>
      <c r="U87" s="65" t="str">
        <f aca="false">IF(AND('🔄 Topic Pool'!P16&lt;&gt;"✅ Done",'🔄 Topic Pool'!M16="✅ YES",NOT(A460=2),NOT(AND(A460=1,OR('🔄 Topic Pool'!P16="❌ Missed",'🔄 Topic Pool'!P16="🔄 Partial"))),IF($C$14="Option 1 — Same Month Only",'🔄 Topic Pool'!B16=$B$400,OR(AND('🔄 Topic Pool'!B16=$B$400,ROUND(('🔄 Topic Pool'!A16-1)/7,0)=$A$400),AND('🔄 Topic Pool'!B16=$B$400,ROUND(('🔄 Topic Pool'!A16-1)/7,0)=$A$400+1)))),'🔄 Topic Pool'!J16&amp;" — Seq "&amp;'🔄 Topic Pool'!C16&amp;" in month","—")</f>
        <v>—</v>
      </c>
      <c r="V87" s="65"/>
    </row>
    <row r="88" customFormat="false" ht="18" hidden="false" customHeight="true" outlineLevel="0" collapsed="false">
      <c r="B88" s="54" t="str">
        <f aca="false">IF(AND('🔄 Topic Pool'!P18&lt;&gt;"✅ Done",'🔄 Topic Pool'!M18="✅ YES",NOT(A460=2),NOT(AND(A460=1,OR('🔄 Topic Pool'!P18="❌ Missed",'🔄 Topic Pool'!P18="🔄 Partial"))),IF($C$14="Option 1 — Same Month Only",'🔄 Topic Pool'!B18=$B$400,OR(AND('🔄 Topic Pool'!B18=$B$400,ROUND(('🔄 Topic Pool'!A18-1)/7,0)=$A$400),AND('🔄 Topic Pool'!B18=$B$400,ROUND(('🔄 Topic Pool'!A18-1)/7,0)=$A$400+1)))),'🔄 Topic Pool'!A18,"—")</f>
        <v>—</v>
      </c>
      <c r="C88" s="55" t="str">
        <f aca="false">IF(AND('🔄 Topic Pool'!P18&lt;&gt;"✅ Done",'🔄 Topic Pool'!M18="✅ YES",NOT(A460=2),NOT(AND(A460=1,OR('🔄 Topic Pool'!P18="❌ Missed",'🔄 Topic Pool'!P18="🔄 Partial"))),IF($C$14="Option 1 — Same Month Only",'🔄 Topic Pool'!B18=$B$400,OR(AND('🔄 Topic Pool'!B18=$B$400,ROUND(('🔄 Topic Pool'!A18-1)/7,0)=$A$400),AND('🔄 Topic Pool'!B18=$B$400,ROUND(('🔄 Topic Pool'!A18-1)/7,0)=$A$400+1)))),'🔄 Topic Pool'!D18,"—")</f>
        <v>—</v>
      </c>
      <c r="D88" s="55"/>
      <c r="E88" s="55"/>
      <c r="F88" s="55"/>
      <c r="G88" s="55"/>
      <c r="H88" s="55"/>
      <c r="I88" s="55"/>
      <c r="J88" s="55"/>
      <c r="K88" s="55"/>
      <c r="L88" s="55"/>
      <c r="M88" s="56" t="str">
        <f aca="false">IF(AND('🔄 Topic Pool'!P18&lt;&gt;"✅ Done",'🔄 Topic Pool'!M18="✅ YES",NOT(A460=2),NOT(AND(A460=1,OR('🔄 Topic Pool'!P18="❌ Missed",'🔄 Topic Pool'!P18="🔄 Partial"))),IF($C$14="Option 1 — Same Month Only",'🔄 Topic Pool'!B18=$B$400,OR(AND('🔄 Topic Pool'!B18=$B$400,ROUND(('🔄 Topic Pool'!A18-1)/7,0)=$A$400),AND('🔄 Topic Pool'!B18=$B$400,ROUND(('🔄 Topic Pool'!A18-1)/7,0)=$A$400+1)))),'🔄 Topic Pool'!E18,"—")</f>
        <v>—</v>
      </c>
      <c r="N88" s="56"/>
      <c r="O88" s="40" t="str">
        <f aca="false">IF(AND('🔄 Topic Pool'!P18&lt;&gt;"✅ Done",'🔄 Topic Pool'!M18="✅ YES",NOT(A460=2),NOT(AND(A460=1,OR('🔄 Topic Pool'!P18="❌ Missed",'🔄 Topic Pool'!P18="🔄 Partial"))),IF($C$14="Option 1 — Same Month Only",'🔄 Topic Pool'!B18=$B$400,OR(AND('🔄 Topic Pool'!B18=$B$400,ROUND(('🔄 Topic Pool'!A18-1)/7,0)=$A$400),AND('🔄 Topic Pool'!B18=$B$400,ROUND(('🔄 Topic Pool'!A18-1)/7,0)=$A$400+1)))),'🔄 Topic Pool'!G18,"—")</f>
        <v>—</v>
      </c>
      <c r="P88" s="57" t="str">
        <f aca="false">IF(AND('🔄 Topic Pool'!P18&lt;&gt;"✅ Done",'🔄 Topic Pool'!M18="✅ YES",NOT(A460=2),NOT(AND(A460=1,OR('🔄 Topic Pool'!P18="❌ Missed",'🔄 Topic Pool'!P18="🔄 Partial"))),IF($C$14="Option 1 — Same Month Only",'🔄 Topic Pool'!B18=$B$400,OR(AND('🔄 Topic Pool'!B18=$B$400,ROUND(('🔄 Topic Pool'!A18-1)/7,0)=$A$400),AND('🔄 Topic Pool'!B18=$B$400,ROUND(('🔄 Topic Pool'!A18-1)/7,0)=$A$400+1)))),'🔄 Topic Pool'!J18,"—")</f>
        <v>—</v>
      </c>
      <c r="Q88" s="57"/>
      <c r="R88" s="58" t="str">
        <f aca="false">IF(AND('🔄 Topic Pool'!P18&lt;&gt;"✅ Done",'🔄 Topic Pool'!M18="✅ YES",NOT(A460=2),NOT(AND(A460=1,OR('🔄 Topic Pool'!P18="❌ Missed",'🔄 Topic Pool'!P18="🔄 Partial"))),IF($C$14="Option 1 — Same Month Only",'🔄 Topic Pool'!B18=$B$400,OR(AND('🔄 Topic Pool'!B18=$B$400,ROUND(('🔄 Topic Pool'!A18-1)/7,0)=$A$400),AND('🔄 Topic Pool'!B18=$B$400,ROUND(('🔄 Topic Pool'!A18-1)/7,0)=$A$400+1)))),COUNTIF('📋 Swap History'!$F$4:$F$200,'🔄 Topic Pool'!D18),"—")</f>
        <v>—</v>
      </c>
      <c r="S88" s="59" t="str">
        <f aca="false">IF(NOT(AND('🔄 Topic Pool'!P18&lt;&gt;"✅ Done",'🔄 Topic Pool'!M18="✅ YES",NOT(A460=2),NOT(AND(A460=1,OR('🔄 Topic Pool'!P18="❌ Missed",'🔄 Topic Pool'!P18="🔄 Partial"))),IF($C$14="Option 1 — Same Month Only",'🔄 Topic Pool'!B18=$B$400,OR(AND('🔄 Topic Pool'!B18=$B$400,ROUND(('🔄 Topic Pool'!A18-1)/7,0)=$A$400),AND('🔄 Topic Pool'!B18=$B$400,ROUND(('🔄 Topic Pool'!A18-1)/7,0)=$A$400+1))))),"🔒",IF('🔄 Topic Pool'!M18="🔒 NO","🔒",IF(COUNTIF('📋 Swap History'!$F$4:$F$200,'🔄 Topic Pool'!D18)&gt;=$C$8,"🔒","✅")))</f>
        <v>🔒</v>
      </c>
      <c r="T88" s="59"/>
      <c r="U88" s="60" t="str">
        <f aca="false">IF(AND('🔄 Topic Pool'!P18&lt;&gt;"✅ Done",'🔄 Topic Pool'!M18="✅ YES",NOT(A460=2),NOT(AND(A460=1,OR('🔄 Topic Pool'!P18="❌ Missed",'🔄 Topic Pool'!P18="🔄 Partial"))),IF($C$14="Option 1 — Same Month Only",'🔄 Topic Pool'!B18=$B$400,OR(AND('🔄 Topic Pool'!B18=$B$400,ROUND(('🔄 Topic Pool'!A18-1)/7,0)=$A$400),AND('🔄 Topic Pool'!B18=$B$400,ROUND(('🔄 Topic Pool'!A18-1)/7,0)=$A$400+1)))),'🔄 Topic Pool'!J18&amp;" — Seq "&amp;'🔄 Topic Pool'!C18&amp;" in month","—")</f>
        <v>—</v>
      </c>
      <c r="V88" s="60"/>
    </row>
    <row r="89" customFormat="false" ht="18" hidden="false" customHeight="true" outlineLevel="0" collapsed="false">
      <c r="B89" s="61" t="str">
        <f aca="false">IF(AND('🔄 Topic Pool'!P20&lt;&gt;"✅ Done",'🔄 Topic Pool'!M20="✅ YES",NOT(A460=2),NOT(AND(A460=1,OR('🔄 Topic Pool'!P20="❌ Missed",'🔄 Topic Pool'!P20="🔄 Partial"))),IF($C$14="Option 1 — Same Month Only",'🔄 Topic Pool'!B20=$B$400,OR(AND('🔄 Topic Pool'!B20=$B$400,ROUND(('🔄 Topic Pool'!A20-1)/7,0)=$A$400),AND('🔄 Topic Pool'!B20=$B$400,ROUND(('🔄 Topic Pool'!A20-1)/7,0)=$A$400+1)))),'🔄 Topic Pool'!A20,"—")</f>
        <v>—</v>
      </c>
      <c r="C89" s="62" t="str">
        <f aca="false">IF(AND('🔄 Topic Pool'!P20&lt;&gt;"✅ Done",'🔄 Topic Pool'!M20="✅ YES",NOT(A460=2),NOT(AND(A460=1,OR('🔄 Topic Pool'!P20="❌ Missed",'🔄 Topic Pool'!P20="🔄 Partial"))),IF($C$14="Option 1 — Same Month Only",'🔄 Topic Pool'!B20=$B$400,OR(AND('🔄 Topic Pool'!B20=$B$400,ROUND(('🔄 Topic Pool'!A20-1)/7,0)=$A$400),AND('🔄 Topic Pool'!B20=$B$400,ROUND(('🔄 Topic Pool'!A20-1)/7,0)=$A$400+1)))),'🔄 Topic Pool'!D20,"—")</f>
        <v>—</v>
      </c>
      <c r="D89" s="62"/>
      <c r="E89" s="62"/>
      <c r="F89" s="62"/>
      <c r="G89" s="62"/>
      <c r="H89" s="62"/>
      <c r="I89" s="62"/>
      <c r="J89" s="62"/>
      <c r="K89" s="62"/>
      <c r="L89" s="62"/>
      <c r="M89" s="56" t="str">
        <f aca="false">IF(AND('🔄 Topic Pool'!P20&lt;&gt;"✅ Done",'🔄 Topic Pool'!M20="✅ YES",NOT(A460=2),NOT(AND(A460=1,OR('🔄 Topic Pool'!P20="❌ Missed",'🔄 Topic Pool'!P20="🔄 Partial"))),IF($C$14="Option 1 — Same Month Only",'🔄 Topic Pool'!B20=$B$400,OR(AND('🔄 Topic Pool'!B20=$B$400,ROUND(('🔄 Topic Pool'!A20-1)/7,0)=$A$400),AND('🔄 Topic Pool'!B20=$B$400,ROUND(('🔄 Topic Pool'!A20-1)/7,0)=$A$400+1)))),'🔄 Topic Pool'!E20,"—")</f>
        <v>—</v>
      </c>
      <c r="N89" s="56"/>
      <c r="O89" s="40" t="str">
        <f aca="false">IF(AND('🔄 Topic Pool'!P20&lt;&gt;"✅ Done",'🔄 Topic Pool'!M20="✅ YES",NOT(A460=2),NOT(AND(A460=1,OR('🔄 Topic Pool'!P20="❌ Missed",'🔄 Topic Pool'!P20="🔄 Partial"))),IF($C$14="Option 1 — Same Month Only",'🔄 Topic Pool'!B20=$B$400,OR(AND('🔄 Topic Pool'!B20=$B$400,ROUND(('🔄 Topic Pool'!A20-1)/7,0)=$A$400),AND('🔄 Topic Pool'!B20=$B$400,ROUND(('🔄 Topic Pool'!A20-1)/7,0)=$A$400+1)))),'🔄 Topic Pool'!G20,"—")</f>
        <v>—</v>
      </c>
      <c r="P89" s="63" t="str">
        <f aca="false">IF(AND('🔄 Topic Pool'!P20&lt;&gt;"✅ Done",'🔄 Topic Pool'!M20="✅ YES",NOT(A460=2),NOT(AND(A460=1,OR('🔄 Topic Pool'!P20="❌ Missed",'🔄 Topic Pool'!P20="🔄 Partial"))),IF($C$14="Option 1 — Same Month Only",'🔄 Topic Pool'!B20=$B$400,OR(AND('🔄 Topic Pool'!B20=$B$400,ROUND(('🔄 Topic Pool'!A20-1)/7,0)=$A$400),AND('🔄 Topic Pool'!B20=$B$400,ROUND(('🔄 Topic Pool'!A20-1)/7,0)=$A$400+1)))),'🔄 Topic Pool'!J20,"—")</f>
        <v>—</v>
      </c>
      <c r="Q89" s="63"/>
      <c r="R89" s="58" t="str">
        <f aca="false">IF(AND('🔄 Topic Pool'!P20&lt;&gt;"✅ Done",'🔄 Topic Pool'!M20="✅ YES",NOT(A460=2),NOT(AND(A460=1,OR('🔄 Topic Pool'!P20="❌ Missed",'🔄 Topic Pool'!P20="🔄 Partial"))),IF($C$14="Option 1 — Same Month Only",'🔄 Topic Pool'!B20=$B$400,OR(AND('🔄 Topic Pool'!B20=$B$400,ROUND(('🔄 Topic Pool'!A20-1)/7,0)=$A$400),AND('🔄 Topic Pool'!B20=$B$400,ROUND(('🔄 Topic Pool'!A20-1)/7,0)=$A$400+1)))),COUNTIF('📋 Swap History'!$F$4:$F$200,'🔄 Topic Pool'!D20),"—")</f>
        <v>—</v>
      </c>
      <c r="S89" s="64" t="str">
        <f aca="false">IF(NOT(AND('🔄 Topic Pool'!P20&lt;&gt;"✅ Done",'🔄 Topic Pool'!M20="✅ YES",NOT(A460=2),NOT(AND(A460=1,OR('🔄 Topic Pool'!P20="❌ Missed",'🔄 Topic Pool'!P20="🔄 Partial"))),IF($C$14="Option 1 — Same Month Only",'🔄 Topic Pool'!B20=$B$400,OR(AND('🔄 Topic Pool'!B20=$B$400,ROUND(('🔄 Topic Pool'!A20-1)/7,0)=$A$400),AND('🔄 Topic Pool'!B20=$B$400,ROUND(('🔄 Topic Pool'!A20-1)/7,0)=$A$400+1))))),"🔒",IF('🔄 Topic Pool'!M20="🔒 NO","🔒",IF(COUNTIF('📋 Swap History'!$F$4:$F$200,'🔄 Topic Pool'!D20)&gt;=$C$8,"🔒","✅")))</f>
        <v>🔒</v>
      </c>
      <c r="T89" s="64"/>
      <c r="U89" s="65" t="str">
        <f aca="false">IF(AND('🔄 Topic Pool'!P20&lt;&gt;"✅ Done",'🔄 Topic Pool'!M20="✅ YES",NOT(A460=2),NOT(AND(A460=1,OR('🔄 Topic Pool'!P20="❌ Missed",'🔄 Topic Pool'!P20="🔄 Partial"))),IF($C$14="Option 1 — Same Month Only",'🔄 Topic Pool'!B20=$B$400,OR(AND('🔄 Topic Pool'!B20=$B$400,ROUND(('🔄 Topic Pool'!A20-1)/7,0)=$A$400),AND('🔄 Topic Pool'!B20=$B$400,ROUND(('🔄 Topic Pool'!A20-1)/7,0)=$A$400+1)))),'🔄 Topic Pool'!J20&amp;" — Seq "&amp;'🔄 Topic Pool'!C20&amp;" in month","—")</f>
        <v>—</v>
      </c>
      <c r="V89" s="65"/>
    </row>
    <row r="90" customFormat="false" ht="18" hidden="false" customHeight="true" outlineLevel="0" collapsed="false">
      <c r="B90" s="54" t="str">
        <f aca="false">IF(AND('🔄 Topic Pool'!P21&lt;&gt;"✅ Done",'🔄 Topic Pool'!M21="✅ YES",NOT(A460=2),NOT(AND(A460=1,OR('🔄 Topic Pool'!P21="❌ Missed",'🔄 Topic Pool'!P21="🔄 Partial"))),IF($C$14="Option 1 — Same Month Only",'🔄 Topic Pool'!B21=$B$400,OR(AND('🔄 Topic Pool'!B21=$B$400,ROUND(('🔄 Topic Pool'!A21-1)/7,0)=$A$400),AND('🔄 Topic Pool'!B21=$B$400,ROUND(('🔄 Topic Pool'!A21-1)/7,0)=$A$400+1)))),'🔄 Topic Pool'!A21,"—")</f>
        <v>—</v>
      </c>
      <c r="C90" s="55" t="str">
        <f aca="false">IF(AND('🔄 Topic Pool'!P21&lt;&gt;"✅ Done",'🔄 Topic Pool'!M21="✅ YES",NOT(A460=2),NOT(AND(A460=1,OR('🔄 Topic Pool'!P21="❌ Missed",'🔄 Topic Pool'!P21="🔄 Partial"))),IF($C$14="Option 1 — Same Month Only",'🔄 Topic Pool'!B21=$B$400,OR(AND('🔄 Topic Pool'!B21=$B$400,ROUND(('🔄 Topic Pool'!A21-1)/7,0)=$A$400),AND('🔄 Topic Pool'!B21=$B$400,ROUND(('🔄 Topic Pool'!A21-1)/7,0)=$A$400+1)))),'🔄 Topic Pool'!D21,"—")</f>
        <v>—</v>
      </c>
      <c r="D90" s="55"/>
      <c r="E90" s="55"/>
      <c r="F90" s="55"/>
      <c r="G90" s="55"/>
      <c r="H90" s="55"/>
      <c r="I90" s="55"/>
      <c r="J90" s="55"/>
      <c r="K90" s="55"/>
      <c r="L90" s="55"/>
      <c r="M90" s="56" t="str">
        <f aca="false">IF(AND('🔄 Topic Pool'!P21&lt;&gt;"✅ Done",'🔄 Topic Pool'!M21="✅ YES",NOT(A460=2),NOT(AND(A460=1,OR('🔄 Topic Pool'!P21="❌ Missed",'🔄 Topic Pool'!P21="🔄 Partial"))),IF($C$14="Option 1 — Same Month Only",'🔄 Topic Pool'!B21=$B$400,OR(AND('🔄 Topic Pool'!B21=$B$400,ROUND(('🔄 Topic Pool'!A21-1)/7,0)=$A$400),AND('🔄 Topic Pool'!B21=$B$400,ROUND(('🔄 Topic Pool'!A21-1)/7,0)=$A$400+1)))),'🔄 Topic Pool'!E21,"—")</f>
        <v>—</v>
      </c>
      <c r="N90" s="56"/>
      <c r="O90" s="40" t="str">
        <f aca="false">IF(AND('🔄 Topic Pool'!P21&lt;&gt;"✅ Done",'🔄 Topic Pool'!M21="✅ YES",NOT(A460=2),NOT(AND(A460=1,OR('🔄 Topic Pool'!P21="❌ Missed",'🔄 Topic Pool'!P21="🔄 Partial"))),IF($C$14="Option 1 — Same Month Only",'🔄 Topic Pool'!B21=$B$400,OR(AND('🔄 Topic Pool'!B21=$B$400,ROUND(('🔄 Topic Pool'!A21-1)/7,0)=$A$400),AND('🔄 Topic Pool'!B21=$B$400,ROUND(('🔄 Topic Pool'!A21-1)/7,0)=$A$400+1)))),'🔄 Topic Pool'!G21,"—")</f>
        <v>—</v>
      </c>
      <c r="P90" s="57" t="str">
        <f aca="false">IF(AND('🔄 Topic Pool'!P21&lt;&gt;"✅ Done",'🔄 Topic Pool'!M21="✅ YES",NOT(A460=2),NOT(AND(A460=1,OR('🔄 Topic Pool'!P21="❌ Missed",'🔄 Topic Pool'!P21="🔄 Partial"))),IF($C$14="Option 1 — Same Month Only",'🔄 Topic Pool'!B21=$B$400,OR(AND('🔄 Topic Pool'!B21=$B$400,ROUND(('🔄 Topic Pool'!A21-1)/7,0)=$A$400),AND('🔄 Topic Pool'!B21=$B$400,ROUND(('🔄 Topic Pool'!A21-1)/7,0)=$A$400+1)))),'🔄 Topic Pool'!J21,"—")</f>
        <v>—</v>
      </c>
      <c r="Q90" s="57"/>
      <c r="R90" s="58" t="str">
        <f aca="false">IF(AND('🔄 Topic Pool'!P21&lt;&gt;"✅ Done",'🔄 Topic Pool'!M21="✅ YES",NOT(A460=2),NOT(AND(A460=1,OR('🔄 Topic Pool'!P21="❌ Missed",'🔄 Topic Pool'!P21="🔄 Partial"))),IF($C$14="Option 1 — Same Month Only",'🔄 Topic Pool'!B21=$B$400,OR(AND('🔄 Topic Pool'!B21=$B$400,ROUND(('🔄 Topic Pool'!A21-1)/7,0)=$A$400),AND('🔄 Topic Pool'!B21=$B$400,ROUND(('🔄 Topic Pool'!A21-1)/7,0)=$A$400+1)))),COUNTIF('📋 Swap History'!$F$4:$F$200,'🔄 Topic Pool'!D21),"—")</f>
        <v>—</v>
      </c>
      <c r="S90" s="59" t="str">
        <f aca="false">IF(NOT(AND('🔄 Topic Pool'!P21&lt;&gt;"✅ Done",'🔄 Topic Pool'!M21="✅ YES",NOT(A460=2),NOT(AND(A460=1,OR('🔄 Topic Pool'!P21="❌ Missed",'🔄 Topic Pool'!P21="🔄 Partial"))),IF($C$14="Option 1 — Same Month Only",'🔄 Topic Pool'!B21=$B$400,OR(AND('🔄 Topic Pool'!B21=$B$400,ROUND(('🔄 Topic Pool'!A21-1)/7,0)=$A$400),AND('🔄 Topic Pool'!B21=$B$400,ROUND(('🔄 Topic Pool'!A21-1)/7,0)=$A$400+1))))),"🔒",IF('🔄 Topic Pool'!M21="🔒 NO","🔒",IF(COUNTIF('📋 Swap History'!$F$4:$F$200,'🔄 Topic Pool'!D21)&gt;=$C$8,"🔒","✅")))</f>
        <v>🔒</v>
      </c>
      <c r="T90" s="59"/>
      <c r="U90" s="60" t="str">
        <f aca="false">IF(AND('🔄 Topic Pool'!P21&lt;&gt;"✅ Done",'🔄 Topic Pool'!M21="✅ YES",NOT(A460=2),NOT(AND(A460=1,OR('🔄 Topic Pool'!P21="❌ Missed",'🔄 Topic Pool'!P21="🔄 Partial"))),IF($C$14="Option 1 — Same Month Only",'🔄 Topic Pool'!B21=$B$400,OR(AND('🔄 Topic Pool'!B21=$B$400,ROUND(('🔄 Topic Pool'!A21-1)/7,0)=$A$400),AND('🔄 Topic Pool'!B21=$B$400,ROUND(('🔄 Topic Pool'!A21-1)/7,0)=$A$400+1)))),'🔄 Topic Pool'!J21&amp;" — Seq "&amp;'🔄 Topic Pool'!C21&amp;" in month","—")</f>
        <v>—</v>
      </c>
      <c r="V90" s="60"/>
    </row>
    <row r="91" customFormat="false" ht="18" hidden="false" customHeight="true" outlineLevel="0" collapsed="false">
      <c r="B91" s="61" t="str">
        <f aca="false">IF(AND('🔄 Topic Pool'!P25&lt;&gt;"✅ Done",'🔄 Topic Pool'!M25="✅ YES",NOT(A460=2),NOT(AND(A460=1,OR('🔄 Topic Pool'!P25="❌ Missed",'🔄 Topic Pool'!P25="🔄 Partial"))),IF($C$14="Option 1 — Same Month Only",'🔄 Topic Pool'!B25=$B$400,OR(AND('🔄 Topic Pool'!B25=$B$400,ROUND(('🔄 Topic Pool'!A25-1)/7,0)=$A$400),AND('🔄 Topic Pool'!B25=$B$400,ROUND(('🔄 Topic Pool'!A25-1)/7,0)=$A$400+1)))),'🔄 Topic Pool'!A25,"—")</f>
        <v>—</v>
      </c>
      <c r="C91" s="62" t="str">
        <f aca="false">IF(AND('🔄 Topic Pool'!P25&lt;&gt;"✅ Done",'🔄 Topic Pool'!M25="✅ YES",NOT(A460=2),NOT(AND(A460=1,OR('🔄 Topic Pool'!P25="❌ Missed",'🔄 Topic Pool'!P25="🔄 Partial"))),IF($C$14="Option 1 — Same Month Only",'🔄 Topic Pool'!B25=$B$400,OR(AND('🔄 Topic Pool'!B25=$B$400,ROUND(('🔄 Topic Pool'!A25-1)/7,0)=$A$400),AND('🔄 Topic Pool'!B25=$B$400,ROUND(('🔄 Topic Pool'!A25-1)/7,0)=$A$400+1)))),'🔄 Topic Pool'!D25,"—")</f>
        <v>—</v>
      </c>
      <c r="D91" s="62"/>
      <c r="E91" s="62"/>
      <c r="F91" s="62"/>
      <c r="G91" s="62"/>
      <c r="H91" s="62"/>
      <c r="I91" s="62"/>
      <c r="J91" s="62"/>
      <c r="K91" s="62"/>
      <c r="L91" s="62"/>
      <c r="M91" s="56" t="str">
        <f aca="false">IF(AND('🔄 Topic Pool'!P25&lt;&gt;"✅ Done",'🔄 Topic Pool'!M25="✅ YES",NOT(A460=2),NOT(AND(A460=1,OR('🔄 Topic Pool'!P25="❌ Missed",'🔄 Topic Pool'!P25="🔄 Partial"))),IF($C$14="Option 1 — Same Month Only",'🔄 Topic Pool'!B25=$B$400,OR(AND('🔄 Topic Pool'!B25=$B$400,ROUND(('🔄 Topic Pool'!A25-1)/7,0)=$A$400),AND('🔄 Topic Pool'!B25=$B$400,ROUND(('🔄 Topic Pool'!A25-1)/7,0)=$A$400+1)))),'🔄 Topic Pool'!E25,"—")</f>
        <v>—</v>
      </c>
      <c r="N91" s="56"/>
      <c r="O91" s="40" t="str">
        <f aca="false">IF(AND('🔄 Topic Pool'!P25&lt;&gt;"✅ Done",'🔄 Topic Pool'!M25="✅ YES",NOT(A460=2),NOT(AND(A460=1,OR('🔄 Topic Pool'!P25="❌ Missed",'🔄 Topic Pool'!P25="🔄 Partial"))),IF($C$14="Option 1 — Same Month Only",'🔄 Topic Pool'!B25=$B$400,OR(AND('🔄 Topic Pool'!B25=$B$400,ROUND(('🔄 Topic Pool'!A25-1)/7,0)=$A$400),AND('🔄 Topic Pool'!B25=$B$400,ROUND(('🔄 Topic Pool'!A25-1)/7,0)=$A$400+1)))),'🔄 Topic Pool'!G25,"—")</f>
        <v>—</v>
      </c>
      <c r="P91" s="63" t="str">
        <f aca="false">IF(AND('🔄 Topic Pool'!P25&lt;&gt;"✅ Done",'🔄 Topic Pool'!M25="✅ YES",NOT(A460=2),NOT(AND(A460=1,OR('🔄 Topic Pool'!P25="❌ Missed",'🔄 Topic Pool'!P25="🔄 Partial"))),IF($C$14="Option 1 — Same Month Only",'🔄 Topic Pool'!B25=$B$400,OR(AND('🔄 Topic Pool'!B25=$B$400,ROUND(('🔄 Topic Pool'!A25-1)/7,0)=$A$400),AND('🔄 Topic Pool'!B25=$B$400,ROUND(('🔄 Topic Pool'!A25-1)/7,0)=$A$400+1)))),'🔄 Topic Pool'!J25,"—")</f>
        <v>—</v>
      </c>
      <c r="Q91" s="63"/>
      <c r="R91" s="58" t="str">
        <f aca="false">IF(AND('🔄 Topic Pool'!P25&lt;&gt;"✅ Done",'🔄 Topic Pool'!M25="✅ YES",NOT(A460=2),NOT(AND(A460=1,OR('🔄 Topic Pool'!P25="❌ Missed",'🔄 Topic Pool'!P25="🔄 Partial"))),IF($C$14="Option 1 — Same Month Only",'🔄 Topic Pool'!B25=$B$400,OR(AND('🔄 Topic Pool'!B25=$B$400,ROUND(('🔄 Topic Pool'!A25-1)/7,0)=$A$400),AND('🔄 Topic Pool'!B25=$B$400,ROUND(('🔄 Topic Pool'!A25-1)/7,0)=$A$400+1)))),COUNTIF('📋 Swap History'!$F$4:$F$200,'🔄 Topic Pool'!D25),"—")</f>
        <v>—</v>
      </c>
      <c r="S91" s="64" t="str">
        <f aca="false">IF(NOT(AND('🔄 Topic Pool'!P25&lt;&gt;"✅ Done",'🔄 Topic Pool'!M25="✅ YES",NOT(A460=2),NOT(AND(A460=1,OR('🔄 Topic Pool'!P25="❌ Missed",'🔄 Topic Pool'!P25="🔄 Partial"))),IF($C$14="Option 1 — Same Month Only",'🔄 Topic Pool'!B25=$B$400,OR(AND('🔄 Topic Pool'!B25=$B$400,ROUND(('🔄 Topic Pool'!A25-1)/7,0)=$A$400),AND('🔄 Topic Pool'!B25=$B$400,ROUND(('🔄 Topic Pool'!A25-1)/7,0)=$A$400+1))))),"🔒",IF('🔄 Topic Pool'!M25="🔒 NO","🔒",IF(COUNTIF('📋 Swap History'!$F$4:$F$200,'🔄 Topic Pool'!D25)&gt;=$C$8,"🔒","✅")))</f>
        <v>🔒</v>
      </c>
      <c r="T91" s="64"/>
      <c r="U91" s="65" t="str">
        <f aca="false">IF(AND('🔄 Topic Pool'!P25&lt;&gt;"✅ Done",'🔄 Topic Pool'!M25="✅ YES",NOT(A460=2),NOT(AND(A460=1,OR('🔄 Topic Pool'!P25="❌ Missed",'🔄 Topic Pool'!P25="🔄 Partial"))),IF($C$14="Option 1 — Same Month Only",'🔄 Topic Pool'!B25=$B$400,OR(AND('🔄 Topic Pool'!B25=$B$400,ROUND(('🔄 Topic Pool'!A25-1)/7,0)=$A$400),AND('🔄 Topic Pool'!B25=$B$400,ROUND(('🔄 Topic Pool'!A25-1)/7,0)=$A$400+1)))),'🔄 Topic Pool'!J25&amp;" — Seq "&amp;'🔄 Topic Pool'!C25&amp;" in month","—")</f>
        <v>—</v>
      </c>
      <c r="V91" s="65"/>
    </row>
    <row r="92" customFormat="false" ht="18" hidden="false" customHeight="true" outlineLevel="0" collapsed="false">
      <c r="B92" s="54" t="str">
        <f aca="false">IF(AND('🔄 Topic Pool'!P26&lt;&gt;"✅ Done",'🔄 Topic Pool'!M26="✅ YES",NOT(A460=2),NOT(AND(A460=1,OR('🔄 Topic Pool'!P26="❌ Missed",'🔄 Topic Pool'!P26="🔄 Partial"))),IF($C$14="Option 1 — Same Month Only",'🔄 Topic Pool'!B26=$B$400,OR(AND('🔄 Topic Pool'!B26=$B$400,ROUND(('🔄 Topic Pool'!A26-1)/7,0)=$A$400),AND('🔄 Topic Pool'!B26=$B$400,ROUND(('🔄 Topic Pool'!A26-1)/7,0)=$A$400+1)))),'🔄 Topic Pool'!A26,"—")</f>
        <v>—</v>
      </c>
      <c r="C92" s="55" t="str">
        <f aca="false">IF(AND('🔄 Topic Pool'!P26&lt;&gt;"✅ Done",'🔄 Topic Pool'!M26="✅ YES",NOT(A460=2),NOT(AND(A460=1,OR('🔄 Topic Pool'!P26="❌ Missed",'🔄 Topic Pool'!P26="🔄 Partial"))),IF($C$14="Option 1 — Same Month Only",'🔄 Topic Pool'!B26=$B$400,OR(AND('🔄 Topic Pool'!B26=$B$400,ROUND(('🔄 Topic Pool'!A26-1)/7,0)=$A$400),AND('🔄 Topic Pool'!B26=$B$400,ROUND(('🔄 Topic Pool'!A26-1)/7,0)=$A$400+1)))),'🔄 Topic Pool'!D26,"—")</f>
        <v>—</v>
      </c>
      <c r="D92" s="55"/>
      <c r="E92" s="55"/>
      <c r="F92" s="55"/>
      <c r="G92" s="55"/>
      <c r="H92" s="55"/>
      <c r="I92" s="55"/>
      <c r="J92" s="55"/>
      <c r="K92" s="55"/>
      <c r="L92" s="55"/>
      <c r="M92" s="56" t="str">
        <f aca="false">IF(AND('🔄 Topic Pool'!P26&lt;&gt;"✅ Done",'🔄 Topic Pool'!M26="✅ YES",NOT(A460=2),NOT(AND(A460=1,OR('🔄 Topic Pool'!P26="❌ Missed",'🔄 Topic Pool'!P26="🔄 Partial"))),IF($C$14="Option 1 — Same Month Only",'🔄 Topic Pool'!B26=$B$400,OR(AND('🔄 Topic Pool'!B26=$B$400,ROUND(('🔄 Topic Pool'!A26-1)/7,0)=$A$400),AND('🔄 Topic Pool'!B26=$B$400,ROUND(('🔄 Topic Pool'!A26-1)/7,0)=$A$400+1)))),'🔄 Topic Pool'!E26,"—")</f>
        <v>—</v>
      </c>
      <c r="N92" s="56"/>
      <c r="O92" s="40" t="str">
        <f aca="false">IF(AND('🔄 Topic Pool'!P26&lt;&gt;"✅ Done",'🔄 Topic Pool'!M26="✅ YES",NOT(A460=2),NOT(AND(A460=1,OR('🔄 Topic Pool'!P26="❌ Missed",'🔄 Topic Pool'!P26="🔄 Partial"))),IF($C$14="Option 1 — Same Month Only",'🔄 Topic Pool'!B26=$B$400,OR(AND('🔄 Topic Pool'!B26=$B$400,ROUND(('🔄 Topic Pool'!A26-1)/7,0)=$A$400),AND('🔄 Topic Pool'!B26=$B$400,ROUND(('🔄 Topic Pool'!A26-1)/7,0)=$A$400+1)))),'🔄 Topic Pool'!G26,"—")</f>
        <v>—</v>
      </c>
      <c r="P92" s="57" t="str">
        <f aca="false">IF(AND('🔄 Topic Pool'!P26&lt;&gt;"✅ Done",'🔄 Topic Pool'!M26="✅ YES",NOT(A460=2),NOT(AND(A460=1,OR('🔄 Topic Pool'!P26="❌ Missed",'🔄 Topic Pool'!P26="🔄 Partial"))),IF($C$14="Option 1 — Same Month Only",'🔄 Topic Pool'!B26=$B$400,OR(AND('🔄 Topic Pool'!B26=$B$400,ROUND(('🔄 Topic Pool'!A26-1)/7,0)=$A$400),AND('🔄 Topic Pool'!B26=$B$400,ROUND(('🔄 Topic Pool'!A26-1)/7,0)=$A$400+1)))),'🔄 Topic Pool'!J26,"—")</f>
        <v>—</v>
      </c>
      <c r="Q92" s="57"/>
      <c r="R92" s="58" t="str">
        <f aca="false">IF(AND('🔄 Topic Pool'!P26&lt;&gt;"✅ Done",'🔄 Topic Pool'!M26="✅ YES",NOT(A460=2),NOT(AND(A460=1,OR('🔄 Topic Pool'!P26="❌ Missed",'🔄 Topic Pool'!P26="🔄 Partial"))),IF($C$14="Option 1 — Same Month Only",'🔄 Topic Pool'!B26=$B$400,OR(AND('🔄 Topic Pool'!B26=$B$400,ROUND(('🔄 Topic Pool'!A26-1)/7,0)=$A$400),AND('🔄 Topic Pool'!B26=$B$400,ROUND(('🔄 Topic Pool'!A26-1)/7,0)=$A$400+1)))),COUNTIF('📋 Swap History'!$F$4:$F$200,'🔄 Topic Pool'!D26),"—")</f>
        <v>—</v>
      </c>
      <c r="S92" s="59" t="str">
        <f aca="false">IF(NOT(AND('🔄 Topic Pool'!P26&lt;&gt;"✅ Done",'🔄 Topic Pool'!M26="✅ YES",NOT(A460=2),NOT(AND(A460=1,OR('🔄 Topic Pool'!P26="❌ Missed",'🔄 Topic Pool'!P26="🔄 Partial"))),IF($C$14="Option 1 — Same Month Only",'🔄 Topic Pool'!B26=$B$400,OR(AND('🔄 Topic Pool'!B26=$B$400,ROUND(('🔄 Topic Pool'!A26-1)/7,0)=$A$400),AND('🔄 Topic Pool'!B26=$B$400,ROUND(('🔄 Topic Pool'!A26-1)/7,0)=$A$400+1))))),"🔒",IF('🔄 Topic Pool'!M26="🔒 NO","🔒",IF(COUNTIF('📋 Swap History'!$F$4:$F$200,'🔄 Topic Pool'!D26)&gt;=$C$8,"🔒","✅")))</f>
        <v>🔒</v>
      </c>
      <c r="T92" s="59"/>
      <c r="U92" s="60" t="str">
        <f aca="false">IF(AND('🔄 Topic Pool'!P26&lt;&gt;"✅ Done",'🔄 Topic Pool'!M26="✅ YES",NOT(A460=2),NOT(AND(A460=1,OR('🔄 Topic Pool'!P26="❌ Missed",'🔄 Topic Pool'!P26="🔄 Partial"))),IF($C$14="Option 1 — Same Month Only",'🔄 Topic Pool'!B26=$B$400,OR(AND('🔄 Topic Pool'!B26=$B$400,ROUND(('🔄 Topic Pool'!A26-1)/7,0)=$A$400),AND('🔄 Topic Pool'!B26=$B$400,ROUND(('🔄 Topic Pool'!A26-1)/7,0)=$A$400+1)))),'🔄 Topic Pool'!J26&amp;" — Seq "&amp;'🔄 Topic Pool'!C26&amp;" in month","—")</f>
        <v>—</v>
      </c>
      <c r="V92" s="60"/>
    </row>
    <row r="93" customFormat="false" ht="18" hidden="false" customHeight="true" outlineLevel="0" collapsed="false">
      <c r="B93" s="61" t="str">
        <f aca="false">IF(AND('🔄 Topic Pool'!P27&lt;&gt;"✅ Done",'🔄 Topic Pool'!M27="✅ YES",NOT(A460=2),NOT(AND(A460=1,OR('🔄 Topic Pool'!P27="❌ Missed",'🔄 Topic Pool'!P27="🔄 Partial"))),IF($C$14="Option 1 — Same Month Only",'🔄 Topic Pool'!B27=$B$400,OR(AND('🔄 Topic Pool'!B27=$B$400,ROUND(('🔄 Topic Pool'!A27-1)/7,0)=$A$400),AND('🔄 Topic Pool'!B27=$B$400,ROUND(('🔄 Topic Pool'!A27-1)/7,0)=$A$400+1)))),'🔄 Topic Pool'!A27,"—")</f>
        <v>—</v>
      </c>
      <c r="C93" s="62" t="str">
        <f aca="false">IF(AND('🔄 Topic Pool'!P27&lt;&gt;"✅ Done",'🔄 Topic Pool'!M27="✅ YES",NOT(A460=2),NOT(AND(A460=1,OR('🔄 Topic Pool'!P27="❌ Missed",'🔄 Topic Pool'!P27="🔄 Partial"))),IF($C$14="Option 1 — Same Month Only",'🔄 Topic Pool'!B27=$B$400,OR(AND('🔄 Topic Pool'!B27=$B$400,ROUND(('🔄 Topic Pool'!A27-1)/7,0)=$A$400),AND('🔄 Topic Pool'!B27=$B$400,ROUND(('🔄 Topic Pool'!A27-1)/7,0)=$A$400+1)))),'🔄 Topic Pool'!D27,"—")</f>
        <v>—</v>
      </c>
      <c r="D93" s="62"/>
      <c r="E93" s="62"/>
      <c r="F93" s="62"/>
      <c r="G93" s="62"/>
      <c r="H93" s="62"/>
      <c r="I93" s="62"/>
      <c r="J93" s="62"/>
      <c r="K93" s="62"/>
      <c r="L93" s="62"/>
      <c r="M93" s="56" t="str">
        <f aca="false">IF(AND('🔄 Topic Pool'!P27&lt;&gt;"✅ Done",'🔄 Topic Pool'!M27="✅ YES",NOT(A460=2),NOT(AND(A460=1,OR('🔄 Topic Pool'!P27="❌ Missed",'🔄 Topic Pool'!P27="🔄 Partial"))),IF($C$14="Option 1 — Same Month Only",'🔄 Topic Pool'!B27=$B$400,OR(AND('🔄 Topic Pool'!B27=$B$400,ROUND(('🔄 Topic Pool'!A27-1)/7,0)=$A$400),AND('🔄 Topic Pool'!B27=$B$400,ROUND(('🔄 Topic Pool'!A27-1)/7,0)=$A$400+1)))),'🔄 Topic Pool'!E27,"—")</f>
        <v>—</v>
      </c>
      <c r="N93" s="56"/>
      <c r="O93" s="40" t="str">
        <f aca="false">IF(AND('🔄 Topic Pool'!P27&lt;&gt;"✅ Done",'🔄 Topic Pool'!M27="✅ YES",NOT(A460=2),NOT(AND(A460=1,OR('🔄 Topic Pool'!P27="❌ Missed",'🔄 Topic Pool'!P27="🔄 Partial"))),IF($C$14="Option 1 — Same Month Only",'🔄 Topic Pool'!B27=$B$400,OR(AND('🔄 Topic Pool'!B27=$B$400,ROUND(('🔄 Topic Pool'!A27-1)/7,0)=$A$400),AND('🔄 Topic Pool'!B27=$B$400,ROUND(('🔄 Topic Pool'!A27-1)/7,0)=$A$400+1)))),'🔄 Topic Pool'!G27,"—")</f>
        <v>—</v>
      </c>
      <c r="P93" s="63" t="str">
        <f aca="false">IF(AND('🔄 Topic Pool'!P27&lt;&gt;"✅ Done",'🔄 Topic Pool'!M27="✅ YES",NOT(A460=2),NOT(AND(A460=1,OR('🔄 Topic Pool'!P27="❌ Missed",'🔄 Topic Pool'!P27="🔄 Partial"))),IF($C$14="Option 1 — Same Month Only",'🔄 Topic Pool'!B27=$B$400,OR(AND('🔄 Topic Pool'!B27=$B$400,ROUND(('🔄 Topic Pool'!A27-1)/7,0)=$A$400),AND('🔄 Topic Pool'!B27=$B$400,ROUND(('🔄 Topic Pool'!A27-1)/7,0)=$A$400+1)))),'🔄 Topic Pool'!J27,"—")</f>
        <v>—</v>
      </c>
      <c r="Q93" s="63"/>
      <c r="R93" s="58" t="str">
        <f aca="false">IF(AND('🔄 Topic Pool'!P27&lt;&gt;"✅ Done",'🔄 Topic Pool'!M27="✅ YES",NOT(A460=2),NOT(AND(A460=1,OR('🔄 Topic Pool'!P27="❌ Missed",'🔄 Topic Pool'!P27="🔄 Partial"))),IF($C$14="Option 1 — Same Month Only",'🔄 Topic Pool'!B27=$B$400,OR(AND('🔄 Topic Pool'!B27=$B$400,ROUND(('🔄 Topic Pool'!A27-1)/7,0)=$A$400),AND('🔄 Topic Pool'!B27=$B$400,ROUND(('🔄 Topic Pool'!A27-1)/7,0)=$A$400+1)))),COUNTIF('📋 Swap History'!$F$4:$F$200,'🔄 Topic Pool'!D27),"—")</f>
        <v>—</v>
      </c>
      <c r="S93" s="64" t="str">
        <f aca="false">IF(NOT(AND('🔄 Topic Pool'!P27&lt;&gt;"✅ Done",'🔄 Topic Pool'!M27="✅ YES",NOT(A460=2),NOT(AND(A460=1,OR('🔄 Topic Pool'!P27="❌ Missed",'🔄 Topic Pool'!P27="🔄 Partial"))),IF($C$14="Option 1 — Same Month Only",'🔄 Topic Pool'!B27=$B$400,OR(AND('🔄 Topic Pool'!B27=$B$400,ROUND(('🔄 Topic Pool'!A27-1)/7,0)=$A$400),AND('🔄 Topic Pool'!B27=$B$400,ROUND(('🔄 Topic Pool'!A27-1)/7,0)=$A$400+1))))),"🔒",IF('🔄 Topic Pool'!M27="🔒 NO","🔒",IF(COUNTIF('📋 Swap History'!$F$4:$F$200,'🔄 Topic Pool'!D27)&gt;=$C$8,"🔒","✅")))</f>
        <v>🔒</v>
      </c>
      <c r="T93" s="64"/>
      <c r="U93" s="65" t="str">
        <f aca="false">IF(AND('🔄 Topic Pool'!P27&lt;&gt;"✅ Done",'🔄 Topic Pool'!M27="✅ YES",NOT(A460=2),NOT(AND(A460=1,OR('🔄 Topic Pool'!P27="❌ Missed",'🔄 Topic Pool'!P27="🔄 Partial"))),IF($C$14="Option 1 — Same Month Only",'🔄 Topic Pool'!B27=$B$400,OR(AND('🔄 Topic Pool'!B27=$B$400,ROUND(('🔄 Topic Pool'!A27-1)/7,0)=$A$400),AND('🔄 Topic Pool'!B27=$B$400,ROUND(('🔄 Topic Pool'!A27-1)/7,0)=$A$400+1)))),'🔄 Topic Pool'!J27&amp;" — Seq "&amp;'🔄 Topic Pool'!C27&amp;" in month","—")</f>
        <v>—</v>
      </c>
      <c r="V93" s="65"/>
    </row>
    <row r="94" customFormat="false" ht="18" hidden="false" customHeight="true" outlineLevel="0" collapsed="false">
      <c r="B94" s="54" t="str">
        <f aca="false">IF(AND('🔄 Topic Pool'!P28&lt;&gt;"✅ Done",'🔄 Topic Pool'!M28="✅ YES",NOT(A460=2),NOT(AND(A460=1,OR('🔄 Topic Pool'!P28="❌ Missed",'🔄 Topic Pool'!P28="🔄 Partial"))),IF($C$14="Option 1 — Same Month Only",'🔄 Topic Pool'!B28=$B$400,OR(AND('🔄 Topic Pool'!B28=$B$400,ROUND(('🔄 Topic Pool'!A28-1)/7,0)=$A$400),AND('🔄 Topic Pool'!B28=$B$400,ROUND(('🔄 Topic Pool'!A28-1)/7,0)=$A$400+1)))),'🔄 Topic Pool'!A28,"—")</f>
        <v>—</v>
      </c>
      <c r="C94" s="55" t="str">
        <f aca="false">IF(AND('🔄 Topic Pool'!P28&lt;&gt;"✅ Done",'🔄 Topic Pool'!M28="✅ YES",NOT(A460=2),NOT(AND(A460=1,OR('🔄 Topic Pool'!P28="❌ Missed",'🔄 Topic Pool'!P28="🔄 Partial"))),IF($C$14="Option 1 — Same Month Only",'🔄 Topic Pool'!B28=$B$400,OR(AND('🔄 Topic Pool'!B28=$B$400,ROUND(('🔄 Topic Pool'!A28-1)/7,0)=$A$400),AND('🔄 Topic Pool'!B28=$B$400,ROUND(('🔄 Topic Pool'!A28-1)/7,0)=$A$400+1)))),'🔄 Topic Pool'!D28,"—")</f>
        <v>—</v>
      </c>
      <c r="D94" s="55"/>
      <c r="E94" s="55"/>
      <c r="F94" s="55"/>
      <c r="G94" s="55"/>
      <c r="H94" s="55"/>
      <c r="I94" s="55"/>
      <c r="J94" s="55"/>
      <c r="K94" s="55"/>
      <c r="L94" s="55"/>
      <c r="M94" s="56" t="str">
        <f aca="false">IF(AND('🔄 Topic Pool'!P28&lt;&gt;"✅ Done",'🔄 Topic Pool'!M28="✅ YES",NOT(A460=2),NOT(AND(A460=1,OR('🔄 Topic Pool'!P28="❌ Missed",'🔄 Topic Pool'!P28="🔄 Partial"))),IF($C$14="Option 1 — Same Month Only",'🔄 Topic Pool'!B28=$B$400,OR(AND('🔄 Topic Pool'!B28=$B$400,ROUND(('🔄 Topic Pool'!A28-1)/7,0)=$A$400),AND('🔄 Topic Pool'!B28=$B$400,ROUND(('🔄 Topic Pool'!A28-1)/7,0)=$A$400+1)))),'🔄 Topic Pool'!E28,"—")</f>
        <v>—</v>
      </c>
      <c r="N94" s="56"/>
      <c r="O94" s="40" t="str">
        <f aca="false">IF(AND('🔄 Topic Pool'!P28&lt;&gt;"✅ Done",'🔄 Topic Pool'!M28="✅ YES",NOT(A460=2),NOT(AND(A460=1,OR('🔄 Topic Pool'!P28="❌ Missed",'🔄 Topic Pool'!P28="🔄 Partial"))),IF($C$14="Option 1 — Same Month Only",'🔄 Topic Pool'!B28=$B$400,OR(AND('🔄 Topic Pool'!B28=$B$400,ROUND(('🔄 Topic Pool'!A28-1)/7,0)=$A$400),AND('🔄 Topic Pool'!B28=$B$400,ROUND(('🔄 Topic Pool'!A28-1)/7,0)=$A$400+1)))),'🔄 Topic Pool'!G28,"—")</f>
        <v>—</v>
      </c>
      <c r="P94" s="57" t="str">
        <f aca="false">IF(AND('🔄 Topic Pool'!P28&lt;&gt;"✅ Done",'🔄 Topic Pool'!M28="✅ YES",NOT(A460=2),NOT(AND(A460=1,OR('🔄 Topic Pool'!P28="❌ Missed",'🔄 Topic Pool'!P28="🔄 Partial"))),IF($C$14="Option 1 — Same Month Only",'🔄 Topic Pool'!B28=$B$400,OR(AND('🔄 Topic Pool'!B28=$B$400,ROUND(('🔄 Topic Pool'!A28-1)/7,0)=$A$400),AND('🔄 Topic Pool'!B28=$B$400,ROUND(('🔄 Topic Pool'!A28-1)/7,0)=$A$400+1)))),'🔄 Topic Pool'!J28,"—")</f>
        <v>—</v>
      </c>
      <c r="Q94" s="57"/>
      <c r="R94" s="58" t="str">
        <f aca="false">IF(AND('🔄 Topic Pool'!P28&lt;&gt;"✅ Done",'🔄 Topic Pool'!M28="✅ YES",NOT(A460=2),NOT(AND(A460=1,OR('🔄 Topic Pool'!P28="❌ Missed",'🔄 Topic Pool'!P28="🔄 Partial"))),IF($C$14="Option 1 — Same Month Only",'🔄 Topic Pool'!B28=$B$400,OR(AND('🔄 Topic Pool'!B28=$B$400,ROUND(('🔄 Topic Pool'!A28-1)/7,0)=$A$400),AND('🔄 Topic Pool'!B28=$B$400,ROUND(('🔄 Topic Pool'!A28-1)/7,0)=$A$400+1)))),COUNTIF('📋 Swap History'!$F$4:$F$200,'🔄 Topic Pool'!D28),"—")</f>
        <v>—</v>
      </c>
      <c r="S94" s="59" t="str">
        <f aca="false">IF(NOT(AND('🔄 Topic Pool'!P28&lt;&gt;"✅ Done",'🔄 Topic Pool'!M28="✅ YES",NOT(A460=2),NOT(AND(A460=1,OR('🔄 Topic Pool'!P28="❌ Missed",'🔄 Topic Pool'!P28="🔄 Partial"))),IF($C$14="Option 1 — Same Month Only",'🔄 Topic Pool'!B28=$B$400,OR(AND('🔄 Topic Pool'!B28=$B$400,ROUND(('🔄 Topic Pool'!A28-1)/7,0)=$A$400),AND('🔄 Topic Pool'!B28=$B$400,ROUND(('🔄 Topic Pool'!A28-1)/7,0)=$A$400+1))))),"🔒",IF('🔄 Topic Pool'!M28="🔒 NO","🔒",IF(COUNTIF('📋 Swap History'!$F$4:$F$200,'🔄 Topic Pool'!D28)&gt;=$C$8,"🔒","✅")))</f>
        <v>🔒</v>
      </c>
      <c r="T94" s="59"/>
      <c r="U94" s="60" t="str">
        <f aca="false">IF(AND('🔄 Topic Pool'!P28&lt;&gt;"✅ Done",'🔄 Topic Pool'!M28="✅ YES",NOT(A460=2),NOT(AND(A460=1,OR('🔄 Topic Pool'!P28="❌ Missed",'🔄 Topic Pool'!P28="🔄 Partial"))),IF($C$14="Option 1 — Same Month Only",'🔄 Topic Pool'!B28=$B$400,OR(AND('🔄 Topic Pool'!B28=$B$400,ROUND(('🔄 Topic Pool'!A28-1)/7,0)=$A$400),AND('🔄 Topic Pool'!B28=$B$400,ROUND(('🔄 Topic Pool'!A28-1)/7,0)=$A$400+1)))),'🔄 Topic Pool'!J28&amp;" — Seq "&amp;'🔄 Topic Pool'!C28&amp;" in month","—")</f>
        <v>—</v>
      </c>
      <c r="V94" s="60"/>
    </row>
    <row r="95" customFormat="false" ht="18" hidden="false" customHeight="true" outlineLevel="0" collapsed="false">
      <c r="B95" s="61" t="str">
        <f aca="false">IF(AND('🔄 Topic Pool'!P30&lt;&gt;"✅ Done",'🔄 Topic Pool'!M30="✅ YES",NOT(A460=2),NOT(AND(A460=1,OR('🔄 Topic Pool'!P30="❌ Missed",'🔄 Topic Pool'!P30="🔄 Partial"))),IF($C$14="Option 1 — Same Month Only",'🔄 Topic Pool'!B30=$B$400,OR(AND('🔄 Topic Pool'!B30=$B$400,ROUND(('🔄 Topic Pool'!A30-1)/7,0)=$A$400),AND('🔄 Topic Pool'!B30=$B$400,ROUND(('🔄 Topic Pool'!A30-1)/7,0)=$A$400+1)))),'🔄 Topic Pool'!A30,"—")</f>
        <v>—</v>
      </c>
      <c r="C95" s="62" t="str">
        <f aca="false">IF(AND('🔄 Topic Pool'!P30&lt;&gt;"✅ Done",'🔄 Topic Pool'!M30="✅ YES",NOT(A460=2),NOT(AND(A460=1,OR('🔄 Topic Pool'!P30="❌ Missed",'🔄 Topic Pool'!P30="🔄 Partial"))),IF($C$14="Option 1 — Same Month Only",'🔄 Topic Pool'!B30=$B$400,OR(AND('🔄 Topic Pool'!B30=$B$400,ROUND(('🔄 Topic Pool'!A30-1)/7,0)=$A$400),AND('🔄 Topic Pool'!B30=$B$400,ROUND(('🔄 Topic Pool'!A30-1)/7,0)=$A$400+1)))),'🔄 Topic Pool'!D30,"—")</f>
        <v>—</v>
      </c>
      <c r="D95" s="62"/>
      <c r="E95" s="62"/>
      <c r="F95" s="62"/>
      <c r="G95" s="62"/>
      <c r="H95" s="62"/>
      <c r="I95" s="62"/>
      <c r="J95" s="62"/>
      <c r="K95" s="62"/>
      <c r="L95" s="62"/>
      <c r="M95" s="56" t="str">
        <f aca="false">IF(AND('🔄 Topic Pool'!P30&lt;&gt;"✅ Done",'🔄 Topic Pool'!M30="✅ YES",NOT(A460=2),NOT(AND(A460=1,OR('🔄 Topic Pool'!P30="❌ Missed",'🔄 Topic Pool'!P30="🔄 Partial"))),IF($C$14="Option 1 — Same Month Only",'🔄 Topic Pool'!B30=$B$400,OR(AND('🔄 Topic Pool'!B30=$B$400,ROUND(('🔄 Topic Pool'!A30-1)/7,0)=$A$400),AND('🔄 Topic Pool'!B30=$B$400,ROUND(('🔄 Topic Pool'!A30-1)/7,0)=$A$400+1)))),'🔄 Topic Pool'!E30,"—")</f>
        <v>—</v>
      </c>
      <c r="N95" s="56"/>
      <c r="O95" s="40" t="str">
        <f aca="false">IF(AND('🔄 Topic Pool'!P30&lt;&gt;"✅ Done",'🔄 Topic Pool'!M30="✅ YES",NOT(A460=2),NOT(AND(A460=1,OR('🔄 Topic Pool'!P30="❌ Missed",'🔄 Topic Pool'!P30="🔄 Partial"))),IF($C$14="Option 1 — Same Month Only",'🔄 Topic Pool'!B30=$B$400,OR(AND('🔄 Topic Pool'!B30=$B$400,ROUND(('🔄 Topic Pool'!A30-1)/7,0)=$A$400),AND('🔄 Topic Pool'!B30=$B$400,ROUND(('🔄 Topic Pool'!A30-1)/7,0)=$A$400+1)))),'🔄 Topic Pool'!G30,"—")</f>
        <v>—</v>
      </c>
      <c r="P95" s="63" t="str">
        <f aca="false">IF(AND('🔄 Topic Pool'!P30&lt;&gt;"✅ Done",'🔄 Topic Pool'!M30="✅ YES",NOT(A460=2),NOT(AND(A460=1,OR('🔄 Topic Pool'!P30="❌ Missed",'🔄 Topic Pool'!P30="🔄 Partial"))),IF($C$14="Option 1 — Same Month Only",'🔄 Topic Pool'!B30=$B$400,OR(AND('🔄 Topic Pool'!B30=$B$400,ROUND(('🔄 Topic Pool'!A30-1)/7,0)=$A$400),AND('🔄 Topic Pool'!B30=$B$400,ROUND(('🔄 Topic Pool'!A30-1)/7,0)=$A$400+1)))),'🔄 Topic Pool'!J30,"—")</f>
        <v>—</v>
      </c>
      <c r="Q95" s="63"/>
      <c r="R95" s="58" t="str">
        <f aca="false">IF(AND('🔄 Topic Pool'!P30&lt;&gt;"✅ Done",'🔄 Topic Pool'!M30="✅ YES",NOT(A460=2),NOT(AND(A460=1,OR('🔄 Topic Pool'!P30="❌ Missed",'🔄 Topic Pool'!P30="🔄 Partial"))),IF($C$14="Option 1 — Same Month Only",'🔄 Topic Pool'!B30=$B$400,OR(AND('🔄 Topic Pool'!B30=$B$400,ROUND(('🔄 Topic Pool'!A30-1)/7,0)=$A$400),AND('🔄 Topic Pool'!B30=$B$400,ROUND(('🔄 Topic Pool'!A30-1)/7,0)=$A$400+1)))),COUNTIF('📋 Swap History'!$F$4:$F$200,'🔄 Topic Pool'!D30),"—")</f>
        <v>—</v>
      </c>
      <c r="S95" s="64" t="str">
        <f aca="false">IF(NOT(AND('🔄 Topic Pool'!P30&lt;&gt;"✅ Done",'🔄 Topic Pool'!M30="✅ YES",NOT(A460=2),NOT(AND(A460=1,OR('🔄 Topic Pool'!P30="❌ Missed",'🔄 Topic Pool'!P30="🔄 Partial"))),IF($C$14="Option 1 — Same Month Only",'🔄 Topic Pool'!B30=$B$400,OR(AND('🔄 Topic Pool'!B30=$B$400,ROUND(('🔄 Topic Pool'!A30-1)/7,0)=$A$400),AND('🔄 Topic Pool'!B30=$B$400,ROUND(('🔄 Topic Pool'!A30-1)/7,0)=$A$400+1))))),"🔒",IF('🔄 Topic Pool'!M30="🔒 NO","🔒",IF(COUNTIF('📋 Swap History'!$F$4:$F$200,'🔄 Topic Pool'!D30)&gt;=$C$8,"🔒","✅")))</f>
        <v>🔒</v>
      </c>
      <c r="T95" s="64"/>
      <c r="U95" s="65" t="str">
        <f aca="false">IF(AND('🔄 Topic Pool'!P30&lt;&gt;"✅ Done",'🔄 Topic Pool'!M30="✅ YES",NOT(A460=2),NOT(AND(A460=1,OR('🔄 Topic Pool'!P30="❌ Missed",'🔄 Topic Pool'!P30="🔄 Partial"))),IF($C$14="Option 1 — Same Month Only",'🔄 Topic Pool'!B30=$B$400,OR(AND('🔄 Topic Pool'!B30=$B$400,ROUND(('🔄 Topic Pool'!A30-1)/7,0)=$A$400),AND('🔄 Topic Pool'!B30=$B$400,ROUND(('🔄 Topic Pool'!A30-1)/7,0)=$A$400+1)))),'🔄 Topic Pool'!J30&amp;" — Seq "&amp;'🔄 Topic Pool'!C30&amp;" in month","—")</f>
        <v>—</v>
      </c>
      <c r="V95" s="65"/>
    </row>
    <row r="96" customFormat="false" ht="18" hidden="false" customHeight="true" outlineLevel="0" collapsed="false">
      <c r="B96" s="54" t="str">
        <f aca="false">IF(AND('🔄 Topic Pool'!P10&lt;&gt;"✅ Done",'🔄 Topic Pool'!M10="✅ YES",NOT(A460=2),NOT(AND(A460=1,OR('🔄 Topic Pool'!P10="❌ Missed",'🔄 Topic Pool'!P10="🔄 Partial"))),IF($C$14="Option 1 — Same Month Only",'🔄 Topic Pool'!B10=$B$400,OR(AND('🔄 Topic Pool'!B10=$B$400,ROUND(('🔄 Topic Pool'!A10-1)/7,0)=$A$400),AND('🔄 Topic Pool'!B10=$B$400,ROUND(('🔄 Topic Pool'!A10-1)/7,0)=$A$400+1)))),'🔄 Topic Pool'!A10,"—")</f>
        <v>—</v>
      </c>
      <c r="C96" s="55" t="str">
        <f aca="false">IF(AND('🔄 Topic Pool'!P10&lt;&gt;"✅ Done",'🔄 Topic Pool'!M10="✅ YES",NOT(A460=2),NOT(AND(A460=1,OR('🔄 Topic Pool'!P10="❌ Missed",'🔄 Topic Pool'!P10="🔄 Partial"))),IF($C$14="Option 1 — Same Month Only",'🔄 Topic Pool'!B10=$B$400,OR(AND('🔄 Topic Pool'!B10=$B$400,ROUND(('🔄 Topic Pool'!A10-1)/7,0)=$A$400),AND('🔄 Topic Pool'!B10=$B$400,ROUND(('🔄 Topic Pool'!A10-1)/7,0)=$A$400+1)))),'🔄 Topic Pool'!D10,"—")</f>
        <v>—</v>
      </c>
      <c r="D96" s="55"/>
      <c r="E96" s="55"/>
      <c r="F96" s="55"/>
      <c r="G96" s="55"/>
      <c r="H96" s="55"/>
      <c r="I96" s="55"/>
      <c r="J96" s="55"/>
      <c r="K96" s="55"/>
      <c r="L96" s="55"/>
      <c r="M96" s="56" t="str">
        <f aca="false">IF(AND('🔄 Topic Pool'!P10&lt;&gt;"✅ Done",'🔄 Topic Pool'!M10="✅ YES",NOT(A460=2),NOT(AND(A460=1,OR('🔄 Topic Pool'!P10="❌ Missed",'🔄 Topic Pool'!P10="🔄 Partial"))),IF($C$14="Option 1 — Same Month Only",'🔄 Topic Pool'!B10=$B$400,OR(AND('🔄 Topic Pool'!B10=$B$400,ROUND(('🔄 Topic Pool'!A10-1)/7,0)=$A$400),AND('🔄 Topic Pool'!B10=$B$400,ROUND(('🔄 Topic Pool'!A10-1)/7,0)=$A$400+1)))),'🔄 Topic Pool'!E10,"—")</f>
        <v>—</v>
      </c>
      <c r="N96" s="56"/>
      <c r="O96" s="40" t="str">
        <f aca="false">IF(AND('🔄 Topic Pool'!P10&lt;&gt;"✅ Done",'🔄 Topic Pool'!M10="✅ YES",NOT(A460=2),NOT(AND(A460=1,OR('🔄 Topic Pool'!P10="❌ Missed",'🔄 Topic Pool'!P10="🔄 Partial"))),IF($C$14="Option 1 — Same Month Only",'🔄 Topic Pool'!B10=$B$400,OR(AND('🔄 Topic Pool'!B10=$B$400,ROUND(('🔄 Topic Pool'!A10-1)/7,0)=$A$400),AND('🔄 Topic Pool'!B10=$B$400,ROUND(('🔄 Topic Pool'!A10-1)/7,0)=$A$400+1)))),'🔄 Topic Pool'!G10,"—")</f>
        <v>—</v>
      </c>
      <c r="P96" s="57" t="str">
        <f aca="false">IF(AND('🔄 Topic Pool'!P10&lt;&gt;"✅ Done",'🔄 Topic Pool'!M10="✅ YES",NOT(A460=2),NOT(AND(A460=1,OR('🔄 Topic Pool'!P10="❌ Missed",'🔄 Topic Pool'!P10="🔄 Partial"))),IF($C$14="Option 1 — Same Month Only",'🔄 Topic Pool'!B10=$B$400,OR(AND('🔄 Topic Pool'!B10=$B$400,ROUND(('🔄 Topic Pool'!A10-1)/7,0)=$A$400),AND('🔄 Topic Pool'!B10=$B$400,ROUND(('🔄 Topic Pool'!A10-1)/7,0)=$A$400+1)))),'🔄 Topic Pool'!J10,"—")</f>
        <v>—</v>
      </c>
      <c r="Q96" s="57"/>
      <c r="R96" s="58" t="str">
        <f aca="false">IF(AND('🔄 Topic Pool'!P10&lt;&gt;"✅ Done",'🔄 Topic Pool'!M10="✅ YES",NOT(A460=2),NOT(AND(A460=1,OR('🔄 Topic Pool'!P10="❌ Missed",'🔄 Topic Pool'!P10="🔄 Partial"))),IF($C$14="Option 1 — Same Month Only",'🔄 Topic Pool'!B10=$B$400,OR(AND('🔄 Topic Pool'!B10=$B$400,ROUND(('🔄 Topic Pool'!A10-1)/7,0)=$A$400),AND('🔄 Topic Pool'!B10=$B$400,ROUND(('🔄 Topic Pool'!A10-1)/7,0)=$A$400+1)))),COUNTIF('📋 Swap History'!$F$4:$F$200,'🔄 Topic Pool'!D10),"—")</f>
        <v>—</v>
      </c>
      <c r="S96" s="59" t="str">
        <f aca="false">IF(NOT(AND('🔄 Topic Pool'!P10&lt;&gt;"✅ Done",'🔄 Topic Pool'!M10="✅ YES",NOT(A460=2),NOT(AND(A460=1,OR('🔄 Topic Pool'!P10="❌ Missed",'🔄 Topic Pool'!P10="🔄 Partial"))),IF($C$14="Option 1 — Same Month Only",'🔄 Topic Pool'!B10=$B$400,OR(AND('🔄 Topic Pool'!B10=$B$400,ROUND(('🔄 Topic Pool'!A10-1)/7,0)=$A$400),AND('🔄 Topic Pool'!B10=$B$400,ROUND(('🔄 Topic Pool'!A10-1)/7,0)=$A$400+1))))),"🔒",IF('🔄 Topic Pool'!M10="🔒 NO","🔒",IF(COUNTIF('📋 Swap History'!$F$4:$F$200,'🔄 Topic Pool'!D10)&gt;=$C$8,"🔒","✅")))</f>
        <v>🔒</v>
      </c>
      <c r="T96" s="59"/>
      <c r="U96" s="60" t="str">
        <f aca="false">IF(AND('🔄 Topic Pool'!P10&lt;&gt;"✅ Done",'🔄 Topic Pool'!M10="✅ YES",NOT(A460=2),NOT(AND(A460=1,OR('🔄 Topic Pool'!P10="❌ Missed",'🔄 Topic Pool'!P10="🔄 Partial"))),IF($C$14="Option 1 — Same Month Only",'🔄 Topic Pool'!B10=$B$400,OR(AND('🔄 Topic Pool'!B10=$B$400,ROUND(('🔄 Topic Pool'!A10-1)/7,0)=$A$400),AND('🔄 Topic Pool'!B10=$B$400,ROUND(('🔄 Topic Pool'!A10-1)/7,0)=$A$400+1)))),'🔄 Topic Pool'!J10&amp;" — Seq "&amp;'🔄 Topic Pool'!C10&amp;" in month","—")</f>
        <v>—</v>
      </c>
      <c r="V96" s="60"/>
    </row>
    <row r="97" customFormat="false" ht="18" hidden="false" customHeight="true" outlineLevel="0" collapsed="false">
      <c r="B97" s="61" t="str">
        <f aca="false">IF(AND('🔄 Topic Pool'!P17&lt;&gt;"✅ Done",'🔄 Topic Pool'!M17="✅ YES",NOT(A460=2),NOT(AND(A460=1,OR('🔄 Topic Pool'!P17="❌ Missed",'🔄 Topic Pool'!P17="🔄 Partial"))),IF($C$14="Option 1 — Same Month Only",'🔄 Topic Pool'!B17=$B$400,OR(AND('🔄 Topic Pool'!B17=$B$400,ROUND(('🔄 Topic Pool'!A17-1)/7,0)=$A$400),AND('🔄 Topic Pool'!B17=$B$400,ROUND(('🔄 Topic Pool'!A17-1)/7,0)=$A$400+1)))),'🔄 Topic Pool'!A17,"—")</f>
        <v>—</v>
      </c>
      <c r="C97" s="62" t="str">
        <f aca="false">IF(AND('🔄 Topic Pool'!P17&lt;&gt;"✅ Done",'🔄 Topic Pool'!M17="✅ YES",NOT(A460=2),NOT(AND(A460=1,OR('🔄 Topic Pool'!P17="❌ Missed",'🔄 Topic Pool'!P17="🔄 Partial"))),IF($C$14="Option 1 — Same Month Only",'🔄 Topic Pool'!B17=$B$400,OR(AND('🔄 Topic Pool'!B17=$B$400,ROUND(('🔄 Topic Pool'!A17-1)/7,0)=$A$400),AND('🔄 Topic Pool'!B17=$B$400,ROUND(('🔄 Topic Pool'!A17-1)/7,0)=$A$400+1)))),'🔄 Topic Pool'!D17,"—")</f>
        <v>—</v>
      </c>
      <c r="D97" s="62"/>
      <c r="E97" s="62"/>
      <c r="F97" s="62"/>
      <c r="G97" s="62"/>
      <c r="H97" s="62"/>
      <c r="I97" s="62"/>
      <c r="J97" s="62"/>
      <c r="K97" s="62"/>
      <c r="L97" s="62"/>
      <c r="M97" s="56" t="str">
        <f aca="false">IF(AND('🔄 Topic Pool'!P17&lt;&gt;"✅ Done",'🔄 Topic Pool'!M17="✅ YES",NOT(A460=2),NOT(AND(A460=1,OR('🔄 Topic Pool'!P17="❌ Missed",'🔄 Topic Pool'!P17="🔄 Partial"))),IF($C$14="Option 1 — Same Month Only",'🔄 Topic Pool'!B17=$B$400,OR(AND('🔄 Topic Pool'!B17=$B$400,ROUND(('🔄 Topic Pool'!A17-1)/7,0)=$A$400),AND('🔄 Topic Pool'!B17=$B$400,ROUND(('🔄 Topic Pool'!A17-1)/7,0)=$A$400+1)))),'🔄 Topic Pool'!E17,"—")</f>
        <v>—</v>
      </c>
      <c r="N97" s="56"/>
      <c r="O97" s="40" t="str">
        <f aca="false">IF(AND('🔄 Topic Pool'!P17&lt;&gt;"✅ Done",'🔄 Topic Pool'!M17="✅ YES",NOT(A460=2),NOT(AND(A460=1,OR('🔄 Topic Pool'!P17="❌ Missed",'🔄 Topic Pool'!P17="🔄 Partial"))),IF($C$14="Option 1 — Same Month Only",'🔄 Topic Pool'!B17=$B$400,OR(AND('🔄 Topic Pool'!B17=$B$400,ROUND(('🔄 Topic Pool'!A17-1)/7,0)=$A$400),AND('🔄 Topic Pool'!B17=$B$400,ROUND(('🔄 Topic Pool'!A17-1)/7,0)=$A$400+1)))),'🔄 Topic Pool'!G17,"—")</f>
        <v>—</v>
      </c>
      <c r="P97" s="63" t="str">
        <f aca="false">IF(AND('🔄 Topic Pool'!P17&lt;&gt;"✅ Done",'🔄 Topic Pool'!M17="✅ YES",NOT(A460=2),NOT(AND(A460=1,OR('🔄 Topic Pool'!P17="❌ Missed",'🔄 Topic Pool'!P17="🔄 Partial"))),IF($C$14="Option 1 — Same Month Only",'🔄 Topic Pool'!B17=$B$400,OR(AND('🔄 Topic Pool'!B17=$B$400,ROUND(('🔄 Topic Pool'!A17-1)/7,0)=$A$400),AND('🔄 Topic Pool'!B17=$B$400,ROUND(('🔄 Topic Pool'!A17-1)/7,0)=$A$400+1)))),'🔄 Topic Pool'!J17,"—")</f>
        <v>—</v>
      </c>
      <c r="Q97" s="63"/>
      <c r="R97" s="58" t="str">
        <f aca="false">IF(AND('🔄 Topic Pool'!P17&lt;&gt;"✅ Done",'🔄 Topic Pool'!M17="✅ YES",NOT(A460=2),NOT(AND(A460=1,OR('🔄 Topic Pool'!P17="❌ Missed",'🔄 Topic Pool'!P17="🔄 Partial"))),IF($C$14="Option 1 — Same Month Only",'🔄 Topic Pool'!B17=$B$400,OR(AND('🔄 Topic Pool'!B17=$B$400,ROUND(('🔄 Topic Pool'!A17-1)/7,0)=$A$400),AND('🔄 Topic Pool'!B17=$B$400,ROUND(('🔄 Topic Pool'!A17-1)/7,0)=$A$400+1)))),COUNTIF('📋 Swap History'!$F$4:$F$200,'🔄 Topic Pool'!D17),"—")</f>
        <v>—</v>
      </c>
      <c r="S97" s="64" t="str">
        <f aca="false">IF(NOT(AND('🔄 Topic Pool'!P17&lt;&gt;"✅ Done",'🔄 Topic Pool'!M17="✅ YES",NOT(A460=2),NOT(AND(A460=1,OR('🔄 Topic Pool'!P17="❌ Missed",'🔄 Topic Pool'!P17="🔄 Partial"))),IF($C$14="Option 1 — Same Month Only",'🔄 Topic Pool'!B17=$B$400,OR(AND('🔄 Topic Pool'!B17=$B$400,ROUND(('🔄 Topic Pool'!A17-1)/7,0)=$A$400),AND('🔄 Topic Pool'!B17=$B$400,ROUND(('🔄 Topic Pool'!A17-1)/7,0)=$A$400+1))))),"🔒",IF('🔄 Topic Pool'!M17="🔒 NO","🔒",IF(COUNTIF('📋 Swap History'!$F$4:$F$200,'🔄 Topic Pool'!D17)&gt;=$C$8,"🔒","✅")))</f>
        <v>🔒</v>
      </c>
      <c r="T97" s="64"/>
      <c r="U97" s="65" t="str">
        <f aca="false">IF(AND('🔄 Topic Pool'!P17&lt;&gt;"✅ Done",'🔄 Topic Pool'!M17="✅ YES",NOT(A460=2),NOT(AND(A460=1,OR('🔄 Topic Pool'!P17="❌ Missed",'🔄 Topic Pool'!P17="🔄 Partial"))),IF($C$14="Option 1 — Same Month Only",'🔄 Topic Pool'!B17=$B$400,OR(AND('🔄 Topic Pool'!B17=$B$400,ROUND(('🔄 Topic Pool'!A17-1)/7,0)=$A$400),AND('🔄 Topic Pool'!B17=$B$400,ROUND(('🔄 Topic Pool'!A17-1)/7,0)=$A$400+1)))),'🔄 Topic Pool'!J17&amp;" — Seq "&amp;'🔄 Topic Pool'!C17&amp;" in month","—")</f>
        <v>—</v>
      </c>
      <c r="V97" s="65"/>
    </row>
    <row r="98" customFormat="false" ht="18" hidden="false" customHeight="true" outlineLevel="0" collapsed="false">
      <c r="B98" s="54" t="str">
        <f aca="false">IF(AND('🔄 Topic Pool'!P24&lt;&gt;"✅ Done",'🔄 Topic Pool'!M24="✅ YES",NOT(A460=2),NOT(AND(A460=1,OR('🔄 Topic Pool'!P24="❌ Missed",'🔄 Topic Pool'!P24="🔄 Partial"))),IF($C$14="Option 1 — Same Month Only",'🔄 Topic Pool'!B24=$B$400,OR(AND('🔄 Topic Pool'!B24=$B$400,ROUND(('🔄 Topic Pool'!A24-1)/7,0)=$A$400),AND('🔄 Topic Pool'!B24=$B$400,ROUND(('🔄 Topic Pool'!A24-1)/7,0)=$A$400+1)))),'🔄 Topic Pool'!A24,"—")</f>
        <v>—</v>
      </c>
      <c r="C98" s="55" t="str">
        <f aca="false">IF(AND('🔄 Topic Pool'!P24&lt;&gt;"✅ Done",'🔄 Topic Pool'!M24="✅ YES",NOT(A460=2),NOT(AND(A460=1,OR('🔄 Topic Pool'!P24="❌ Missed",'🔄 Topic Pool'!P24="🔄 Partial"))),IF($C$14="Option 1 — Same Month Only",'🔄 Topic Pool'!B24=$B$400,OR(AND('🔄 Topic Pool'!B24=$B$400,ROUND(('🔄 Topic Pool'!A24-1)/7,0)=$A$400),AND('🔄 Topic Pool'!B24=$B$400,ROUND(('🔄 Topic Pool'!A24-1)/7,0)=$A$400+1)))),'🔄 Topic Pool'!D24,"—")</f>
        <v>—</v>
      </c>
      <c r="D98" s="55"/>
      <c r="E98" s="55"/>
      <c r="F98" s="55"/>
      <c r="G98" s="55"/>
      <c r="H98" s="55"/>
      <c r="I98" s="55"/>
      <c r="J98" s="55"/>
      <c r="K98" s="55"/>
      <c r="L98" s="55"/>
      <c r="M98" s="56" t="str">
        <f aca="false">IF(AND('🔄 Topic Pool'!P24&lt;&gt;"✅ Done",'🔄 Topic Pool'!M24="✅ YES",NOT(A460=2),NOT(AND(A460=1,OR('🔄 Topic Pool'!P24="❌ Missed",'🔄 Topic Pool'!P24="🔄 Partial"))),IF($C$14="Option 1 — Same Month Only",'🔄 Topic Pool'!B24=$B$400,OR(AND('🔄 Topic Pool'!B24=$B$400,ROUND(('🔄 Topic Pool'!A24-1)/7,0)=$A$400),AND('🔄 Topic Pool'!B24=$B$400,ROUND(('🔄 Topic Pool'!A24-1)/7,0)=$A$400+1)))),'🔄 Topic Pool'!E24,"—")</f>
        <v>—</v>
      </c>
      <c r="N98" s="56"/>
      <c r="O98" s="40" t="str">
        <f aca="false">IF(AND('🔄 Topic Pool'!P24&lt;&gt;"✅ Done",'🔄 Topic Pool'!M24="✅ YES",NOT(A460=2),NOT(AND(A460=1,OR('🔄 Topic Pool'!P24="❌ Missed",'🔄 Topic Pool'!P24="🔄 Partial"))),IF($C$14="Option 1 — Same Month Only",'🔄 Topic Pool'!B24=$B$400,OR(AND('🔄 Topic Pool'!B24=$B$400,ROUND(('🔄 Topic Pool'!A24-1)/7,0)=$A$400),AND('🔄 Topic Pool'!B24=$B$400,ROUND(('🔄 Topic Pool'!A24-1)/7,0)=$A$400+1)))),'🔄 Topic Pool'!G24,"—")</f>
        <v>—</v>
      </c>
      <c r="P98" s="57" t="str">
        <f aca="false">IF(AND('🔄 Topic Pool'!P24&lt;&gt;"✅ Done",'🔄 Topic Pool'!M24="✅ YES",NOT(A460=2),NOT(AND(A460=1,OR('🔄 Topic Pool'!P24="❌ Missed",'🔄 Topic Pool'!P24="🔄 Partial"))),IF($C$14="Option 1 — Same Month Only",'🔄 Topic Pool'!B24=$B$400,OR(AND('🔄 Topic Pool'!B24=$B$400,ROUND(('🔄 Topic Pool'!A24-1)/7,0)=$A$400),AND('🔄 Topic Pool'!B24=$B$400,ROUND(('🔄 Topic Pool'!A24-1)/7,0)=$A$400+1)))),'🔄 Topic Pool'!J24,"—")</f>
        <v>—</v>
      </c>
      <c r="Q98" s="57"/>
      <c r="R98" s="58" t="str">
        <f aca="false">IF(AND('🔄 Topic Pool'!P24&lt;&gt;"✅ Done",'🔄 Topic Pool'!M24="✅ YES",NOT(A460=2),NOT(AND(A460=1,OR('🔄 Topic Pool'!P24="❌ Missed",'🔄 Topic Pool'!P24="🔄 Partial"))),IF($C$14="Option 1 — Same Month Only",'🔄 Topic Pool'!B24=$B$400,OR(AND('🔄 Topic Pool'!B24=$B$400,ROUND(('🔄 Topic Pool'!A24-1)/7,0)=$A$400),AND('🔄 Topic Pool'!B24=$B$400,ROUND(('🔄 Topic Pool'!A24-1)/7,0)=$A$400+1)))),COUNTIF('📋 Swap History'!$F$4:$F$200,'🔄 Topic Pool'!D24),"—")</f>
        <v>—</v>
      </c>
      <c r="S98" s="59" t="str">
        <f aca="false">IF(NOT(AND('🔄 Topic Pool'!P24&lt;&gt;"✅ Done",'🔄 Topic Pool'!M24="✅ YES",NOT(A460=2),NOT(AND(A460=1,OR('🔄 Topic Pool'!P24="❌ Missed",'🔄 Topic Pool'!P24="🔄 Partial"))),IF($C$14="Option 1 — Same Month Only",'🔄 Topic Pool'!B24=$B$400,OR(AND('🔄 Topic Pool'!B24=$B$400,ROUND(('🔄 Topic Pool'!A24-1)/7,0)=$A$400),AND('🔄 Topic Pool'!B24=$B$400,ROUND(('🔄 Topic Pool'!A24-1)/7,0)=$A$400+1))))),"🔒",IF('🔄 Topic Pool'!M24="🔒 NO","🔒",IF(COUNTIF('📋 Swap History'!$F$4:$F$200,'🔄 Topic Pool'!D24)&gt;=$C$8,"🔒","✅")))</f>
        <v>🔒</v>
      </c>
      <c r="T98" s="59"/>
      <c r="U98" s="60" t="str">
        <f aca="false">IF(AND('🔄 Topic Pool'!P24&lt;&gt;"✅ Done",'🔄 Topic Pool'!M24="✅ YES",NOT(A460=2),NOT(AND(A460=1,OR('🔄 Topic Pool'!P24="❌ Missed",'🔄 Topic Pool'!P24="🔄 Partial"))),IF($C$14="Option 1 — Same Month Only",'🔄 Topic Pool'!B24=$B$400,OR(AND('🔄 Topic Pool'!B24=$B$400,ROUND(('🔄 Topic Pool'!A24-1)/7,0)=$A$400),AND('🔄 Topic Pool'!B24=$B$400,ROUND(('🔄 Topic Pool'!A24-1)/7,0)=$A$400+1)))),'🔄 Topic Pool'!J24&amp;" — Seq "&amp;'🔄 Topic Pool'!C24&amp;" in month","—")</f>
        <v>—</v>
      </c>
      <c r="V98" s="60"/>
    </row>
    <row r="99" customFormat="false" ht="18" hidden="false" customHeight="true" outlineLevel="0" collapsed="false">
      <c r="B99" s="61" t="str">
        <f aca="false">IF(AND('🔄 Topic Pool'!P31&lt;&gt;"✅ Done",'🔄 Topic Pool'!M31="✅ YES",NOT(A460=2),NOT(AND(A460=1,OR('🔄 Topic Pool'!P31="❌ Missed",'🔄 Topic Pool'!P31="🔄 Partial"))),IF($C$14="Option 1 — Same Month Only",'🔄 Topic Pool'!B31=$B$400,OR(AND('🔄 Topic Pool'!B31=$B$400,ROUND(('🔄 Topic Pool'!A31-1)/7,0)=$A$400),AND('🔄 Topic Pool'!B31=$B$400,ROUND(('🔄 Topic Pool'!A31-1)/7,0)=$A$400+1)))),'🔄 Topic Pool'!A31,"—")</f>
        <v>—</v>
      </c>
      <c r="C99" s="62" t="str">
        <f aca="false">IF(AND('🔄 Topic Pool'!P31&lt;&gt;"✅ Done",'🔄 Topic Pool'!M31="✅ YES",NOT(A460=2),NOT(AND(A460=1,OR('🔄 Topic Pool'!P31="❌ Missed",'🔄 Topic Pool'!P31="🔄 Partial"))),IF($C$14="Option 1 — Same Month Only",'🔄 Topic Pool'!B31=$B$400,OR(AND('🔄 Topic Pool'!B31=$B$400,ROUND(('🔄 Topic Pool'!A31-1)/7,0)=$A$400),AND('🔄 Topic Pool'!B31=$B$400,ROUND(('🔄 Topic Pool'!A31-1)/7,0)=$A$400+1)))),'🔄 Topic Pool'!D31,"—")</f>
        <v>—</v>
      </c>
      <c r="D99" s="62"/>
      <c r="E99" s="62"/>
      <c r="F99" s="62"/>
      <c r="G99" s="62"/>
      <c r="H99" s="62"/>
      <c r="I99" s="62"/>
      <c r="J99" s="62"/>
      <c r="K99" s="62"/>
      <c r="L99" s="62"/>
      <c r="M99" s="56" t="str">
        <f aca="false">IF(AND('🔄 Topic Pool'!P31&lt;&gt;"✅ Done",'🔄 Topic Pool'!M31="✅ YES",NOT(A460=2),NOT(AND(A460=1,OR('🔄 Topic Pool'!P31="❌ Missed",'🔄 Topic Pool'!P31="🔄 Partial"))),IF($C$14="Option 1 — Same Month Only",'🔄 Topic Pool'!B31=$B$400,OR(AND('🔄 Topic Pool'!B31=$B$400,ROUND(('🔄 Topic Pool'!A31-1)/7,0)=$A$400),AND('🔄 Topic Pool'!B31=$B$400,ROUND(('🔄 Topic Pool'!A31-1)/7,0)=$A$400+1)))),'🔄 Topic Pool'!E31,"—")</f>
        <v>—</v>
      </c>
      <c r="N99" s="56"/>
      <c r="O99" s="40" t="str">
        <f aca="false">IF(AND('🔄 Topic Pool'!P31&lt;&gt;"✅ Done",'🔄 Topic Pool'!M31="✅ YES",NOT(A460=2),NOT(AND(A460=1,OR('🔄 Topic Pool'!P31="❌ Missed",'🔄 Topic Pool'!P31="🔄 Partial"))),IF($C$14="Option 1 — Same Month Only",'🔄 Topic Pool'!B31=$B$400,OR(AND('🔄 Topic Pool'!B31=$B$400,ROUND(('🔄 Topic Pool'!A31-1)/7,0)=$A$400),AND('🔄 Topic Pool'!B31=$B$400,ROUND(('🔄 Topic Pool'!A31-1)/7,0)=$A$400+1)))),'🔄 Topic Pool'!G31,"—")</f>
        <v>—</v>
      </c>
      <c r="P99" s="63" t="str">
        <f aca="false">IF(AND('🔄 Topic Pool'!P31&lt;&gt;"✅ Done",'🔄 Topic Pool'!M31="✅ YES",NOT(A460=2),NOT(AND(A460=1,OR('🔄 Topic Pool'!P31="❌ Missed",'🔄 Topic Pool'!P31="🔄 Partial"))),IF($C$14="Option 1 — Same Month Only",'🔄 Topic Pool'!B31=$B$400,OR(AND('🔄 Topic Pool'!B31=$B$400,ROUND(('🔄 Topic Pool'!A31-1)/7,0)=$A$400),AND('🔄 Topic Pool'!B31=$B$400,ROUND(('🔄 Topic Pool'!A31-1)/7,0)=$A$400+1)))),'🔄 Topic Pool'!J31,"—")</f>
        <v>—</v>
      </c>
      <c r="Q99" s="63"/>
      <c r="R99" s="58" t="str">
        <f aca="false">IF(AND('🔄 Topic Pool'!P31&lt;&gt;"✅ Done",'🔄 Topic Pool'!M31="✅ YES",NOT(A460=2),NOT(AND(A460=1,OR('🔄 Topic Pool'!P31="❌ Missed",'🔄 Topic Pool'!P31="🔄 Partial"))),IF($C$14="Option 1 — Same Month Only",'🔄 Topic Pool'!B31=$B$400,OR(AND('🔄 Topic Pool'!B31=$B$400,ROUND(('🔄 Topic Pool'!A31-1)/7,0)=$A$400),AND('🔄 Topic Pool'!B31=$B$400,ROUND(('🔄 Topic Pool'!A31-1)/7,0)=$A$400+1)))),COUNTIF('📋 Swap History'!$F$4:$F$200,'🔄 Topic Pool'!D31),"—")</f>
        <v>—</v>
      </c>
      <c r="S99" s="64" t="str">
        <f aca="false">IF(NOT(AND('🔄 Topic Pool'!P31&lt;&gt;"✅ Done",'🔄 Topic Pool'!M31="✅ YES",NOT(A460=2),NOT(AND(A460=1,OR('🔄 Topic Pool'!P31="❌ Missed",'🔄 Topic Pool'!P31="🔄 Partial"))),IF($C$14="Option 1 — Same Month Only",'🔄 Topic Pool'!B31=$B$400,OR(AND('🔄 Topic Pool'!B31=$B$400,ROUND(('🔄 Topic Pool'!A31-1)/7,0)=$A$400),AND('🔄 Topic Pool'!B31=$B$400,ROUND(('🔄 Topic Pool'!A31-1)/7,0)=$A$400+1))))),"🔒",IF('🔄 Topic Pool'!M31="🔒 NO","🔒",IF(COUNTIF('📋 Swap History'!$F$4:$F$200,'🔄 Topic Pool'!D31)&gt;=$C$8,"🔒","✅")))</f>
        <v>🔒</v>
      </c>
      <c r="T99" s="64"/>
      <c r="U99" s="65" t="str">
        <f aca="false">IF(AND('🔄 Topic Pool'!P31&lt;&gt;"✅ Done",'🔄 Topic Pool'!M31="✅ YES",NOT(A460=2),NOT(AND(A460=1,OR('🔄 Topic Pool'!P31="❌ Missed",'🔄 Topic Pool'!P31="🔄 Partial"))),IF($C$14="Option 1 — Same Month Only",'🔄 Topic Pool'!B31=$B$400,OR(AND('🔄 Topic Pool'!B31=$B$400,ROUND(('🔄 Topic Pool'!A31-1)/7,0)=$A$400),AND('🔄 Topic Pool'!B31=$B$400,ROUND(('🔄 Topic Pool'!A31-1)/7,0)=$A$400+1)))),'🔄 Topic Pool'!J31&amp;" — Seq "&amp;'🔄 Topic Pool'!C31&amp;" in month","—")</f>
        <v>—</v>
      </c>
      <c r="V99" s="65"/>
    </row>
    <row r="100" customFormat="false" ht="18" hidden="false" customHeight="true" outlineLevel="0" collapsed="false">
      <c r="B100" s="32" t="str">
        <f aca="false">IF(AND('🔄 Topic Pool'!P32&lt;&gt;"✅ Done",'🔄 Topic Pool'!M32="✅ YES",NOT(A460=2),NOT(AND(A460=1,OR('🔄 Topic Pool'!P32="❌ Missed",'🔄 Topic Pool'!P32="🔄 Partial"))),IF($C$14="Option 1 — Same Month Only",'🔄 Topic Pool'!B32=$B$400,OR(AND('🔄 Topic Pool'!B32=$B$400,ROUND(('🔄 Topic Pool'!A32-1)/7,0)=$A$400),AND('🔄 Topic Pool'!B32=$B$400,ROUND(('🔄 Topic Pool'!A32-1)/7,0)=$A$400+1)))),'🔄 Topic Pool'!A32,"—")</f>
        <v>—</v>
      </c>
      <c r="C100" s="66" t="str">
        <f aca="false">IF(AND('🔄 Topic Pool'!P32&lt;&gt;"✅ Done",'🔄 Topic Pool'!M32="✅ YES",NOT(A460=2),NOT(AND(A460=1,OR('🔄 Topic Pool'!P32="❌ Missed",'🔄 Topic Pool'!P32="🔄 Partial"))),IF($C$14="Option 1 — Same Month Only",'🔄 Topic Pool'!B32=$B$400,OR(AND('🔄 Topic Pool'!B32=$B$400,ROUND(('🔄 Topic Pool'!A32-1)/7,0)=$A$400),AND('🔄 Topic Pool'!B32=$B$400,ROUND(('🔄 Topic Pool'!A32-1)/7,0)=$A$400+1)))),'🔄 Topic Pool'!D32,"—")</f>
        <v>—</v>
      </c>
      <c r="D100" s="66"/>
      <c r="E100" s="66"/>
      <c r="F100" s="66"/>
      <c r="G100" s="66"/>
      <c r="H100" s="66"/>
      <c r="I100" s="66"/>
      <c r="J100" s="66"/>
      <c r="K100" s="66"/>
      <c r="L100" s="66"/>
      <c r="M100" s="67" t="str">
        <f aca="false">IF(AND('🔄 Topic Pool'!P32&lt;&gt;"✅ Done",'🔄 Topic Pool'!M32="✅ YES",NOT(A460=2),NOT(AND(A460=1,OR('🔄 Topic Pool'!P32="❌ Missed",'🔄 Topic Pool'!P32="🔄 Partial"))),IF($C$14="Option 1 — Same Month Only",'🔄 Topic Pool'!B32=$B$400,OR(AND('🔄 Topic Pool'!B32=$B$400,ROUND(('🔄 Topic Pool'!A32-1)/7,0)=$A$400),AND('🔄 Topic Pool'!B32=$B$400,ROUND(('🔄 Topic Pool'!A32-1)/7,0)=$A$400+1)))),'🔄 Topic Pool'!E32,"—")</f>
        <v>—</v>
      </c>
      <c r="N100" s="67"/>
      <c r="O100" s="40" t="str">
        <f aca="false">IF(AND('🔄 Topic Pool'!P32&lt;&gt;"✅ Done",'🔄 Topic Pool'!M32="✅ YES",NOT(A460=2),NOT(AND(A460=1,OR('🔄 Topic Pool'!P32="❌ Missed",'🔄 Topic Pool'!P32="🔄 Partial"))),IF($C$14="Option 1 — Same Month Only",'🔄 Topic Pool'!B32=$B$400,OR(AND('🔄 Topic Pool'!B32=$B$400,ROUND(('🔄 Topic Pool'!A32-1)/7,0)=$A$400),AND('🔄 Topic Pool'!B32=$B$400,ROUND(('🔄 Topic Pool'!A32-1)/7,0)=$A$400+1)))),'🔄 Topic Pool'!G32,"—")</f>
        <v>—</v>
      </c>
      <c r="P100" s="68" t="str">
        <f aca="false">IF(AND('🔄 Topic Pool'!P32&lt;&gt;"✅ Done",'🔄 Topic Pool'!M32="✅ YES",NOT(A460=2),NOT(AND(A460=1,OR('🔄 Topic Pool'!P32="❌ Missed",'🔄 Topic Pool'!P32="🔄 Partial"))),IF($C$14="Option 1 — Same Month Only",'🔄 Topic Pool'!B32=$B$400,OR(AND('🔄 Topic Pool'!B32=$B$400,ROUND(('🔄 Topic Pool'!A32-1)/7,0)=$A$400),AND('🔄 Topic Pool'!B32=$B$400,ROUND(('🔄 Topic Pool'!A32-1)/7,0)=$A$400+1)))),'🔄 Topic Pool'!J32,"—")</f>
        <v>—</v>
      </c>
      <c r="Q100" s="68"/>
      <c r="R100" s="58" t="str">
        <f aca="false">IF(AND('🔄 Topic Pool'!P32&lt;&gt;"✅ Done",'🔄 Topic Pool'!M32="✅ YES",NOT(A460=2),NOT(AND(A460=1,OR('🔄 Topic Pool'!P32="❌ Missed",'🔄 Topic Pool'!P32="🔄 Partial"))),IF($C$14="Option 1 — Same Month Only",'🔄 Topic Pool'!B32=$B$400,OR(AND('🔄 Topic Pool'!B32=$B$400,ROUND(('🔄 Topic Pool'!A32-1)/7,0)=$A$400),AND('🔄 Topic Pool'!B32=$B$400,ROUND(('🔄 Topic Pool'!A32-1)/7,0)=$A$400+1)))),COUNTIF('📋 Swap History'!$F$4:$F$200,'🔄 Topic Pool'!D32),"—")</f>
        <v>—</v>
      </c>
      <c r="S100" s="32" t="str">
        <f aca="false">IF(NOT(AND('🔄 Topic Pool'!P32&lt;&gt;"✅ Done",'🔄 Topic Pool'!M32="✅ YES",NOT(A460=2),NOT(AND(A460=1,OR('🔄 Topic Pool'!P32="❌ Missed",'🔄 Topic Pool'!P32="🔄 Partial"))),IF($C$14="Option 1 — Same Month Only",'🔄 Topic Pool'!B32=$B$400,OR(AND('🔄 Topic Pool'!B32=$B$400,ROUND(('🔄 Topic Pool'!A32-1)/7,0)=$A$400),AND('🔄 Topic Pool'!B32=$B$400,ROUND(('🔄 Topic Pool'!A32-1)/7,0)=$A$400+1))))),"🔒",IF('🔄 Topic Pool'!M32="🔒 NO","🔒",IF(COUNTIF('📋 Swap History'!$F$4:$F$200,'🔄 Topic Pool'!D32)&gt;=$C$8,"🔒","✅")))</f>
        <v>🔒</v>
      </c>
      <c r="T100" s="32"/>
      <c r="U100" s="69" t="str">
        <f aca="false">IF(AND('🔄 Topic Pool'!P32&lt;&gt;"✅ Done",'🔄 Topic Pool'!M32="✅ YES",NOT(A460=2),NOT(AND(A460=1,OR('🔄 Topic Pool'!P32="❌ Missed",'🔄 Topic Pool'!P32="🔄 Partial"))),IF($C$14="Option 1 — Same Month Only",'🔄 Topic Pool'!B32=$B$400,OR(AND('🔄 Topic Pool'!B32=$B$400,ROUND(('🔄 Topic Pool'!A32-1)/7,0)=$A$400),AND('🔄 Topic Pool'!B32=$B$400,ROUND(('🔄 Topic Pool'!A32-1)/7,0)=$A$400+1)))),'🔄 Topic Pool'!J32&amp;" — Seq "&amp;'🔄 Topic Pool'!C32&amp;" in month","—")</f>
        <v>—</v>
      </c>
      <c r="V100" s="69"/>
    </row>
    <row r="101" customFormat="false" ht="18" hidden="false" customHeight="true" outlineLevel="0" collapsed="false">
      <c r="B101" s="64" t="str">
        <f aca="false">IF(AND('🔄 Topic Pool'!P33&lt;&gt;"✅ Done",'🔄 Topic Pool'!M33="✅ YES",NOT(A460=2),NOT(AND(A460=1,OR('🔄 Topic Pool'!P33="❌ Missed",'🔄 Topic Pool'!P33="🔄 Partial"))),IF($C$14="Option 1 — Same Month Only",'🔄 Topic Pool'!B33=$B$400,OR(AND('🔄 Topic Pool'!B33=$B$400,ROUND(('🔄 Topic Pool'!A33-1)/7,0)=$A$400),AND('🔄 Topic Pool'!B33=$B$400,ROUND(('🔄 Topic Pool'!A33-1)/7,0)=$A$400+1)))),'🔄 Topic Pool'!A33,"—")</f>
        <v>—</v>
      </c>
      <c r="C101" s="62" t="str">
        <f aca="false">IF(AND('🔄 Topic Pool'!P33&lt;&gt;"✅ Done",'🔄 Topic Pool'!M33="✅ YES",NOT(A460=2),NOT(AND(A460=1,OR('🔄 Topic Pool'!P33="❌ Missed",'🔄 Topic Pool'!P33="🔄 Partial"))),IF($C$14="Option 1 — Same Month Only",'🔄 Topic Pool'!B33=$B$400,OR(AND('🔄 Topic Pool'!B33=$B$400,ROUND(('🔄 Topic Pool'!A33-1)/7,0)=$A$400),AND('🔄 Topic Pool'!B33=$B$400,ROUND(('🔄 Topic Pool'!A33-1)/7,0)=$A$400+1)))),'🔄 Topic Pool'!D33,"—")</f>
        <v>—</v>
      </c>
      <c r="D101" s="62"/>
      <c r="E101" s="62"/>
      <c r="F101" s="62"/>
      <c r="G101" s="62"/>
      <c r="H101" s="62"/>
      <c r="I101" s="62"/>
      <c r="J101" s="62"/>
      <c r="K101" s="62"/>
      <c r="L101" s="62"/>
      <c r="M101" s="67" t="str">
        <f aca="false">IF(AND('🔄 Topic Pool'!P33&lt;&gt;"✅ Done",'🔄 Topic Pool'!M33="✅ YES",NOT(A460=2),NOT(AND(A460=1,OR('🔄 Topic Pool'!P33="❌ Missed",'🔄 Topic Pool'!P33="🔄 Partial"))),IF($C$14="Option 1 — Same Month Only",'🔄 Topic Pool'!B33=$B$400,OR(AND('🔄 Topic Pool'!B33=$B$400,ROUND(('🔄 Topic Pool'!A33-1)/7,0)=$A$400),AND('🔄 Topic Pool'!B33=$B$400,ROUND(('🔄 Topic Pool'!A33-1)/7,0)=$A$400+1)))),'🔄 Topic Pool'!E33,"—")</f>
        <v>—</v>
      </c>
      <c r="N101" s="67"/>
      <c r="O101" s="40" t="str">
        <f aca="false">IF(AND('🔄 Topic Pool'!P33&lt;&gt;"✅ Done",'🔄 Topic Pool'!M33="✅ YES",NOT(A460=2),NOT(AND(A460=1,OR('🔄 Topic Pool'!P33="❌ Missed",'🔄 Topic Pool'!P33="🔄 Partial"))),IF($C$14="Option 1 — Same Month Only",'🔄 Topic Pool'!B33=$B$400,OR(AND('🔄 Topic Pool'!B33=$B$400,ROUND(('🔄 Topic Pool'!A33-1)/7,0)=$A$400),AND('🔄 Topic Pool'!B33=$B$400,ROUND(('🔄 Topic Pool'!A33-1)/7,0)=$A$400+1)))),'🔄 Topic Pool'!G33,"—")</f>
        <v>—</v>
      </c>
      <c r="P101" s="63" t="str">
        <f aca="false">IF(AND('🔄 Topic Pool'!P33&lt;&gt;"✅ Done",'🔄 Topic Pool'!M33="✅ YES",NOT(A460=2),NOT(AND(A460=1,OR('🔄 Topic Pool'!P33="❌ Missed",'🔄 Topic Pool'!P33="🔄 Partial"))),IF($C$14="Option 1 — Same Month Only",'🔄 Topic Pool'!B33=$B$400,OR(AND('🔄 Topic Pool'!B33=$B$400,ROUND(('🔄 Topic Pool'!A33-1)/7,0)=$A$400),AND('🔄 Topic Pool'!B33=$B$400,ROUND(('🔄 Topic Pool'!A33-1)/7,0)=$A$400+1)))),'🔄 Topic Pool'!J33,"—")</f>
        <v>—</v>
      </c>
      <c r="Q101" s="63"/>
      <c r="R101" s="58" t="str">
        <f aca="false">IF(AND('🔄 Topic Pool'!P33&lt;&gt;"✅ Done",'🔄 Topic Pool'!M33="✅ YES",NOT(A460=2),NOT(AND(A460=1,OR('🔄 Topic Pool'!P33="❌ Missed",'🔄 Topic Pool'!P33="🔄 Partial"))),IF($C$14="Option 1 — Same Month Only",'🔄 Topic Pool'!B33=$B$400,OR(AND('🔄 Topic Pool'!B33=$B$400,ROUND(('🔄 Topic Pool'!A33-1)/7,0)=$A$400),AND('🔄 Topic Pool'!B33=$B$400,ROUND(('🔄 Topic Pool'!A33-1)/7,0)=$A$400+1)))),COUNTIF('📋 Swap History'!$F$4:$F$200,'🔄 Topic Pool'!D33),"—")</f>
        <v>—</v>
      </c>
      <c r="S101" s="64" t="str">
        <f aca="false">IF(NOT(AND('🔄 Topic Pool'!P33&lt;&gt;"✅ Done",'🔄 Topic Pool'!M33="✅ YES",NOT(A460=2),NOT(AND(A460=1,OR('🔄 Topic Pool'!P33="❌ Missed",'🔄 Topic Pool'!P33="🔄 Partial"))),IF($C$14="Option 1 — Same Month Only",'🔄 Topic Pool'!B33=$B$400,OR(AND('🔄 Topic Pool'!B33=$B$400,ROUND(('🔄 Topic Pool'!A33-1)/7,0)=$A$400),AND('🔄 Topic Pool'!B33=$B$400,ROUND(('🔄 Topic Pool'!A33-1)/7,0)=$A$400+1))))),"🔒",IF('🔄 Topic Pool'!M33="🔒 NO","🔒",IF(COUNTIF('📋 Swap History'!$F$4:$F$200,'🔄 Topic Pool'!D33)&gt;=$C$8,"🔒","✅")))</f>
        <v>🔒</v>
      </c>
      <c r="T101" s="64"/>
      <c r="U101" s="65" t="str">
        <f aca="false">IF(AND('🔄 Topic Pool'!P33&lt;&gt;"✅ Done",'🔄 Topic Pool'!M33="✅ YES",NOT(A460=2),NOT(AND(A460=1,OR('🔄 Topic Pool'!P33="❌ Missed",'🔄 Topic Pool'!P33="🔄 Partial"))),IF($C$14="Option 1 — Same Month Only",'🔄 Topic Pool'!B33=$B$400,OR(AND('🔄 Topic Pool'!B33=$B$400,ROUND(('🔄 Topic Pool'!A33-1)/7,0)=$A$400),AND('🔄 Topic Pool'!B33=$B$400,ROUND(('🔄 Topic Pool'!A33-1)/7,0)=$A$400+1)))),'🔄 Topic Pool'!J33&amp;" — Seq "&amp;'🔄 Topic Pool'!C33&amp;" in month","—")</f>
        <v>—</v>
      </c>
      <c r="V101" s="65"/>
    </row>
    <row r="102" customFormat="false" ht="18" hidden="false" customHeight="true" outlineLevel="0" collapsed="false">
      <c r="B102" s="32" t="str">
        <f aca="false">IF(AND('🔄 Topic Pool'!P34&lt;&gt;"✅ Done",'🔄 Topic Pool'!M34="✅ YES",NOT(A460=2),NOT(AND(A460=1,OR('🔄 Topic Pool'!P34="❌ Missed",'🔄 Topic Pool'!P34="🔄 Partial"))),IF($C$14="Option 1 — Same Month Only",'🔄 Topic Pool'!B34=$B$400,OR(AND('🔄 Topic Pool'!B34=$B$400,ROUND(('🔄 Topic Pool'!A34-1)/7,0)=$A$400),AND('🔄 Topic Pool'!B34=$B$400,ROUND(('🔄 Topic Pool'!A34-1)/7,0)=$A$400+1)))),'🔄 Topic Pool'!A34,"—")</f>
        <v>—</v>
      </c>
      <c r="C102" s="66" t="str">
        <f aca="false">IF(AND('🔄 Topic Pool'!P34&lt;&gt;"✅ Done",'🔄 Topic Pool'!M34="✅ YES",NOT(A460=2),NOT(AND(A460=1,OR('🔄 Topic Pool'!P34="❌ Missed",'🔄 Topic Pool'!P34="🔄 Partial"))),IF($C$14="Option 1 — Same Month Only",'🔄 Topic Pool'!B34=$B$400,OR(AND('🔄 Topic Pool'!B34=$B$400,ROUND(('🔄 Topic Pool'!A34-1)/7,0)=$A$400),AND('🔄 Topic Pool'!B34=$B$400,ROUND(('🔄 Topic Pool'!A34-1)/7,0)=$A$400+1)))),'🔄 Topic Pool'!D34,"—")</f>
        <v>—</v>
      </c>
      <c r="D102" s="66"/>
      <c r="E102" s="66"/>
      <c r="F102" s="66"/>
      <c r="G102" s="66"/>
      <c r="H102" s="66"/>
      <c r="I102" s="66"/>
      <c r="J102" s="66"/>
      <c r="K102" s="66"/>
      <c r="L102" s="66"/>
      <c r="M102" s="67" t="str">
        <f aca="false">IF(AND('🔄 Topic Pool'!P34&lt;&gt;"✅ Done",'🔄 Topic Pool'!M34="✅ YES",NOT(A460=2),NOT(AND(A460=1,OR('🔄 Topic Pool'!P34="❌ Missed",'🔄 Topic Pool'!P34="🔄 Partial"))),IF($C$14="Option 1 — Same Month Only",'🔄 Topic Pool'!B34=$B$400,OR(AND('🔄 Topic Pool'!B34=$B$400,ROUND(('🔄 Topic Pool'!A34-1)/7,0)=$A$400),AND('🔄 Topic Pool'!B34=$B$400,ROUND(('🔄 Topic Pool'!A34-1)/7,0)=$A$400+1)))),'🔄 Topic Pool'!E34,"—")</f>
        <v>—</v>
      </c>
      <c r="N102" s="67"/>
      <c r="O102" s="40" t="str">
        <f aca="false">IF(AND('🔄 Topic Pool'!P34&lt;&gt;"✅ Done",'🔄 Topic Pool'!M34="✅ YES",NOT(A460=2),NOT(AND(A460=1,OR('🔄 Topic Pool'!P34="❌ Missed",'🔄 Topic Pool'!P34="🔄 Partial"))),IF($C$14="Option 1 — Same Month Only",'🔄 Topic Pool'!B34=$B$400,OR(AND('🔄 Topic Pool'!B34=$B$400,ROUND(('🔄 Topic Pool'!A34-1)/7,0)=$A$400),AND('🔄 Topic Pool'!B34=$B$400,ROUND(('🔄 Topic Pool'!A34-1)/7,0)=$A$400+1)))),'🔄 Topic Pool'!G34,"—")</f>
        <v>—</v>
      </c>
      <c r="P102" s="68" t="str">
        <f aca="false">IF(AND('🔄 Topic Pool'!P34&lt;&gt;"✅ Done",'🔄 Topic Pool'!M34="✅ YES",NOT(A460=2),NOT(AND(A460=1,OR('🔄 Topic Pool'!P34="❌ Missed",'🔄 Topic Pool'!P34="🔄 Partial"))),IF($C$14="Option 1 — Same Month Only",'🔄 Topic Pool'!B34=$B$400,OR(AND('🔄 Topic Pool'!B34=$B$400,ROUND(('🔄 Topic Pool'!A34-1)/7,0)=$A$400),AND('🔄 Topic Pool'!B34=$B$400,ROUND(('🔄 Topic Pool'!A34-1)/7,0)=$A$400+1)))),'🔄 Topic Pool'!J34,"—")</f>
        <v>—</v>
      </c>
      <c r="Q102" s="68"/>
      <c r="R102" s="58" t="str">
        <f aca="false">IF(AND('🔄 Topic Pool'!P34&lt;&gt;"✅ Done",'🔄 Topic Pool'!M34="✅ YES",NOT(A460=2),NOT(AND(A460=1,OR('🔄 Topic Pool'!P34="❌ Missed",'🔄 Topic Pool'!P34="🔄 Partial"))),IF($C$14="Option 1 — Same Month Only",'🔄 Topic Pool'!B34=$B$400,OR(AND('🔄 Topic Pool'!B34=$B$400,ROUND(('🔄 Topic Pool'!A34-1)/7,0)=$A$400),AND('🔄 Topic Pool'!B34=$B$400,ROUND(('🔄 Topic Pool'!A34-1)/7,0)=$A$400+1)))),COUNTIF('📋 Swap History'!$F$4:$F$200,'🔄 Topic Pool'!D34),"—")</f>
        <v>—</v>
      </c>
      <c r="S102" s="32" t="str">
        <f aca="false">IF(NOT(AND('🔄 Topic Pool'!P34&lt;&gt;"✅ Done",'🔄 Topic Pool'!M34="✅ YES",NOT(A460=2),NOT(AND(A460=1,OR('🔄 Topic Pool'!P34="❌ Missed",'🔄 Topic Pool'!P34="🔄 Partial"))),IF($C$14="Option 1 — Same Month Only",'🔄 Topic Pool'!B34=$B$400,OR(AND('🔄 Topic Pool'!B34=$B$400,ROUND(('🔄 Topic Pool'!A34-1)/7,0)=$A$400),AND('🔄 Topic Pool'!B34=$B$400,ROUND(('🔄 Topic Pool'!A34-1)/7,0)=$A$400+1))))),"🔒",IF('🔄 Topic Pool'!M34="🔒 NO","🔒",IF(COUNTIF('📋 Swap History'!$F$4:$F$200,'🔄 Topic Pool'!D34)&gt;=$C$8,"🔒","✅")))</f>
        <v>🔒</v>
      </c>
      <c r="T102" s="32"/>
      <c r="U102" s="69" t="str">
        <f aca="false">IF(AND('🔄 Topic Pool'!P34&lt;&gt;"✅ Done",'🔄 Topic Pool'!M34="✅ YES",NOT(A460=2),NOT(AND(A460=1,OR('🔄 Topic Pool'!P34="❌ Missed",'🔄 Topic Pool'!P34="🔄 Partial"))),IF($C$14="Option 1 — Same Month Only",'🔄 Topic Pool'!B34=$B$400,OR(AND('🔄 Topic Pool'!B34=$B$400,ROUND(('🔄 Topic Pool'!A34-1)/7,0)=$A$400),AND('🔄 Topic Pool'!B34=$B$400,ROUND(('🔄 Topic Pool'!A34-1)/7,0)=$A$400+1)))),'🔄 Topic Pool'!J34&amp;" — Seq "&amp;'🔄 Topic Pool'!C34&amp;" in month","—")</f>
        <v>—</v>
      </c>
      <c r="V102" s="69"/>
    </row>
    <row r="103" customFormat="false" ht="18" hidden="false" customHeight="true" outlineLevel="0" collapsed="false">
      <c r="B103" s="64" t="str">
        <f aca="false">IF(AND('🔄 Topic Pool'!P35&lt;&gt;"✅ Done",'🔄 Topic Pool'!M35="✅ YES",NOT(A460=2),NOT(AND(A460=1,OR('🔄 Topic Pool'!P35="❌ Missed",'🔄 Topic Pool'!P35="🔄 Partial"))),IF($C$14="Option 1 — Same Month Only",'🔄 Topic Pool'!B35=$B$400,OR(AND('🔄 Topic Pool'!B35=$B$400,ROUND(('🔄 Topic Pool'!A35-1)/7,0)=$A$400),AND('🔄 Topic Pool'!B35=$B$400,ROUND(('🔄 Topic Pool'!A35-1)/7,0)=$A$400+1)))),'🔄 Topic Pool'!A35,"—")</f>
        <v>—</v>
      </c>
      <c r="C103" s="62" t="str">
        <f aca="false">IF(AND('🔄 Topic Pool'!P35&lt;&gt;"✅ Done",'🔄 Topic Pool'!M35="✅ YES",NOT(A460=2),NOT(AND(A460=1,OR('🔄 Topic Pool'!P35="❌ Missed",'🔄 Topic Pool'!P35="🔄 Partial"))),IF($C$14="Option 1 — Same Month Only",'🔄 Topic Pool'!B35=$B$400,OR(AND('🔄 Topic Pool'!B35=$B$400,ROUND(('🔄 Topic Pool'!A35-1)/7,0)=$A$400),AND('🔄 Topic Pool'!B35=$B$400,ROUND(('🔄 Topic Pool'!A35-1)/7,0)=$A$400+1)))),'🔄 Topic Pool'!D35,"—")</f>
        <v>—</v>
      </c>
      <c r="D103" s="62"/>
      <c r="E103" s="62"/>
      <c r="F103" s="62"/>
      <c r="G103" s="62"/>
      <c r="H103" s="62"/>
      <c r="I103" s="62"/>
      <c r="J103" s="62"/>
      <c r="K103" s="62"/>
      <c r="L103" s="62"/>
      <c r="M103" s="67" t="str">
        <f aca="false">IF(AND('🔄 Topic Pool'!P35&lt;&gt;"✅ Done",'🔄 Topic Pool'!M35="✅ YES",NOT(A460=2),NOT(AND(A460=1,OR('🔄 Topic Pool'!P35="❌ Missed",'🔄 Topic Pool'!P35="🔄 Partial"))),IF($C$14="Option 1 — Same Month Only",'🔄 Topic Pool'!B35=$B$400,OR(AND('🔄 Topic Pool'!B35=$B$400,ROUND(('🔄 Topic Pool'!A35-1)/7,0)=$A$400),AND('🔄 Topic Pool'!B35=$B$400,ROUND(('🔄 Topic Pool'!A35-1)/7,0)=$A$400+1)))),'🔄 Topic Pool'!E35,"—")</f>
        <v>—</v>
      </c>
      <c r="N103" s="67"/>
      <c r="O103" s="40" t="str">
        <f aca="false">IF(AND('🔄 Topic Pool'!P35&lt;&gt;"✅ Done",'🔄 Topic Pool'!M35="✅ YES",NOT(A460=2),NOT(AND(A460=1,OR('🔄 Topic Pool'!P35="❌ Missed",'🔄 Topic Pool'!P35="🔄 Partial"))),IF($C$14="Option 1 — Same Month Only",'🔄 Topic Pool'!B35=$B$400,OR(AND('🔄 Topic Pool'!B35=$B$400,ROUND(('🔄 Topic Pool'!A35-1)/7,0)=$A$400),AND('🔄 Topic Pool'!B35=$B$400,ROUND(('🔄 Topic Pool'!A35-1)/7,0)=$A$400+1)))),'🔄 Topic Pool'!G35,"—")</f>
        <v>—</v>
      </c>
      <c r="P103" s="63" t="str">
        <f aca="false">IF(AND('🔄 Topic Pool'!P35&lt;&gt;"✅ Done",'🔄 Topic Pool'!M35="✅ YES",NOT(A460=2),NOT(AND(A460=1,OR('🔄 Topic Pool'!P35="❌ Missed",'🔄 Topic Pool'!P35="🔄 Partial"))),IF($C$14="Option 1 — Same Month Only",'🔄 Topic Pool'!B35=$B$400,OR(AND('🔄 Topic Pool'!B35=$B$400,ROUND(('🔄 Topic Pool'!A35-1)/7,0)=$A$400),AND('🔄 Topic Pool'!B35=$B$400,ROUND(('🔄 Topic Pool'!A35-1)/7,0)=$A$400+1)))),'🔄 Topic Pool'!J35,"—")</f>
        <v>—</v>
      </c>
      <c r="Q103" s="63"/>
      <c r="R103" s="58" t="str">
        <f aca="false">IF(AND('🔄 Topic Pool'!P35&lt;&gt;"✅ Done",'🔄 Topic Pool'!M35="✅ YES",NOT(A460=2),NOT(AND(A460=1,OR('🔄 Topic Pool'!P35="❌ Missed",'🔄 Topic Pool'!P35="🔄 Partial"))),IF($C$14="Option 1 — Same Month Only",'🔄 Topic Pool'!B35=$B$400,OR(AND('🔄 Topic Pool'!B35=$B$400,ROUND(('🔄 Topic Pool'!A35-1)/7,0)=$A$400),AND('🔄 Topic Pool'!B35=$B$400,ROUND(('🔄 Topic Pool'!A35-1)/7,0)=$A$400+1)))),COUNTIF('📋 Swap History'!$F$4:$F$200,'🔄 Topic Pool'!D35),"—")</f>
        <v>—</v>
      </c>
      <c r="S103" s="64" t="str">
        <f aca="false">IF(NOT(AND('🔄 Topic Pool'!P35&lt;&gt;"✅ Done",'🔄 Topic Pool'!M35="✅ YES",NOT(A460=2),NOT(AND(A460=1,OR('🔄 Topic Pool'!P35="❌ Missed",'🔄 Topic Pool'!P35="🔄 Partial"))),IF($C$14="Option 1 — Same Month Only",'🔄 Topic Pool'!B35=$B$400,OR(AND('🔄 Topic Pool'!B35=$B$400,ROUND(('🔄 Topic Pool'!A35-1)/7,0)=$A$400),AND('🔄 Topic Pool'!B35=$B$400,ROUND(('🔄 Topic Pool'!A35-1)/7,0)=$A$400+1))))),"🔒",IF('🔄 Topic Pool'!M35="🔒 NO","🔒",IF(COUNTIF('📋 Swap History'!$F$4:$F$200,'🔄 Topic Pool'!D35)&gt;=$C$8,"🔒","✅")))</f>
        <v>🔒</v>
      </c>
      <c r="T103" s="64"/>
      <c r="U103" s="65" t="str">
        <f aca="false">IF(AND('🔄 Topic Pool'!P35&lt;&gt;"✅ Done",'🔄 Topic Pool'!M35="✅ YES",NOT(A460=2),NOT(AND(A460=1,OR('🔄 Topic Pool'!P35="❌ Missed",'🔄 Topic Pool'!P35="🔄 Partial"))),IF($C$14="Option 1 — Same Month Only",'🔄 Topic Pool'!B35=$B$400,OR(AND('🔄 Topic Pool'!B35=$B$400,ROUND(('🔄 Topic Pool'!A35-1)/7,0)=$A$400),AND('🔄 Topic Pool'!B35=$B$400,ROUND(('🔄 Topic Pool'!A35-1)/7,0)=$A$400+1)))),'🔄 Topic Pool'!J35&amp;" — Seq "&amp;'🔄 Topic Pool'!C35&amp;" in month","—")</f>
        <v>—</v>
      </c>
      <c r="V103" s="65"/>
    </row>
    <row r="104" customFormat="false" ht="18" hidden="false" customHeight="true" outlineLevel="0" collapsed="false">
      <c r="B104" s="32" t="str">
        <f aca="false">IF(AND('🔄 Topic Pool'!P37&lt;&gt;"✅ Done",'🔄 Topic Pool'!M37="✅ YES",NOT(A460=2),NOT(AND(A460=1,OR('🔄 Topic Pool'!P37="❌ Missed",'🔄 Topic Pool'!P37="🔄 Partial"))),IF($C$14="Option 1 — Same Month Only",'🔄 Topic Pool'!B37=$B$400,OR(AND('🔄 Topic Pool'!B37=$B$400,ROUND(('🔄 Topic Pool'!A37-1)/7,0)=$A$400),AND('🔄 Topic Pool'!B37=$B$400,ROUND(('🔄 Topic Pool'!A37-1)/7,0)=$A$400+1)))),'🔄 Topic Pool'!A37,"—")</f>
        <v>—</v>
      </c>
      <c r="C104" s="66" t="str">
        <f aca="false">IF(AND('🔄 Topic Pool'!P37&lt;&gt;"✅ Done",'🔄 Topic Pool'!M37="✅ YES",NOT(A460=2),NOT(AND(A460=1,OR('🔄 Topic Pool'!P37="❌ Missed",'🔄 Topic Pool'!P37="🔄 Partial"))),IF($C$14="Option 1 — Same Month Only",'🔄 Topic Pool'!B37=$B$400,OR(AND('🔄 Topic Pool'!B37=$B$400,ROUND(('🔄 Topic Pool'!A37-1)/7,0)=$A$400),AND('🔄 Topic Pool'!B37=$B$400,ROUND(('🔄 Topic Pool'!A37-1)/7,0)=$A$400+1)))),'🔄 Topic Pool'!D37,"—")</f>
        <v>—</v>
      </c>
      <c r="D104" s="66"/>
      <c r="E104" s="66"/>
      <c r="F104" s="66"/>
      <c r="G104" s="66"/>
      <c r="H104" s="66"/>
      <c r="I104" s="66"/>
      <c r="J104" s="66"/>
      <c r="K104" s="66"/>
      <c r="L104" s="66"/>
      <c r="M104" s="67" t="str">
        <f aca="false">IF(AND('🔄 Topic Pool'!P37&lt;&gt;"✅ Done",'🔄 Topic Pool'!M37="✅ YES",NOT(A460=2),NOT(AND(A460=1,OR('🔄 Topic Pool'!P37="❌ Missed",'🔄 Topic Pool'!P37="🔄 Partial"))),IF($C$14="Option 1 — Same Month Only",'🔄 Topic Pool'!B37=$B$400,OR(AND('🔄 Topic Pool'!B37=$B$400,ROUND(('🔄 Topic Pool'!A37-1)/7,0)=$A$400),AND('🔄 Topic Pool'!B37=$B$400,ROUND(('🔄 Topic Pool'!A37-1)/7,0)=$A$400+1)))),'🔄 Topic Pool'!E37,"—")</f>
        <v>—</v>
      </c>
      <c r="N104" s="67"/>
      <c r="O104" s="40" t="str">
        <f aca="false">IF(AND('🔄 Topic Pool'!P37&lt;&gt;"✅ Done",'🔄 Topic Pool'!M37="✅ YES",NOT(A460=2),NOT(AND(A460=1,OR('🔄 Topic Pool'!P37="❌ Missed",'🔄 Topic Pool'!P37="🔄 Partial"))),IF($C$14="Option 1 — Same Month Only",'🔄 Topic Pool'!B37=$B$400,OR(AND('🔄 Topic Pool'!B37=$B$400,ROUND(('🔄 Topic Pool'!A37-1)/7,0)=$A$400),AND('🔄 Topic Pool'!B37=$B$400,ROUND(('🔄 Topic Pool'!A37-1)/7,0)=$A$400+1)))),'🔄 Topic Pool'!G37,"—")</f>
        <v>—</v>
      </c>
      <c r="P104" s="68" t="str">
        <f aca="false">IF(AND('🔄 Topic Pool'!P37&lt;&gt;"✅ Done",'🔄 Topic Pool'!M37="✅ YES",NOT(A460=2),NOT(AND(A460=1,OR('🔄 Topic Pool'!P37="❌ Missed",'🔄 Topic Pool'!P37="🔄 Partial"))),IF($C$14="Option 1 — Same Month Only",'🔄 Topic Pool'!B37=$B$400,OR(AND('🔄 Topic Pool'!B37=$B$400,ROUND(('🔄 Topic Pool'!A37-1)/7,0)=$A$400),AND('🔄 Topic Pool'!B37=$B$400,ROUND(('🔄 Topic Pool'!A37-1)/7,0)=$A$400+1)))),'🔄 Topic Pool'!J37,"—")</f>
        <v>—</v>
      </c>
      <c r="Q104" s="68"/>
      <c r="R104" s="58" t="str">
        <f aca="false">IF(AND('🔄 Topic Pool'!P37&lt;&gt;"✅ Done",'🔄 Topic Pool'!M37="✅ YES",NOT(A460=2),NOT(AND(A460=1,OR('🔄 Topic Pool'!P37="❌ Missed",'🔄 Topic Pool'!P37="🔄 Partial"))),IF($C$14="Option 1 — Same Month Only",'🔄 Topic Pool'!B37=$B$400,OR(AND('🔄 Topic Pool'!B37=$B$400,ROUND(('🔄 Topic Pool'!A37-1)/7,0)=$A$400),AND('🔄 Topic Pool'!B37=$B$400,ROUND(('🔄 Topic Pool'!A37-1)/7,0)=$A$400+1)))),COUNTIF('📋 Swap History'!$F$4:$F$200,'🔄 Topic Pool'!D37),"—")</f>
        <v>—</v>
      </c>
      <c r="S104" s="32" t="str">
        <f aca="false">IF(NOT(AND('🔄 Topic Pool'!P37&lt;&gt;"✅ Done",'🔄 Topic Pool'!M37="✅ YES",NOT(A460=2),NOT(AND(A460=1,OR('🔄 Topic Pool'!P37="❌ Missed",'🔄 Topic Pool'!P37="🔄 Partial"))),IF($C$14="Option 1 — Same Month Only",'🔄 Topic Pool'!B37=$B$400,OR(AND('🔄 Topic Pool'!B37=$B$400,ROUND(('🔄 Topic Pool'!A37-1)/7,0)=$A$400),AND('🔄 Topic Pool'!B37=$B$400,ROUND(('🔄 Topic Pool'!A37-1)/7,0)=$A$400+1))))),"🔒",IF('🔄 Topic Pool'!M37="🔒 NO","🔒",IF(COUNTIF('📋 Swap History'!$F$4:$F$200,'🔄 Topic Pool'!D37)&gt;=$C$8,"🔒","✅")))</f>
        <v>🔒</v>
      </c>
      <c r="T104" s="32"/>
      <c r="U104" s="69" t="str">
        <f aca="false">IF(AND('🔄 Topic Pool'!P37&lt;&gt;"✅ Done",'🔄 Topic Pool'!M37="✅ YES",NOT(A460=2),NOT(AND(A460=1,OR('🔄 Topic Pool'!P37="❌ Missed",'🔄 Topic Pool'!P37="🔄 Partial"))),IF($C$14="Option 1 — Same Month Only",'🔄 Topic Pool'!B37=$B$400,OR(AND('🔄 Topic Pool'!B37=$B$400,ROUND(('🔄 Topic Pool'!A37-1)/7,0)=$A$400),AND('🔄 Topic Pool'!B37=$B$400,ROUND(('🔄 Topic Pool'!A37-1)/7,0)=$A$400+1)))),'🔄 Topic Pool'!J37&amp;" — Seq "&amp;'🔄 Topic Pool'!C37&amp;" in month","—")</f>
        <v>—</v>
      </c>
      <c r="V104" s="69"/>
    </row>
    <row r="105" customFormat="false" ht="18" hidden="false" customHeight="true" outlineLevel="0" collapsed="false">
      <c r="B105" s="64" t="str">
        <f aca="false">IF(AND('🔄 Topic Pool'!P39&lt;&gt;"✅ Done",'🔄 Topic Pool'!M39="✅ YES",NOT(A460=2),NOT(AND(A460=1,OR('🔄 Topic Pool'!P39="❌ Missed",'🔄 Topic Pool'!P39="🔄 Partial"))),IF($C$14="Option 1 — Same Month Only",'🔄 Topic Pool'!B39=$B$400,OR(AND('🔄 Topic Pool'!B39=$B$400,ROUND(('🔄 Topic Pool'!A39-1)/7,0)=$A$400),AND('🔄 Topic Pool'!B39=$B$400,ROUND(('🔄 Topic Pool'!A39-1)/7,0)=$A$400+1)))),'🔄 Topic Pool'!A39,"—")</f>
        <v>—</v>
      </c>
      <c r="C105" s="62" t="str">
        <f aca="false">IF(AND('🔄 Topic Pool'!P39&lt;&gt;"✅ Done",'🔄 Topic Pool'!M39="✅ YES",NOT(A460=2),NOT(AND(A460=1,OR('🔄 Topic Pool'!P39="❌ Missed",'🔄 Topic Pool'!P39="🔄 Partial"))),IF($C$14="Option 1 — Same Month Only",'🔄 Topic Pool'!B39=$B$400,OR(AND('🔄 Topic Pool'!B39=$B$400,ROUND(('🔄 Topic Pool'!A39-1)/7,0)=$A$400),AND('🔄 Topic Pool'!B39=$B$400,ROUND(('🔄 Topic Pool'!A39-1)/7,0)=$A$400+1)))),'🔄 Topic Pool'!D39,"—")</f>
        <v>—</v>
      </c>
      <c r="D105" s="62"/>
      <c r="E105" s="62"/>
      <c r="F105" s="62"/>
      <c r="G105" s="62"/>
      <c r="H105" s="62"/>
      <c r="I105" s="62"/>
      <c r="J105" s="62"/>
      <c r="K105" s="62"/>
      <c r="L105" s="62"/>
      <c r="M105" s="67" t="str">
        <f aca="false">IF(AND('🔄 Topic Pool'!P39&lt;&gt;"✅ Done",'🔄 Topic Pool'!M39="✅ YES",NOT(A460=2),NOT(AND(A460=1,OR('🔄 Topic Pool'!P39="❌ Missed",'🔄 Topic Pool'!P39="🔄 Partial"))),IF($C$14="Option 1 — Same Month Only",'🔄 Topic Pool'!B39=$B$400,OR(AND('🔄 Topic Pool'!B39=$B$400,ROUND(('🔄 Topic Pool'!A39-1)/7,0)=$A$400),AND('🔄 Topic Pool'!B39=$B$400,ROUND(('🔄 Topic Pool'!A39-1)/7,0)=$A$400+1)))),'🔄 Topic Pool'!E39,"—")</f>
        <v>—</v>
      </c>
      <c r="N105" s="67"/>
      <c r="O105" s="40" t="str">
        <f aca="false">IF(AND('🔄 Topic Pool'!P39&lt;&gt;"✅ Done",'🔄 Topic Pool'!M39="✅ YES",NOT(A460=2),NOT(AND(A460=1,OR('🔄 Topic Pool'!P39="❌ Missed",'🔄 Topic Pool'!P39="🔄 Partial"))),IF($C$14="Option 1 — Same Month Only",'🔄 Topic Pool'!B39=$B$400,OR(AND('🔄 Topic Pool'!B39=$B$400,ROUND(('🔄 Topic Pool'!A39-1)/7,0)=$A$400),AND('🔄 Topic Pool'!B39=$B$400,ROUND(('🔄 Topic Pool'!A39-1)/7,0)=$A$400+1)))),'🔄 Topic Pool'!G39,"—")</f>
        <v>—</v>
      </c>
      <c r="P105" s="63" t="str">
        <f aca="false">IF(AND('🔄 Topic Pool'!P39&lt;&gt;"✅ Done",'🔄 Topic Pool'!M39="✅ YES",NOT(A460=2),NOT(AND(A460=1,OR('🔄 Topic Pool'!P39="❌ Missed",'🔄 Topic Pool'!P39="🔄 Partial"))),IF($C$14="Option 1 — Same Month Only",'🔄 Topic Pool'!B39=$B$400,OR(AND('🔄 Topic Pool'!B39=$B$400,ROUND(('🔄 Topic Pool'!A39-1)/7,0)=$A$400),AND('🔄 Topic Pool'!B39=$B$400,ROUND(('🔄 Topic Pool'!A39-1)/7,0)=$A$400+1)))),'🔄 Topic Pool'!J39,"—")</f>
        <v>—</v>
      </c>
      <c r="Q105" s="63"/>
      <c r="R105" s="58" t="str">
        <f aca="false">IF(AND('🔄 Topic Pool'!P39&lt;&gt;"✅ Done",'🔄 Topic Pool'!M39="✅ YES",NOT(A460=2),NOT(AND(A460=1,OR('🔄 Topic Pool'!P39="❌ Missed",'🔄 Topic Pool'!P39="🔄 Partial"))),IF($C$14="Option 1 — Same Month Only",'🔄 Topic Pool'!B39=$B$400,OR(AND('🔄 Topic Pool'!B39=$B$400,ROUND(('🔄 Topic Pool'!A39-1)/7,0)=$A$400),AND('🔄 Topic Pool'!B39=$B$400,ROUND(('🔄 Topic Pool'!A39-1)/7,0)=$A$400+1)))),COUNTIF('📋 Swap History'!$F$4:$F$200,'🔄 Topic Pool'!D39),"—")</f>
        <v>—</v>
      </c>
      <c r="S105" s="64" t="str">
        <f aca="false">IF(NOT(AND('🔄 Topic Pool'!P39&lt;&gt;"✅ Done",'🔄 Topic Pool'!M39="✅ YES",NOT(A460=2),NOT(AND(A460=1,OR('🔄 Topic Pool'!P39="❌ Missed",'🔄 Topic Pool'!P39="🔄 Partial"))),IF($C$14="Option 1 — Same Month Only",'🔄 Topic Pool'!B39=$B$400,OR(AND('🔄 Topic Pool'!B39=$B$400,ROUND(('🔄 Topic Pool'!A39-1)/7,0)=$A$400),AND('🔄 Topic Pool'!B39=$B$400,ROUND(('🔄 Topic Pool'!A39-1)/7,0)=$A$400+1))))),"🔒",IF('🔄 Topic Pool'!M39="🔒 NO","🔒",IF(COUNTIF('📋 Swap History'!$F$4:$F$200,'🔄 Topic Pool'!D39)&gt;=$C$8,"🔒","✅")))</f>
        <v>🔒</v>
      </c>
      <c r="T105" s="64"/>
      <c r="U105" s="65" t="str">
        <f aca="false">IF(AND('🔄 Topic Pool'!P39&lt;&gt;"✅ Done",'🔄 Topic Pool'!M39="✅ YES",NOT(A460=2),NOT(AND(A460=1,OR('🔄 Topic Pool'!P39="❌ Missed",'🔄 Topic Pool'!P39="🔄 Partial"))),IF($C$14="Option 1 — Same Month Only",'🔄 Topic Pool'!B39=$B$400,OR(AND('🔄 Topic Pool'!B39=$B$400,ROUND(('🔄 Topic Pool'!A39-1)/7,0)=$A$400),AND('🔄 Topic Pool'!B39=$B$400,ROUND(('🔄 Topic Pool'!A39-1)/7,0)=$A$400+1)))),'🔄 Topic Pool'!J39&amp;" — Seq "&amp;'🔄 Topic Pool'!C39&amp;" in month","—")</f>
        <v>—</v>
      </c>
      <c r="V105" s="65"/>
    </row>
    <row r="106" customFormat="false" ht="18" hidden="false" customHeight="true" outlineLevel="0" collapsed="false">
      <c r="B106" s="32" t="str">
        <f aca="false">IF(AND('🔄 Topic Pool'!P40&lt;&gt;"✅ Done",'🔄 Topic Pool'!M40="✅ YES",NOT(A460=2),NOT(AND(A460=1,OR('🔄 Topic Pool'!P40="❌ Missed",'🔄 Topic Pool'!P40="🔄 Partial"))),IF($C$14="Option 1 — Same Month Only",'🔄 Topic Pool'!B40=$B$400,OR(AND('🔄 Topic Pool'!B40=$B$400,ROUND(('🔄 Topic Pool'!A40-1)/7,0)=$A$400),AND('🔄 Topic Pool'!B40=$B$400,ROUND(('🔄 Topic Pool'!A40-1)/7,0)=$A$400+1)))),'🔄 Topic Pool'!A40,"—")</f>
        <v>—</v>
      </c>
      <c r="C106" s="66" t="str">
        <f aca="false">IF(AND('🔄 Topic Pool'!P40&lt;&gt;"✅ Done",'🔄 Topic Pool'!M40="✅ YES",NOT(A460=2),NOT(AND(A460=1,OR('🔄 Topic Pool'!P40="❌ Missed",'🔄 Topic Pool'!P40="🔄 Partial"))),IF($C$14="Option 1 — Same Month Only",'🔄 Topic Pool'!B40=$B$400,OR(AND('🔄 Topic Pool'!B40=$B$400,ROUND(('🔄 Topic Pool'!A40-1)/7,0)=$A$400),AND('🔄 Topic Pool'!B40=$B$400,ROUND(('🔄 Topic Pool'!A40-1)/7,0)=$A$400+1)))),'🔄 Topic Pool'!D40,"—")</f>
        <v>—</v>
      </c>
      <c r="D106" s="66"/>
      <c r="E106" s="66"/>
      <c r="F106" s="66"/>
      <c r="G106" s="66"/>
      <c r="H106" s="66"/>
      <c r="I106" s="66"/>
      <c r="J106" s="66"/>
      <c r="K106" s="66"/>
      <c r="L106" s="66"/>
      <c r="M106" s="67" t="str">
        <f aca="false">IF(AND('🔄 Topic Pool'!P40&lt;&gt;"✅ Done",'🔄 Topic Pool'!M40="✅ YES",NOT(A460=2),NOT(AND(A460=1,OR('🔄 Topic Pool'!P40="❌ Missed",'🔄 Topic Pool'!P40="🔄 Partial"))),IF($C$14="Option 1 — Same Month Only",'🔄 Topic Pool'!B40=$B$400,OR(AND('🔄 Topic Pool'!B40=$B$400,ROUND(('🔄 Topic Pool'!A40-1)/7,0)=$A$400),AND('🔄 Topic Pool'!B40=$B$400,ROUND(('🔄 Topic Pool'!A40-1)/7,0)=$A$400+1)))),'🔄 Topic Pool'!E40,"—")</f>
        <v>—</v>
      </c>
      <c r="N106" s="67"/>
      <c r="O106" s="40" t="str">
        <f aca="false">IF(AND('🔄 Topic Pool'!P40&lt;&gt;"✅ Done",'🔄 Topic Pool'!M40="✅ YES",NOT(A460=2),NOT(AND(A460=1,OR('🔄 Topic Pool'!P40="❌ Missed",'🔄 Topic Pool'!P40="🔄 Partial"))),IF($C$14="Option 1 — Same Month Only",'🔄 Topic Pool'!B40=$B$400,OR(AND('🔄 Topic Pool'!B40=$B$400,ROUND(('🔄 Topic Pool'!A40-1)/7,0)=$A$400),AND('🔄 Topic Pool'!B40=$B$400,ROUND(('🔄 Topic Pool'!A40-1)/7,0)=$A$400+1)))),'🔄 Topic Pool'!G40,"—")</f>
        <v>—</v>
      </c>
      <c r="P106" s="68" t="str">
        <f aca="false">IF(AND('🔄 Topic Pool'!P40&lt;&gt;"✅ Done",'🔄 Topic Pool'!M40="✅ YES",NOT(A460=2),NOT(AND(A460=1,OR('🔄 Topic Pool'!P40="❌ Missed",'🔄 Topic Pool'!P40="🔄 Partial"))),IF($C$14="Option 1 — Same Month Only",'🔄 Topic Pool'!B40=$B$400,OR(AND('🔄 Topic Pool'!B40=$B$400,ROUND(('🔄 Topic Pool'!A40-1)/7,0)=$A$400),AND('🔄 Topic Pool'!B40=$B$400,ROUND(('🔄 Topic Pool'!A40-1)/7,0)=$A$400+1)))),'🔄 Topic Pool'!J40,"—")</f>
        <v>—</v>
      </c>
      <c r="Q106" s="68"/>
      <c r="R106" s="58" t="str">
        <f aca="false">IF(AND('🔄 Topic Pool'!P40&lt;&gt;"✅ Done",'🔄 Topic Pool'!M40="✅ YES",NOT(A460=2),NOT(AND(A460=1,OR('🔄 Topic Pool'!P40="❌ Missed",'🔄 Topic Pool'!P40="🔄 Partial"))),IF($C$14="Option 1 — Same Month Only",'🔄 Topic Pool'!B40=$B$400,OR(AND('🔄 Topic Pool'!B40=$B$400,ROUND(('🔄 Topic Pool'!A40-1)/7,0)=$A$400),AND('🔄 Topic Pool'!B40=$B$400,ROUND(('🔄 Topic Pool'!A40-1)/7,0)=$A$400+1)))),COUNTIF('📋 Swap History'!$F$4:$F$200,'🔄 Topic Pool'!D40),"—")</f>
        <v>—</v>
      </c>
      <c r="S106" s="32" t="str">
        <f aca="false">IF(NOT(AND('🔄 Topic Pool'!P40&lt;&gt;"✅ Done",'🔄 Topic Pool'!M40="✅ YES",NOT(A460=2),NOT(AND(A460=1,OR('🔄 Topic Pool'!P40="❌ Missed",'🔄 Topic Pool'!P40="🔄 Partial"))),IF($C$14="Option 1 — Same Month Only",'🔄 Topic Pool'!B40=$B$400,OR(AND('🔄 Topic Pool'!B40=$B$400,ROUND(('🔄 Topic Pool'!A40-1)/7,0)=$A$400),AND('🔄 Topic Pool'!B40=$B$400,ROUND(('🔄 Topic Pool'!A40-1)/7,0)=$A$400+1))))),"🔒",IF('🔄 Topic Pool'!M40="🔒 NO","🔒",IF(COUNTIF('📋 Swap History'!$F$4:$F$200,'🔄 Topic Pool'!D40)&gt;=$C$8,"🔒","✅")))</f>
        <v>🔒</v>
      </c>
      <c r="T106" s="32"/>
      <c r="U106" s="69" t="str">
        <f aca="false">IF(AND('🔄 Topic Pool'!P40&lt;&gt;"✅ Done",'🔄 Topic Pool'!M40="✅ YES",NOT(A460=2),NOT(AND(A460=1,OR('🔄 Topic Pool'!P40="❌ Missed",'🔄 Topic Pool'!P40="🔄 Partial"))),IF($C$14="Option 1 — Same Month Only",'🔄 Topic Pool'!B40=$B$400,OR(AND('🔄 Topic Pool'!B40=$B$400,ROUND(('🔄 Topic Pool'!A40-1)/7,0)=$A$400),AND('🔄 Topic Pool'!B40=$B$400,ROUND(('🔄 Topic Pool'!A40-1)/7,0)=$A$400+1)))),'🔄 Topic Pool'!J40&amp;" — Seq "&amp;'🔄 Topic Pool'!C40&amp;" in month","—")</f>
        <v>—</v>
      </c>
      <c r="V106" s="69"/>
    </row>
    <row r="108" customFormat="false" ht="4.5" hidden="false" customHeight="true" outlineLevel="0" collapsed="false"/>
    <row r="109" customFormat="false" ht="16.5" hidden="false" customHeight="true" outlineLevel="0" collapsed="false">
      <c r="A109" s="70" t="s">
        <v>64</v>
      </c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</row>
    <row r="110" customFormat="false" ht="24" hidden="false" customHeight="true" outlineLevel="0" collapsed="false">
      <c r="B110" s="71" t="s">
        <v>40</v>
      </c>
      <c r="C110" s="71" t="s">
        <v>65</v>
      </c>
      <c r="D110" s="71"/>
      <c r="E110" s="71" t="s">
        <v>66</v>
      </c>
      <c r="F110" s="71" t="s">
        <v>67</v>
      </c>
      <c r="G110" s="71" t="s">
        <v>68</v>
      </c>
      <c r="H110" s="71" t="s">
        <v>69</v>
      </c>
      <c r="I110" s="71"/>
      <c r="J110" s="71"/>
      <c r="K110" s="71"/>
      <c r="L110" s="71" t="s">
        <v>70</v>
      </c>
      <c r="M110" s="71"/>
      <c r="N110" s="71"/>
      <c r="O110" s="71"/>
      <c r="P110" s="71" t="s">
        <v>71</v>
      </c>
      <c r="Q110" s="71"/>
      <c r="R110" s="71"/>
      <c r="S110" s="71" t="s">
        <v>72</v>
      </c>
      <c r="T110" s="71" t="s">
        <v>62</v>
      </c>
      <c r="U110" s="71"/>
      <c r="V110" s="71" t="s">
        <v>73</v>
      </c>
    </row>
    <row r="111" customFormat="false" ht="18" hidden="false" customHeight="true" outlineLevel="0" collapsed="false">
      <c r="B111" s="72" t="n">
        <v>1</v>
      </c>
      <c r="C111" s="73" t="str">
        <f aca="true">IF(H111&lt;&gt;"",TODAY(),"")</f>
        <v/>
      </c>
      <c r="D111" s="73"/>
      <c r="E111" s="74" t="str">
        <f aca="true">IF(H111&lt;&gt;"","W"&amp;INT((TODAY()-DATE(2026,3,30))/7)+1,"—")</f>
        <v>—</v>
      </c>
      <c r="F111" s="75" t="str">
        <f aca="true">IF(H111&lt;&gt;"","M"&amp;INT((INT((TODAY()-DATE(2026,3,30))/7))/4+1),"—")</f>
        <v>—</v>
      </c>
      <c r="G111" s="76" t="str">
        <f aca="false">IF(C111&lt;&gt;"",TEXT(C111,"DDD"),"")</f>
        <v/>
      </c>
      <c r="H111" s="77"/>
      <c r="I111" s="77"/>
      <c r="J111" s="77"/>
      <c r="K111" s="77"/>
      <c r="L111" s="78"/>
      <c r="M111" s="78"/>
      <c r="N111" s="78"/>
      <c r="O111" s="78"/>
      <c r="P111" s="79"/>
      <c r="Q111" s="79"/>
      <c r="R111" s="79"/>
      <c r="S111" s="80" t="str">
        <f aca="false">IF(H111&lt;&gt;"",IFERROR(COUNTIF($H$111:$H111,H111),0),"—")</f>
        <v>—</v>
      </c>
      <c r="T111" s="64" t="str">
        <f aca="false">IF(H111="","",IF(S111&gt;=$C$8,"⚠️ Topic limit","✅ OK"))</f>
        <v/>
      </c>
      <c r="U111" s="64"/>
      <c r="V111" s="65"/>
    </row>
    <row r="112" customFormat="false" ht="18" hidden="false" customHeight="true" outlineLevel="0" collapsed="false">
      <c r="B112" s="81" t="n">
        <v>2</v>
      </c>
      <c r="C112" s="82" t="str">
        <f aca="true">IF(H112&lt;&gt;"",TODAY(),"")</f>
        <v/>
      </c>
      <c r="D112" s="82"/>
      <c r="E112" s="83" t="str">
        <f aca="true">IF(H112&lt;&gt;"","W"&amp;INT((TODAY()-DATE(2026,3,30))/7)+1,"—")</f>
        <v>—</v>
      </c>
      <c r="F112" s="84" t="str">
        <f aca="true">IF(H112&lt;&gt;"","M"&amp;INT((INT((TODAY()-DATE(2026,3,30))/7))/4+1),"—")</f>
        <v>—</v>
      </c>
      <c r="G112" s="85" t="str">
        <f aca="false">IF(C112&lt;&gt;"",TEXT(C112,"DDD"),"")</f>
        <v/>
      </c>
      <c r="H112" s="86"/>
      <c r="I112" s="86"/>
      <c r="J112" s="86"/>
      <c r="K112" s="86"/>
      <c r="L112" s="87"/>
      <c r="M112" s="87"/>
      <c r="N112" s="87"/>
      <c r="O112" s="87"/>
      <c r="P112" s="88"/>
      <c r="Q112" s="88"/>
      <c r="R112" s="88"/>
      <c r="S112" s="80" t="str">
        <f aca="false">IF(H112&lt;&gt;"",IFERROR(COUNTIF($H$111:$H112,H112),0),"—")</f>
        <v>—</v>
      </c>
      <c r="T112" s="89" t="str">
        <f aca="false">IF(H112="","",IF(S112&gt;=$C$8,"⚠️ Topic limit","✅ OK"))</f>
        <v/>
      </c>
      <c r="U112" s="89"/>
      <c r="V112" s="90"/>
    </row>
    <row r="113" customFormat="false" ht="18" hidden="false" customHeight="true" outlineLevel="0" collapsed="false">
      <c r="B113" s="72" t="n">
        <v>3</v>
      </c>
      <c r="C113" s="73" t="str">
        <f aca="true">IF(H113&lt;&gt;"",TODAY(),"")</f>
        <v/>
      </c>
      <c r="D113" s="73"/>
      <c r="E113" s="74" t="str">
        <f aca="true">IF(H113&lt;&gt;"","W"&amp;INT((TODAY()-DATE(2026,3,30))/7)+1,"—")</f>
        <v>—</v>
      </c>
      <c r="F113" s="75" t="str">
        <f aca="true">IF(H113&lt;&gt;"","M"&amp;INT((INT((TODAY()-DATE(2026,3,30))/7))/4+1),"—")</f>
        <v>—</v>
      </c>
      <c r="G113" s="76" t="str">
        <f aca="false">IF(C113&lt;&gt;"",TEXT(C113,"DDD"),"")</f>
        <v/>
      </c>
      <c r="H113" s="77"/>
      <c r="I113" s="77"/>
      <c r="J113" s="77"/>
      <c r="K113" s="77"/>
      <c r="L113" s="78"/>
      <c r="M113" s="78"/>
      <c r="N113" s="78"/>
      <c r="O113" s="78"/>
      <c r="P113" s="79"/>
      <c r="Q113" s="79"/>
      <c r="R113" s="79"/>
      <c r="S113" s="80" t="str">
        <f aca="false">IF(H113&lt;&gt;"",IFERROR(COUNTIF($H$111:$H113,H113),0),"—")</f>
        <v>—</v>
      </c>
      <c r="T113" s="64" t="str">
        <f aca="false">IF(H113="","",IF(S113&gt;=$C$8,"⚠️ Topic limit","✅ OK"))</f>
        <v/>
      </c>
      <c r="U113" s="64"/>
      <c r="V113" s="65"/>
    </row>
    <row r="114" customFormat="false" ht="18" hidden="false" customHeight="true" outlineLevel="0" collapsed="false">
      <c r="B114" s="81" t="n">
        <v>4</v>
      </c>
      <c r="C114" s="82" t="str">
        <f aca="true">IF(H114&lt;&gt;"",TODAY(),"")</f>
        <v/>
      </c>
      <c r="D114" s="82"/>
      <c r="E114" s="83" t="str">
        <f aca="true">IF(H114&lt;&gt;"","W"&amp;INT((TODAY()-DATE(2026,3,30))/7)+1,"—")</f>
        <v>—</v>
      </c>
      <c r="F114" s="84" t="str">
        <f aca="true">IF(H114&lt;&gt;"","M"&amp;INT((INT((TODAY()-DATE(2026,3,30))/7))/4+1),"—")</f>
        <v>—</v>
      </c>
      <c r="G114" s="85" t="str">
        <f aca="false">IF(C114&lt;&gt;"",TEXT(C114,"DDD"),"")</f>
        <v/>
      </c>
      <c r="H114" s="86"/>
      <c r="I114" s="86"/>
      <c r="J114" s="86"/>
      <c r="K114" s="86"/>
      <c r="L114" s="87"/>
      <c r="M114" s="87"/>
      <c r="N114" s="87"/>
      <c r="O114" s="87"/>
      <c r="P114" s="88"/>
      <c r="Q114" s="88"/>
      <c r="R114" s="88"/>
      <c r="S114" s="80" t="str">
        <f aca="false">IF(H114&lt;&gt;"",IFERROR(COUNTIF($H$111:$H114,H114),0),"—")</f>
        <v>—</v>
      </c>
      <c r="T114" s="89" t="str">
        <f aca="false">IF(H114="","",IF(S114&gt;=$C$8,"⚠️ Topic limit","✅ OK"))</f>
        <v/>
      </c>
      <c r="U114" s="89"/>
      <c r="V114" s="90"/>
    </row>
    <row r="115" customFormat="false" ht="18" hidden="false" customHeight="true" outlineLevel="0" collapsed="false">
      <c r="B115" s="72" t="n">
        <v>5</v>
      </c>
      <c r="C115" s="73" t="str">
        <f aca="true">IF(H115&lt;&gt;"",TODAY(),"")</f>
        <v/>
      </c>
      <c r="D115" s="73"/>
      <c r="E115" s="74" t="str">
        <f aca="true">IF(H115&lt;&gt;"","W"&amp;INT((TODAY()-DATE(2026,3,30))/7)+1,"—")</f>
        <v>—</v>
      </c>
      <c r="F115" s="75" t="str">
        <f aca="true">IF(H115&lt;&gt;"","M"&amp;INT((INT((TODAY()-DATE(2026,3,30))/7))/4+1),"—")</f>
        <v>—</v>
      </c>
      <c r="G115" s="76" t="str">
        <f aca="false">IF(C115&lt;&gt;"",TEXT(C115,"DDD"),"")</f>
        <v/>
      </c>
      <c r="H115" s="77"/>
      <c r="I115" s="77"/>
      <c r="J115" s="77"/>
      <c r="K115" s="77"/>
      <c r="L115" s="78"/>
      <c r="M115" s="78"/>
      <c r="N115" s="78"/>
      <c r="O115" s="78"/>
      <c r="P115" s="79"/>
      <c r="Q115" s="79"/>
      <c r="R115" s="79"/>
      <c r="S115" s="80" t="str">
        <f aca="false">IF(H115&lt;&gt;"",IFERROR(COUNTIF($H$111:$H115,H115),0),"—")</f>
        <v>—</v>
      </c>
      <c r="T115" s="64" t="str">
        <f aca="false">IF(H115="","",IF(S115&gt;=$C$8,"⚠️ Topic limit","✅ OK"))</f>
        <v/>
      </c>
      <c r="U115" s="64"/>
      <c r="V115" s="65"/>
    </row>
    <row r="116" customFormat="false" ht="18" hidden="false" customHeight="true" outlineLevel="0" collapsed="false">
      <c r="B116" s="81" t="n">
        <v>6</v>
      </c>
      <c r="C116" s="82" t="str">
        <f aca="true">IF(H116&lt;&gt;"",TODAY(),"")</f>
        <v/>
      </c>
      <c r="D116" s="82"/>
      <c r="E116" s="83" t="str">
        <f aca="true">IF(H116&lt;&gt;"","W"&amp;INT((TODAY()-DATE(2026,3,30))/7)+1,"—")</f>
        <v>—</v>
      </c>
      <c r="F116" s="84" t="str">
        <f aca="true">IF(H116&lt;&gt;"","M"&amp;INT((INT((TODAY()-DATE(2026,3,30))/7))/4+1),"—")</f>
        <v>—</v>
      </c>
      <c r="G116" s="85" t="str">
        <f aca="false">IF(C116&lt;&gt;"",TEXT(C116,"DDD"),"")</f>
        <v/>
      </c>
      <c r="H116" s="86"/>
      <c r="I116" s="86"/>
      <c r="J116" s="86"/>
      <c r="K116" s="86"/>
      <c r="L116" s="87"/>
      <c r="M116" s="87"/>
      <c r="N116" s="87"/>
      <c r="O116" s="87"/>
      <c r="P116" s="88"/>
      <c r="Q116" s="88"/>
      <c r="R116" s="88"/>
      <c r="S116" s="80" t="str">
        <f aca="false">IF(H116&lt;&gt;"",IFERROR(COUNTIF($H$111:$H116,H116),0),"—")</f>
        <v>—</v>
      </c>
      <c r="T116" s="89" t="str">
        <f aca="false">IF(H116="","",IF(S116&gt;=$C$8,"⚠️ Topic limit","✅ OK"))</f>
        <v/>
      </c>
      <c r="U116" s="89"/>
      <c r="V116" s="90"/>
    </row>
    <row r="117" customFormat="false" ht="18" hidden="false" customHeight="true" outlineLevel="0" collapsed="false">
      <c r="B117" s="72" t="n">
        <v>7</v>
      </c>
      <c r="C117" s="73" t="str">
        <f aca="true">IF(H117&lt;&gt;"",TODAY(),"")</f>
        <v/>
      </c>
      <c r="D117" s="73"/>
      <c r="E117" s="74" t="str">
        <f aca="true">IF(H117&lt;&gt;"","W"&amp;INT((TODAY()-DATE(2026,3,30))/7)+1,"—")</f>
        <v>—</v>
      </c>
      <c r="F117" s="75" t="str">
        <f aca="true">IF(H117&lt;&gt;"","M"&amp;INT((INT((TODAY()-DATE(2026,3,30))/7))/4+1),"—")</f>
        <v>—</v>
      </c>
      <c r="G117" s="76" t="str">
        <f aca="false">IF(C117&lt;&gt;"",TEXT(C117,"DDD"),"")</f>
        <v/>
      </c>
      <c r="H117" s="77"/>
      <c r="I117" s="77"/>
      <c r="J117" s="77"/>
      <c r="K117" s="77"/>
      <c r="L117" s="78"/>
      <c r="M117" s="78"/>
      <c r="N117" s="78"/>
      <c r="O117" s="78"/>
      <c r="P117" s="79"/>
      <c r="Q117" s="79"/>
      <c r="R117" s="79"/>
      <c r="S117" s="80" t="str">
        <f aca="false">IF(H117&lt;&gt;"",IFERROR(COUNTIF($H$111:$H117,H117),0),"—")</f>
        <v>—</v>
      </c>
      <c r="T117" s="64" t="str">
        <f aca="false">IF(H117="","",IF(S117&gt;=$C$8,"⚠️ Topic limit","✅ OK"))</f>
        <v/>
      </c>
      <c r="U117" s="64"/>
      <c r="V117" s="65"/>
    </row>
    <row r="118" customFormat="false" ht="18" hidden="false" customHeight="true" outlineLevel="0" collapsed="false">
      <c r="B118" s="81" t="n">
        <v>8</v>
      </c>
      <c r="C118" s="82" t="str">
        <f aca="true">IF(H118&lt;&gt;"",TODAY(),"")</f>
        <v/>
      </c>
      <c r="D118" s="82"/>
      <c r="E118" s="83" t="str">
        <f aca="true">IF(H118&lt;&gt;"","W"&amp;INT((TODAY()-DATE(2026,3,30))/7)+1,"—")</f>
        <v>—</v>
      </c>
      <c r="F118" s="84" t="str">
        <f aca="true">IF(H118&lt;&gt;"","M"&amp;INT((INT((TODAY()-DATE(2026,3,30))/7))/4+1),"—")</f>
        <v>—</v>
      </c>
      <c r="G118" s="85" t="str">
        <f aca="false">IF(C118&lt;&gt;"",TEXT(C118,"DDD"),"")</f>
        <v/>
      </c>
      <c r="H118" s="86"/>
      <c r="I118" s="86"/>
      <c r="J118" s="86"/>
      <c r="K118" s="86"/>
      <c r="L118" s="87"/>
      <c r="M118" s="87"/>
      <c r="N118" s="87"/>
      <c r="O118" s="87"/>
      <c r="P118" s="88"/>
      <c r="Q118" s="88"/>
      <c r="R118" s="88"/>
      <c r="S118" s="80" t="str">
        <f aca="false">IF(H118&lt;&gt;"",IFERROR(COUNTIF($H$111:$H118,H118),0),"—")</f>
        <v>—</v>
      </c>
      <c r="T118" s="89" t="str">
        <f aca="false">IF(H118="","",IF(S118&gt;=$C$8,"⚠️ Topic limit","✅ OK"))</f>
        <v/>
      </c>
      <c r="U118" s="89"/>
      <c r="V118" s="90"/>
    </row>
    <row r="119" customFormat="false" ht="18" hidden="false" customHeight="true" outlineLevel="0" collapsed="false">
      <c r="B119" s="72" t="n">
        <v>9</v>
      </c>
      <c r="C119" s="73" t="str">
        <f aca="true">IF(H119&lt;&gt;"",TODAY(),"")</f>
        <v/>
      </c>
      <c r="D119" s="73"/>
      <c r="E119" s="74" t="str">
        <f aca="true">IF(H119&lt;&gt;"","W"&amp;INT((TODAY()-DATE(2026,3,30))/7)+1,"—")</f>
        <v>—</v>
      </c>
      <c r="F119" s="75" t="str">
        <f aca="true">IF(H119&lt;&gt;"","M"&amp;INT((INT((TODAY()-DATE(2026,3,30))/7))/4+1),"—")</f>
        <v>—</v>
      </c>
      <c r="G119" s="76" t="str">
        <f aca="false">IF(C119&lt;&gt;"",TEXT(C119,"DDD"),"")</f>
        <v/>
      </c>
      <c r="H119" s="77"/>
      <c r="I119" s="77"/>
      <c r="J119" s="77"/>
      <c r="K119" s="77"/>
      <c r="L119" s="78"/>
      <c r="M119" s="78"/>
      <c r="N119" s="78"/>
      <c r="O119" s="78"/>
      <c r="P119" s="79"/>
      <c r="Q119" s="79"/>
      <c r="R119" s="79"/>
      <c r="S119" s="80" t="str">
        <f aca="false">IF(H119&lt;&gt;"",IFERROR(COUNTIF($H$111:$H119,H119),0),"—")</f>
        <v>—</v>
      </c>
      <c r="T119" s="64" t="str">
        <f aca="false">IF(H119="","",IF(S119&gt;=$C$8,"⚠️ Topic limit","✅ OK"))</f>
        <v/>
      </c>
      <c r="U119" s="64"/>
      <c r="V119" s="65"/>
    </row>
    <row r="120" customFormat="false" ht="18" hidden="false" customHeight="true" outlineLevel="0" collapsed="false">
      <c r="B120" s="81" t="n">
        <v>10</v>
      </c>
      <c r="C120" s="82" t="str">
        <f aca="true">IF(H120&lt;&gt;"",TODAY(),"")</f>
        <v/>
      </c>
      <c r="D120" s="82"/>
      <c r="E120" s="83" t="str">
        <f aca="true">IF(H120&lt;&gt;"","W"&amp;INT((TODAY()-DATE(2026,3,30))/7)+1,"—")</f>
        <v>—</v>
      </c>
      <c r="F120" s="84" t="str">
        <f aca="true">IF(H120&lt;&gt;"","M"&amp;INT((INT((TODAY()-DATE(2026,3,30))/7))/4+1),"—")</f>
        <v>—</v>
      </c>
      <c r="G120" s="85" t="str">
        <f aca="false">IF(C120&lt;&gt;"",TEXT(C120,"DDD"),"")</f>
        <v/>
      </c>
      <c r="H120" s="86"/>
      <c r="I120" s="86"/>
      <c r="J120" s="86"/>
      <c r="K120" s="86"/>
      <c r="L120" s="87"/>
      <c r="M120" s="87"/>
      <c r="N120" s="87"/>
      <c r="O120" s="87"/>
      <c r="P120" s="88"/>
      <c r="Q120" s="88"/>
      <c r="R120" s="88"/>
      <c r="S120" s="80" t="str">
        <f aca="false">IF(H120&lt;&gt;"",IFERROR(COUNTIF($H$111:$H120,H120),0),"—")</f>
        <v>—</v>
      </c>
      <c r="T120" s="89" t="str">
        <f aca="false">IF(H120="","",IF(S120&gt;=$C$8,"⚠️ Topic limit","✅ OK"))</f>
        <v/>
      </c>
      <c r="U120" s="89"/>
      <c r="V120" s="90"/>
    </row>
    <row r="121" customFormat="false" ht="18" hidden="false" customHeight="true" outlineLevel="0" collapsed="false">
      <c r="B121" s="72" t="n">
        <v>11</v>
      </c>
      <c r="C121" s="73" t="str">
        <f aca="true">IF(H121&lt;&gt;"",TODAY(),"")</f>
        <v/>
      </c>
      <c r="D121" s="73"/>
      <c r="E121" s="74" t="str">
        <f aca="true">IF(H121&lt;&gt;"","W"&amp;INT((TODAY()-DATE(2026,3,30))/7)+1,"—")</f>
        <v>—</v>
      </c>
      <c r="F121" s="75" t="str">
        <f aca="true">IF(H121&lt;&gt;"","M"&amp;INT((INT((TODAY()-DATE(2026,3,30))/7))/4+1),"—")</f>
        <v>—</v>
      </c>
      <c r="G121" s="76" t="str">
        <f aca="false">IF(C121&lt;&gt;"",TEXT(C121,"DDD"),"")</f>
        <v/>
      </c>
      <c r="H121" s="77"/>
      <c r="I121" s="77"/>
      <c r="J121" s="77"/>
      <c r="K121" s="77"/>
      <c r="L121" s="78"/>
      <c r="M121" s="78"/>
      <c r="N121" s="78"/>
      <c r="O121" s="78"/>
      <c r="P121" s="79"/>
      <c r="Q121" s="79"/>
      <c r="R121" s="79"/>
      <c r="S121" s="80" t="str">
        <f aca="false">IF(H121&lt;&gt;"",IFERROR(COUNTIF($H$111:$H121,H121),0),"—")</f>
        <v>—</v>
      </c>
      <c r="T121" s="64" t="str">
        <f aca="false">IF(H121="","",IF(S121&gt;=$C$8,"⚠️ Topic limit","✅ OK"))</f>
        <v/>
      </c>
      <c r="U121" s="64"/>
      <c r="V121" s="65"/>
    </row>
    <row r="122" customFormat="false" ht="18" hidden="false" customHeight="true" outlineLevel="0" collapsed="false">
      <c r="B122" s="81" t="n">
        <v>12</v>
      </c>
      <c r="C122" s="82" t="str">
        <f aca="true">IF(H122&lt;&gt;"",TODAY(),"")</f>
        <v/>
      </c>
      <c r="D122" s="82"/>
      <c r="E122" s="83" t="str">
        <f aca="true">IF(H122&lt;&gt;"","W"&amp;INT((TODAY()-DATE(2026,3,30))/7)+1,"—")</f>
        <v>—</v>
      </c>
      <c r="F122" s="84" t="str">
        <f aca="true">IF(H122&lt;&gt;"","M"&amp;INT((INT((TODAY()-DATE(2026,3,30))/7))/4+1),"—")</f>
        <v>—</v>
      </c>
      <c r="G122" s="85" t="str">
        <f aca="false">IF(C122&lt;&gt;"",TEXT(C122,"DDD"),"")</f>
        <v/>
      </c>
      <c r="H122" s="86"/>
      <c r="I122" s="86"/>
      <c r="J122" s="86"/>
      <c r="K122" s="86"/>
      <c r="L122" s="87"/>
      <c r="M122" s="87"/>
      <c r="N122" s="87"/>
      <c r="O122" s="87"/>
      <c r="P122" s="88"/>
      <c r="Q122" s="88"/>
      <c r="R122" s="88"/>
      <c r="S122" s="80" t="str">
        <f aca="false">IF(H122&lt;&gt;"",IFERROR(COUNTIF($H$111:$H122,H122),0),"—")</f>
        <v>—</v>
      </c>
      <c r="T122" s="89" t="str">
        <f aca="false">IF(H122="","",IF(S122&gt;=$C$8,"⚠️ Topic limit","✅ OK"))</f>
        <v/>
      </c>
      <c r="U122" s="89"/>
      <c r="V122" s="90"/>
    </row>
    <row r="123" customFormat="false" ht="18" hidden="false" customHeight="true" outlineLevel="0" collapsed="false">
      <c r="B123" s="72" t="n">
        <v>13</v>
      </c>
      <c r="C123" s="73" t="str">
        <f aca="true">IF(H123&lt;&gt;"",TODAY(),"")</f>
        <v/>
      </c>
      <c r="D123" s="73"/>
      <c r="E123" s="74" t="str">
        <f aca="true">IF(H123&lt;&gt;"","W"&amp;INT((TODAY()-DATE(2026,3,30))/7)+1,"—")</f>
        <v>—</v>
      </c>
      <c r="F123" s="75" t="str">
        <f aca="true">IF(H123&lt;&gt;"","M"&amp;INT((INT((TODAY()-DATE(2026,3,30))/7))/4+1),"—")</f>
        <v>—</v>
      </c>
      <c r="G123" s="76" t="str">
        <f aca="false">IF(C123&lt;&gt;"",TEXT(C123,"DDD"),"")</f>
        <v/>
      </c>
      <c r="H123" s="77"/>
      <c r="I123" s="77"/>
      <c r="J123" s="77"/>
      <c r="K123" s="77"/>
      <c r="L123" s="78"/>
      <c r="M123" s="78"/>
      <c r="N123" s="78"/>
      <c r="O123" s="78"/>
      <c r="P123" s="79"/>
      <c r="Q123" s="79"/>
      <c r="R123" s="79"/>
      <c r="S123" s="80" t="str">
        <f aca="false">IF(H123&lt;&gt;"",IFERROR(COUNTIF($H$111:$H123,H123),0),"—")</f>
        <v>—</v>
      </c>
      <c r="T123" s="64" t="str">
        <f aca="false">IF(H123="","",IF(S123&gt;=$C$8,"⚠️ Topic limit","✅ OK"))</f>
        <v/>
      </c>
      <c r="U123" s="64"/>
      <c r="V123" s="65"/>
    </row>
    <row r="124" customFormat="false" ht="18" hidden="false" customHeight="true" outlineLevel="0" collapsed="false">
      <c r="B124" s="81" t="n">
        <v>14</v>
      </c>
      <c r="C124" s="82" t="str">
        <f aca="true">IF(H124&lt;&gt;"",TODAY(),"")</f>
        <v/>
      </c>
      <c r="D124" s="82"/>
      <c r="E124" s="83" t="str">
        <f aca="true">IF(H124&lt;&gt;"","W"&amp;INT((TODAY()-DATE(2026,3,30))/7)+1,"—")</f>
        <v>—</v>
      </c>
      <c r="F124" s="84" t="str">
        <f aca="true">IF(H124&lt;&gt;"","M"&amp;INT((INT((TODAY()-DATE(2026,3,30))/7))/4+1),"—")</f>
        <v>—</v>
      </c>
      <c r="G124" s="85" t="str">
        <f aca="false">IF(C124&lt;&gt;"",TEXT(C124,"DDD"),"")</f>
        <v/>
      </c>
      <c r="H124" s="86"/>
      <c r="I124" s="86"/>
      <c r="J124" s="86"/>
      <c r="K124" s="86"/>
      <c r="L124" s="87"/>
      <c r="M124" s="87"/>
      <c r="N124" s="87"/>
      <c r="O124" s="87"/>
      <c r="P124" s="88"/>
      <c r="Q124" s="88"/>
      <c r="R124" s="88"/>
      <c r="S124" s="80" t="str">
        <f aca="false">IF(H124&lt;&gt;"",IFERROR(COUNTIF($H$111:$H124,H124),0),"—")</f>
        <v>—</v>
      </c>
      <c r="T124" s="89" t="str">
        <f aca="false">IF(H124="","",IF(S124&gt;=$C$8,"⚠️ Topic limit","✅ OK"))</f>
        <v/>
      </c>
      <c r="U124" s="89"/>
      <c r="V124" s="90"/>
    </row>
    <row r="125" customFormat="false" ht="18" hidden="false" customHeight="true" outlineLevel="0" collapsed="false">
      <c r="B125" s="72" t="n">
        <v>15</v>
      </c>
      <c r="C125" s="73" t="str">
        <f aca="true">IF(H125&lt;&gt;"",TODAY(),"")</f>
        <v/>
      </c>
      <c r="D125" s="73"/>
      <c r="E125" s="74" t="str">
        <f aca="true">IF(H125&lt;&gt;"","W"&amp;INT((TODAY()-DATE(2026,3,30))/7)+1,"—")</f>
        <v>—</v>
      </c>
      <c r="F125" s="75" t="str">
        <f aca="true">IF(H125&lt;&gt;"","M"&amp;INT((INT((TODAY()-DATE(2026,3,30))/7))/4+1),"—")</f>
        <v>—</v>
      </c>
      <c r="G125" s="76" t="str">
        <f aca="false">IF(C125&lt;&gt;"",TEXT(C125,"DDD"),"")</f>
        <v/>
      </c>
      <c r="H125" s="77"/>
      <c r="I125" s="77"/>
      <c r="J125" s="77"/>
      <c r="K125" s="77"/>
      <c r="L125" s="78"/>
      <c r="M125" s="78"/>
      <c r="N125" s="78"/>
      <c r="O125" s="78"/>
      <c r="P125" s="79"/>
      <c r="Q125" s="79"/>
      <c r="R125" s="79"/>
      <c r="S125" s="80" t="str">
        <f aca="false">IF(H125&lt;&gt;"",IFERROR(COUNTIF($H$111:$H125,H125),0),"—")</f>
        <v>—</v>
      </c>
      <c r="T125" s="64" t="str">
        <f aca="false">IF(H125="","",IF(S125&gt;=$C$8,"⚠️ Topic limit","✅ OK"))</f>
        <v/>
      </c>
      <c r="U125" s="64"/>
      <c r="V125" s="65"/>
    </row>
    <row r="126" customFormat="false" ht="18" hidden="false" customHeight="true" outlineLevel="0" collapsed="false">
      <c r="B126" s="81" t="n">
        <v>16</v>
      </c>
      <c r="C126" s="82" t="str">
        <f aca="true">IF(H126&lt;&gt;"",TODAY(),"")</f>
        <v/>
      </c>
      <c r="D126" s="82"/>
      <c r="E126" s="83" t="str">
        <f aca="true">IF(H126&lt;&gt;"","W"&amp;INT((TODAY()-DATE(2026,3,30))/7)+1,"—")</f>
        <v>—</v>
      </c>
      <c r="F126" s="84" t="str">
        <f aca="true">IF(H126&lt;&gt;"","M"&amp;INT((INT((TODAY()-DATE(2026,3,30))/7))/4+1),"—")</f>
        <v>—</v>
      </c>
      <c r="G126" s="85" t="str">
        <f aca="false">IF(C126&lt;&gt;"",TEXT(C126,"DDD"),"")</f>
        <v/>
      </c>
      <c r="H126" s="86"/>
      <c r="I126" s="86"/>
      <c r="J126" s="86"/>
      <c r="K126" s="86"/>
      <c r="L126" s="87"/>
      <c r="M126" s="87"/>
      <c r="N126" s="87"/>
      <c r="O126" s="87"/>
      <c r="P126" s="88"/>
      <c r="Q126" s="88"/>
      <c r="R126" s="88"/>
      <c r="S126" s="80" t="str">
        <f aca="false">IF(H126&lt;&gt;"",IFERROR(COUNTIF($H$111:$H126,H126),0),"—")</f>
        <v>—</v>
      </c>
      <c r="T126" s="89" t="str">
        <f aca="false">IF(H126="","",IF(S126&gt;=$C$8,"⚠️ Topic limit","✅ OK"))</f>
        <v/>
      </c>
      <c r="U126" s="89"/>
      <c r="V126" s="90"/>
    </row>
    <row r="127" customFormat="false" ht="18" hidden="false" customHeight="true" outlineLevel="0" collapsed="false">
      <c r="B127" s="72" t="n">
        <v>17</v>
      </c>
      <c r="C127" s="73" t="str">
        <f aca="true">IF(H127&lt;&gt;"",TODAY(),"")</f>
        <v/>
      </c>
      <c r="D127" s="73"/>
      <c r="E127" s="74" t="str">
        <f aca="true">IF(H127&lt;&gt;"","W"&amp;INT((TODAY()-DATE(2026,3,30))/7)+1,"—")</f>
        <v>—</v>
      </c>
      <c r="F127" s="75" t="str">
        <f aca="true">IF(H127&lt;&gt;"","M"&amp;INT((INT((TODAY()-DATE(2026,3,30))/7))/4+1),"—")</f>
        <v>—</v>
      </c>
      <c r="G127" s="76" t="str">
        <f aca="false">IF(C127&lt;&gt;"",TEXT(C127,"DDD"),"")</f>
        <v/>
      </c>
      <c r="H127" s="77"/>
      <c r="I127" s="77"/>
      <c r="J127" s="77"/>
      <c r="K127" s="77"/>
      <c r="L127" s="78"/>
      <c r="M127" s="78"/>
      <c r="N127" s="78"/>
      <c r="O127" s="78"/>
      <c r="P127" s="79"/>
      <c r="Q127" s="79"/>
      <c r="R127" s="79"/>
      <c r="S127" s="80" t="str">
        <f aca="false">IF(H127&lt;&gt;"",IFERROR(COUNTIF($H$111:$H127,H127),0),"—")</f>
        <v>—</v>
      </c>
      <c r="T127" s="64" t="str">
        <f aca="false">IF(H127="","",IF(S127&gt;=$C$8,"⚠️ Topic limit","✅ OK"))</f>
        <v/>
      </c>
      <c r="U127" s="64"/>
      <c r="V127" s="65"/>
    </row>
    <row r="128" customFormat="false" ht="18" hidden="false" customHeight="true" outlineLevel="0" collapsed="false">
      <c r="B128" s="81" t="n">
        <v>18</v>
      </c>
      <c r="C128" s="82" t="str">
        <f aca="true">IF(H128&lt;&gt;"",TODAY(),"")</f>
        <v/>
      </c>
      <c r="D128" s="82"/>
      <c r="E128" s="83" t="str">
        <f aca="true">IF(H128&lt;&gt;"","W"&amp;INT((TODAY()-DATE(2026,3,30))/7)+1,"—")</f>
        <v>—</v>
      </c>
      <c r="F128" s="84" t="str">
        <f aca="true">IF(H128&lt;&gt;"","M"&amp;INT((INT((TODAY()-DATE(2026,3,30))/7))/4+1),"—")</f>
        <v>—</v>
      </c>
      <c r="G128" s="85" t="str">
        <f aca="false">IF(C128&lt;&gt;"",TEXT(C128,"DDD"),"")</f>
        <v/>
      </c>
      <c r="H128" s="86"/>
      <c r="I128" s="86"/>
      <c r="J128" s="86"/>
      <c r="K128" s="86"/>
      <c r="L128" s="87"/>
      <c r="M128" s="87"/>
      <c r="N128" s="87"/>
      <c r="O128" s="87"/>
      <c r="P128" s="88"/>
      <c r="Q128" s="88"/>
      <c r="R128" s="88"/>
      <c r="S128" s="80" t="str">
        <f aca="false">IF(H128&lt;&gt;"",IFERROR(COUNTIF($H$111:$H128,H128),0),"—")</f>
        <v>—</v>
      </c>
      <c r="T128" s="89" t="str">
        <f aca="false">IF(H128="","",IF(S128&gt;=$C$8,"⚠️ Topic limit","✅ OK"))</f>
        <v/>
      </c>
      <c r="U128" s="89"/>
      <c r="V128" s="90"/>
    </row>
    <row r="129" customFormat="false" ht="18" hidden="false" customHeight="true" outlineLevel="0" collapsed="false">
      <c r="B129" s="72" t="n">
        <v>19</v>
      </c>
      <c r="C129" s="73" t="str">
        <f aca="true">IF(H129&lt;&gt;"",TODAY(),"")</f>
        <v/>
      </c>
      <c r="D129" s="73"/>
      <c r="E129" s="74" t="str">
        <f aca="true">IF(H129&lt;&gt;"","W"&amp;INT((TODAY()-DATE(2026,3,30))/7)+1,"—")</f>
        <v>—</v>
      </c>
      <c r="F129" s="75" t="str">
        <f aca="true">IF(H129&lt;&gt;"","M"&amp;INT((INT((TODAY()-DATE(2026,3,30))/7))/4+1),"—")</f>
        <v>—</v>
      </c>
      <c r="G129" s="76" t="str">
        <f aca="false">IF(C129&lt;&gt;"",TEXT(C129,"DDD"),"")</f>
        <v/>
      </c>
      <c r="H129" s="77"/>
      <c r="I129" s="77"/>
      <c r="J129" s="77"/>
      <c r="K129" s="77"/>
      <c r="L129" s="78"/>
      <c r="M129" s="78"/>
      <c r="N129" s="78"/>
      <c r="O129" s="78"/>
      <c r="P129" s="79"/>
      <c r="Q129" s="79"/>
      <c r="R129" s="79"/>
      <c r="S129" s="80" t="str">
        <f aca="false">IF(H129&lt;&gt;"",IFERROR(COUNTIF($H$111:$H129,H129),0),"—")</f>
        <v>—</v>
      </c>
      <c r="T129" s="64" t="str">
        <f aca="false">IF(H129="","",IF(S129&gt;=$C$8,"⚠️ Topic limit","✅ OK"))</f>
        <v/>
      </c>
      <c r="U129" s="64"/>
      <c r="V129" s="65"/>
    </row>
    <row r="130" customFormat="false" ht="18" hidden="false" customHeight="true" outlineLevel="0" collapsed="false">
      <c r="B130" s="81" t="n">
        <v>20</v>
      </c>
      <c r="C130" s="82" t="str">
        <f aca="true">IF(H130&lt;&gt;"",TODAY(),"")</f>
        <v/>
      </c>
      <c r="D130" s="82"/>
      <c r="E130" s="83" t="str">
        <f aca="true">IF(H130&lt;&gt;"","W"&amp;INT((TODAY()-DATE(2026,3,30))/7)+1,"—")</f>
        <v>—</v>
      </c>
      <c r="F130" s="84" t="str">
        <f aca="true">IF(H130&lt;&gt;"","M"&amp;INT((INT((TODAY()-DATE(2026,3,30))/7))/4+1),"—")</f>
        <v>—</v>
      </c>
      <c r="G130" s="85" t="str">
        <f aca="false">IF(C130&lt;&gt;"",TEXT(C130,"DDD"),"")</f>
        <v/>
      </c>
      <c r="H130" s="86"/>
      <c r="I130" s="86"/>
      <c r="J130" s="86"/>
      <c r="K130" s="86"/>
      <c r="L130" s="87"/>
      <c r="M130" s="87"/>
      <c r="N130" s="87"/>
      <c r="O130" s="87"/>
      <c r="P130" s="88"/>
      <c r="Q130" s="88"/>
      <c r="R130" s="88"/>
      <c r="S130" s="80" t="str">
        <f aca="false">IF(H130&lt;&gt;"",IFERROR(COUNTIF($H$111:$H130,H130),0),"—")</f>
        <v>—</v>
      </c>
      <c r="T130" s="89" t="str">
        <f aca="false">IF(H130="","",IF(S130&gt;=$C$8,"⚠️ Topic limit","✅ OK"))</f>
        <v/>
      </c>
      <c r="U130" s="89"/>
      <c r="V130" s="90"/>
    </row>
    <row r="131" customFormat="false" ht="18" hidden="false" customHeight="true" outlineLevel="0" collapsed="false">
      <c r="B131" s="72" t="n">
        <v>21</v>
      </c>
      <c r="C131" s="73" t="str">
        <f aca="true">IF(H131&lt;&gt;"",TODAY(),"")</f>
        <v/>
      </c>
      <c r="D131" s="73"/>
      <c r="E131" s="74" t="str">
        <f aca="true">IF(H131&lt;&gt;"","W"&amp;INT((TODAY()-DATE(2026,3,30))/7)+1,"—")</f>
        <v>—</v>
      </c>
      <c r="F131" s="75" t="str">
        <f aca="true">IF(H131&lt;&gt;"","M"&amp;INT((INT((TODAY()-DATE(2026,3,30))/7))/4+1),"—")</f>
        <v>—</v>
      </c>
      <c r="G131" s="76" t="str">
        <f aca="false">IF(C131&lt;&gt;"",TEXT(C131,"DDD"),"")</f>
        <v/>
      </c>
      <c r="H131" s="77"/>
      <c r="I131" s="77"/>
      <c r="J131" s="77"/>
      <c r="K131" s="77"/>
      <c r="L131" s="78"/>
      <c r="M131" s="78"/>
      <c r="N131" s="78"/>
      <c r="O131" s="78"/>
      <c r="P131" s="79"/>
      <c r="Q131" s="79"/>
      <c r="R131" s="79"/>
      <c r="S131" s="80" t="str">
        <f aca="false">IF(H131&lt;&gt;"",IFERROR(COUNTIF($H$111:$H131,H131),0),"—")</f>
        <v>—</v>
      </c>
      <c r="T131" s="64" t="str">
        <f aca="false">IF(H131="","",IF(S131&gt;=$C$8,"⚠️ Topic limit","✅ OK"))</f>
        <v/>
      </c>
      <c r="U131" s="64"/>
      <c r="V131" s="65"/>
    </row>
    <row r="132" customFormat="false" ht="18" hidden="false" customHeight="true" outlineLevel="0" collapsed="false">
      <c r="B132" s="81" t="n">
        <v>22</v>
      </c>
      <c r="C132" s="82" t="str">
        <f aca="true">IF(H132&lt;&gt;"",TODAY(),"")</f>
        <v/>
      </c>
      <c r="D132" s="82"/>
      <c r="E132" s="83" t="str">
        <f aca="true">IF(H132&lt;&gt;"","W"&amp;INT((TODAY()-DATE(2026,3,30))/7)+1,"—")</f>
        <v>—</v>
      </c>
      <c r="F132" s="84" t="str">
        <f aca="true">IF(H132&lt;&gt;"","M"&amp;INT((INT((TODAY()-DATE(2026,3,30))/7))/4+1),"—")</f>
        <v>—</v>
      </c>
      <c r="G132" s="85" t="str">
        <f aca="false">IF(C132&lt;&gt;"",TEXT(C132,"DDD"),"")</f>
        <v/>
      </c>
      <c r="H132" s="86"/>
      <c r="I132" s="86"/>
      <c r="J132" s="86"/>
      <c r="K132" s="86"/>
      <c r="L132" s="87"/>
      <c r="M132" s="87"/>
      <c r="N132" s="87"/>
      <c r="O132" s="87"/>
      <c r="P132" s="88"/>
      <c r="Q132" s="88"/>
      <c r="R132" s="88"/>
      <c r="S132" s="80" t="str">
        <f aca="false">IF(H132&lt;&gt;"",IFERROR(COUNTIF($H$111:$H132,H132),0),"—")</f>
        <v>—</v>
      </c>
      <c r="T132" s="89" t="str">
        <f aca="false">IF(H132="","",IF(S132&gt;=$C$8,"⚠️ Topic limit","✅ OK"))</f>
        <v/>
      </c>
      <c r="U132" s="89"/>
      <c r="V132" s="90"/>
    </row>
    <row r="133" customFormat="false" ht="18" hidden="false" customHeight="true" outlineLevel="0" collapsed="false">
      <c r="B133" s="72" t="n">
        <v>23</v>
      </c>
      <c r="C133" s="73" t="str">
        <f aca="true">IF(H133&lt;&gt;"",TODAY(),"")</f>
        <v/>
      </c>
      <c r="D133" s="73"/>
      <c r="E133" s="74" t="str">
        <f aca="true">IF(H133&lt;&gt;"","W"&amp;INT((TODAY()-DATE(2026,3,30))/7)+1,"—")</f>
        <v>—</v>
      </c>
      <c r="F133" s="75" t="str">
        <f aca="true">IF(H133&lt;&gt;"","M"&amp;INT((INT((TODAY()-DATE(2026,3,30))/7))/4+1),"—")</f>
        <v>—</v>
      </c>
      <c r="G133" s="76" t="str">
        <f aca="false">IF(C133&lt;&gt;"",TEXT(C133,"DDD"),"")</f>
        <v/>
      </c>
      <c r="H133" s="77"/>
      <c r="I133" s="77"/>
      <c r="J133" s="77"/>
      <c r="K133" s="77"/>
      <c r="L133" s="78"/>
      <c r="M133" s="78"/>
      <c r="N133" s="78"/>
      <c r="O133" s="78"/>
      <c r="P133" s="79"/>
      <c r="Q133" s="79"/>
      <c r="R133" s="79"/>
      <c r="S133" s="80" t="str">
        <f aca="false">IF(H133&lt;&gt;"",IFERROR(COUNTIF($H$111:$H133,H133),0),"—")</f>
        <v>—</v>
      </c>
      <c r="T133" s="64" t="str">
        <f aca="false">IF(H133="","",IF(S133&gt;=$C$8,"⚠️ Topic limit","✅ OK"))</f>
        <v/>
      </c>
      <c r="U133" s="64"/>
      <c r="V133" s="65"/>
    </row>
    <row r="134" customFormat="false" ht="18" hidden="false" customHeight="true" outlineLevel="0" collapsed="false">
      <c r="B134" s="81" t="n">
        <v>24</v>
      </c>
      <c r="C134" s="82" t="str">
        <f aca="true">IF(H134&lt;&gt;"",TODAY(),"")</f>
        <v/>
      </c>
      <c r="D134" s="82"/>
      <c r="E134" s="83" t="str">
        <f aca="true">IF(H134&lt;&gt;"","W"&amp;INT((TODAY()-DATE(2026,3,30))/7)+1,"—")</f>
        <v>—</v>
      </c>
      <c r="F134" s="84" t="str">
        <f aca="true">IF(H134&lt;&gt;"","M"&amp;INT((INT((TODAY()-DATE(2026,3,30))/7))/4+1),"—")</f>
        <v>—</v>
      </c>
      <c r="G134" s="85" t="str">
        <f aca="false">IF(C134&lt;&gt;"",TEXT(C134,"DDD"),"")</f>
        <v/>
      </c>
      <c r="H134" s="86"/>
      <c r="I134" s="86"/>
      <c r="J134" s="86"/>
      <c r="K134" s="86"/>
      <c r="L134" s="87"/>
      <c r="M134" s="87"/>
      <c r="N134" s="87"/>
      <c r="O134" s="87"/>
      <c r="P134" s="88"/>
      <c r="Q134" s="88"/>
      <c r="R134" s="88"/>
      <c r="S134" s="80" t="str">
        <f aca="false">IF(H134&lt;&gt;"",IFERROR(COUNTIF($H$111:$H134,H134),0),"—")</f>
        <v>—</v>
      </c>
      <c r="T134" s="89" t="str">
        <f aca="false">IF(H134="","",IF(S134&gt;=$C$8,"⚠️ Topic limit","✅ OK"))</f>
        <v/>
      </c>
      <c r="U134" s="89"/>
      <c r="V134" s="90"/>
    </row>
    <row r="135" customFormat="false" ht="18" hidden="false" customHeight="true" outlineLevel="0" collapsed="false">
      <c r="B135" s="72" t="n">
        <v>25</v>
      </c>
      <c r="C135" s="73" t="str">
        <f aca="true">IF(H135&lt;&gt;"",TODAY(),"")</f>
        <v/>
      </c>
      <c r="D135" s="73"/>
      <c r="E135" s="74" t="str">
        <f aca="true">IF(H135&lt;&gt;"","W"&amp;INT((TODAY()-DATE(2026,3,30))/7)+1,"—")</f>
        <v>—</v>
      </c>
      <c r="F135" s="75" t="str">
        <f aca="true">IF(H135&lt;&gt;"","M"&amp;INT((INT((TODAY()-DATE(2026,3,30))/7))/4+1),"—")</f>
        <v>—</v>
      </c>
      <c r="G135" s="76" t="str">
        <f aca="false">IF(C135&lt;&gt;"",TEXT(C135,"DDD"),"")</f>
        <v/>
      </c>
      <c r="H135" s="77"/>
      <c r="I135" s="77"/>
      <c r="J135" s="77"/>
      <c r="K135" s="77"/>
      <c r="L135" s="78"/>
      <c r="M135" s="78"/>
      <c r="N135" s="78"/>
      <c r="O135" s="78"/>
      <c r="P135" s="79"/>
      <c r="Q135" s="79"/>
      <c r="R135" s="79"/>
      <c r="S135" s="80" t="str">
        <f aca="false">IF(H135&lt;&gt;"",IFERROR(COUNTIF($H$111:$H135,H135),0),"—")</f>
        <v>—</v>
      </c>
      <c r="T135" s="64" t="str">
        <f aca="false">IF(H135="","",IF(S135&gt;=$C$8,"⚠️ Topic limit","✅ OK"))</f>
        <v/>
      </c>
      <c r="U135" s="64"/>
      <c r="V135" s="65"/>
    </row>
    <row r="136" customFormat="false" ht="18" hidden="false" customHeight="true" outlineLevel="0" collapsed="false">
      <c r="B136" s="81" t="n">
        <v>26</v>
      </c>
      <c r="C136" s="82" t="str">
        <f aca="true">IF(H136&lt;&gt;"",TODAY(),"")</f>
        <v/>
      </c>
      <c r="D136" s="82"/>
      <c r="E136" s="83" t="str">
        <f aca="true">IF(H136&lt;&gt;"","W"&amp;INT((TODAY()-DATE(2026,3,30))/7)+1,"—")</f>
        <v>—</v>
      </c>
      <c r="F136" s="84" t="str">
        <f aca="true">IF(H136&lt;&gt;"","M"&amp;INT((INT((TODAY()-DATE(2026,3,30))/7))/4+1),"—")</f>
        <v>—</v>
      </c>
      <c r="G136" s="85" t="str">
        <f aca="false">IF(C136&lt;&gt;"",TEXT(C136,"DDD"),"")</f>
        <v/>
      </c>
      <c r="H136" s="86"/>
      <c r="I136" s="86"/>
      <c r="J136" s="86"/>
      <c r="K136" s="86"/>
      <c r="L136" s="87"/>
      <c r="M136" s="87"/>
      <c r="N136" s="87"/>
      <c r="O136" s="87"/>
      <c r="P136" s="88"/>
      <c r="Q136" s="88"/>
      <c r="R136" s="88"/>
      <c r="S136" s="80" t="str">
        <f aca="false">IF(H136&lt;&gt;"",IFERROR(COUNTIF($H$111:$H136,H136),0),"—")</f>
        <v>—</v>
      </c>
      <c r="T136" s="89" t="str">
        <f aca="false">IF(H136="","",IF(S136&gt;=$C$8,"⚠️ Topic limit","✅ OK"))</f>
        <v/>
      </c>
      <c r="U136" s="89"/>
      <c r="V136" s="90"/>
    </row>
    <row r="137" customFormat="false" ht="18" hidden="false" customHeight="true" outlineLevel="0" collapsed="false">
      <c r="B137" s="72" t="n">
        <v>27</v>
      </c>
      <c r="C137" s="73" t="str">
        <f aca="true">IF(H137&lt;&gt;"",TODAY(),"")</f>
        <v/>
      </c>
      <c r="D137" s="73"/>
      <c r="E137" s="74" t="str">
        <f aca="true">IF(H137&lt;&gt;"","W"&amp;INT((TODAY()-DATE(2026,3,30))/7)+1,"—")</f>
        <v>—</v>
      </c>
      <c r="F137" s="75" t="str">
        <f aca="true">IF(H137&lt;&gt;"","M"&amp;INT((INT((TODAY()-DATE(2026,3,30))/7))/4+1),"—")</f>
        <v>—</v>
      </c>
      <c r="G137" s="76" t="str">
        <f aca="false">IF(C137&lt;&gt;"",TEXT(C137,"DDD"),"")</f>
        <v/>
      </c>
      <c r="H137" s="77"/>
      <c r="I137" s="77"/>
      <c r="J137" s="77"/>
      <c r="K137" s="77"/>
      <c r="L137" s="78"/>
      <c r="M137" s="78"/>
      <c r="N137" s="78"/>
      <c r="O137" s="78"/>
      <c r="P137" s="79"/>
      <c r="Q137" s="79"/>
      <c r="R137" s="79"/>
      <c r="S137" s="80" t="str">
        <f aca="false">IF(H137&lt;&gt;"",IFERROR(COUNTIF($H$111:$H137,H137),0),"—")</f>
        <v>—</v>
      </c>
      <c r="T137" s="64" t="str">
        <f aca="false">IF(H137="","",IF(S137&gt;=$C$8,"⚠️ Topic limit","✅ OK"))</f>
        <v/>
      </c>
      <c r="U137" s="64"/>
      <c r="V137" s="65"/>
    </row>
    <row r="138" customFormat="false" ht="18" hidden="false" customHeight="true" outlineLevel="0" collapsed="false">
      <c r="B138" s="81" t="n">
        <v>28</v>
      </c>
      <c r="C138" s="82" t="str">
        <f aca="true">IF(H138&lt;&gt;"",TODAY(),"")</f>
        <v/>
      </c>
      <c r="D138" s="82"/>
      <c r="E138" s="83" t="str">
        <f aca="true">IF(H138&lt;&gt;"","W"&amp;INT((TODAY()-DATE(2026,3,30))/7)+1,"—")</f>
        <v>—</v>
      </c>
      <c r="F138" s="84" t="str">
        <f aca="true">IF(H138&lt;&gt;"","M"&amp;INT((INT((TODAY()-DATE(2026,3,30))/7))/4+1),"—")</f>
        <v>—</v>
      </c>
      <c r="G138" s="85" t="str">
        <f aca="false">IF(C138&lt;&gt;"",TEXT(C138,"DDD"),"")</f>
        <v/>
      </c>
      <c r="H138" s="86"/>
      <c r="I138" s="86"/>
      <c r="J138" s="86"/>
      <c r="K138" s="86"/>
      <c r="L138" s="87"/>
      <c r="M138" s="87"/>
      <c r="N138" s="87"/>
      <c r="O138" s="87"/>
      <c r="P138" s="88"/>
      <c r="Q138" s="88"/>
      <c r="R138" s="88"/>
      <c r="S138" s="80" t="str">
        <f aca="false">IF(H138&lt;&gt;"",IFERROR(COUNTIF($H$111:$H138,H138),0),"—")</f>
        <v>—</v>
      </c>
      <c r="T138" s="89" t="str">
        <f aca="false">IF(H138="","",IF(S138&gt;=$C$8,"⚠️ Topic limit","✅ OK"))</f>
        <v/>
      </c>
      <c r="U138" s="89"/>
      <c r="V138" s="90"/>
    </row>
    <row r="139" customFormat="false" ht="18" hidden="false" customHeight="true" outlineLevel="0" collapsed="false">
      <c r="B139" s="72" t="n">
        <v>29</v>
      </c>
      <c r="C139" s="73" t="str">
        <f aca="true">IF(H139&lt;&gt;"",TODAY(),"")</f>
        <v/>
      </c>
      <c r="D139" s="73"/>
      <c r="E139" s="74" t="str">
        <f aca="true">IF(H139&lt;&gt;"","W"&amp;INT((TODAY()-DATE(2026,3,30))/7)+1,"—")</f>
        <v>—</v>
      </c>
      <c r="F139" s="75" t="str">
        <f aca="true">IF(H139&lt;&gt;"","M"&amp;INT((INT((TODAY()-DATE(2026,3,30))/7))/4+1),"—")</f>
        <v>—</v>
      </c>
      <c r="G139" s="76" t="str">
        <f aca="false">IF(C139&lt;&gt;"",TEXT(C139,"DDD"),"")</f>
        <v/>
      </c>
      <c r="H139" s="77"/>
      <c r="I139" s="77"/>
      <c r="J139" s="77"/>
      <c r="K139" s="77"/>
      <c r="L139" s="78"/>
      <c r="M139" s="78"/>
      <c r="N139" s="78"/>
      <c r="O139" s="78"/>
      <c r="P139" s="79"/>
      <c r="Q139" s="79"/>
      <c r="R139" s="79"/>
      <c r="S139" s="80" t="str">
        <f aca="false">IF(H139&lt;&gt;"",IFERROR(COUNTIF($H$111:$H139,H139),0),"—")</f>
        <v>—</v>
      </c>
      <c r="T139" s="64" t="str">
        <f aca="false">IF(H139="","",IF(S139&gt;=$C$8,"⚠️ Topic limit","✅ OK"))</f>
        <v/>
      </c>
      <c r="U139" s="64"/>
      <c r="V139" s="65"/>
    </row>
    <row r="140" customFormat="false" ht="18" hidden="false" customHeight="true" outlineLevel="0" collapsed="false">
      <c r="B140" s="81" t="n">
        <v>30</v>
      </c>
      <c r="C140" s="82" t="str">
        <f aca="true">IF(H140&lt;&gt;"",TODAY(),"")</f>
        <v/>
      </c>
      <c r="D140" s="82"/>
      <c r="E140" s="83" t="str">
        <f aca="true">IF(H140&lt;&gt;"","W"&amp;INT((TODAY()-DATE(2026,3,30))/7)+1,"—")</f>
        <v>—</v>
      </c>
      <c r="F140" s="84" t="str">
        <f aca="true">IF(H140&lt;&gt;"","M"&amp;INT((INT((TODAY()-DATE(2026,3,30))/7))/4+1),"—")</f>
        <v>—</v>
      </c>
      <c r="G140" s="85" t="str">
        <f aca="false">IF(C140&lt;&gt;"",TEXT(C140,"DDD"),"")</f>
        <v/>
      </c>
      <c r="H140" s="86"/>
      <c r="I140" s="86"/>
      <c r="J140" s="86"/>
      <c r="K140" s="86"/>
      <c r="L140" s="87"/>
      <c r="M140" s="87"/>
      <c r="N140" s="87"/>
      <c r="O140" s="87"/>
      <c r="P140" s="88"/>
      <c r="Q140" s="88"/>
      <c r="R140" s="88"/>
      <c r="S140" s="80" t="str">
        <f aca="false">IF(H140&lt;&gt;"",IFERROR(COUNTIF($H$111:$H140,H140),0),"—")</f>
        <v>—</v>
      </c>
      <c r="T140" s="89" t="str">
        <f aca="false">IF(H140="","",IF(S140&gt;=$C$8,"⚠️ Topic limit","✅ OK"))</f>
        <v/>
      </c>
      <c r="U140" s="89"/>
      <c r="V140" s="90"/>
    </row>
    <row r="141" customFormat="false" ht="18" hidden="false" customHeight="true" outlineLevel="0" collapsed="false">
      <c r="B141" s="72" t="n">
        <v>31</v>
      </c>
      <c r="C141" s="73" t="str">
        <f aca="true">IF(H141&lt;&gt;"",TODAY(),"")</f>
        <v/>
      </c>
      <c r="D141" s="73"/>
      <c r="E141" s="74" t="str">
        <f aca="true">IF(H141&lt;&gt;"","W"&amp;INT((TODAY()-DATE(2026,3,30))/7)+1,"—")</f>
        <v>—</v>
      </c>
      <c r="F141" s="75" t="str">
        <f aca="true">IF(H141&lt;&gt;"","M"&amp;INT((INT((TODAY()-DATE(2026,3,30))/7))/4+1),"—")</f>
        <v>—</v>
      </c>
      <c r="G141" s="76" t="str">
        <f aca="false">IF(C141&lt;&gt;"",TEXT(C141,"DDD"),"")</f>
        <v/>
      </c>
      <c r="H141" s="77"/>
      <c r="I141" s="77"/>
      <c r="J141" s="77"/>
      <c r="K141" s="77"/>
      <c r="L141" s="78"/>
      <c r="M141" s="78"/>
      <c r="N141" s="78"/>
      <c r="O141" s="78"/>
      <c r="P141" s="79"/>
      <c r="Q141" s="79"/>
      <c r="R141" s="79"/>
      <c r="S141" s="80" t="str">
        <f aca="false">IF(H141&lt;&gt;"",IFERROR(COUNTIF($H$111:$H141,H141),0),"—")</f>
        <v>—</v>
      </c>
      <c r="T141" s="64" t="str">
        <f aca="false">IF(H141="","",IF(S141&gt;=$C$8,"⚠️ Topic limit","✅ OK"))</f>
        <v/>
      </c>
      <c r="U141" s="64"/>
      <c r="V141" s="65"/>
    </row>
    <row r="142" customFormat="false" ht="18" hidden="false" customHeight="true" outlineLevel="0" collapsed="false">
      <c r="B142" s="81" t="n">
        <v>32</v>
      </c>
      <c r="C142" s="82" t="str">
        <f aca="true">IF(H142&lt;&gt;"",TODAY(),"")</f>
        <v/>
      </c>
      <c r="D142" s="82"/>
      <c r="E142" s="83" t="str">
        <f aca="true">IF(H142&lt;&gt;"","W"&amp;INT((TODAY()-DATE(2026,3,30))/7)+1,"—")</f>
        <v>—</v>
      </c>
      <c r="F142" s="84" t="str">
        <f aca="true">IF(H142&lt;&gt;"","M"&amp;INT((INT((TODAY()-DATE(2026,3,30))/7))/4+1),"—")</f>
        <v>—</v>
      </c>
      <c r="G142" s="85" t="str">
        <f aca="false">IF(C142&lt;&gt;"",TEXT(C142,"DDD"),"")</f>
        <v/>
      </c>
      <c r="H142" s="86"/>
      <c r="I142" s="86"/>
      <c r="J142" s="86"/>
      <c r="K142" s="86"/>
      <c r="L142" s="87"/>
      <c r="M142" s="87"/>
      <c r="N142" s="87"/>
      <c r="O142" s="87"/>
      <c r="P142" s="88"/>
      <c r="Q142" s="88"/>
      <c r="R142" s="88"/>
      <c r="S142" s="80" t="str">
        <f aca="false">IF(H142&lt;&gt;"",IFERROR(COUNTIF($H$111:$H142,H142),0),"—")</f>
        <v>—</v>
      </c>
      <c r="T142" s="89" t="str">
        <f aca="false">IF(H142="","",IF(S142&gt;=$C$8,"⚠️ Topic limit","✅ OK"))</f>
        <v/>
      </c>
      <c r="U142" s="89"/>
      <c r="V142" s="90"/>
    </row>
    <row r="143" customFormat="false" ht="18" hidden="false" customHeight="true" outlineLevel="0" collapsed="false">
      <c r="B143" s="72" t="n">
        <v>33</v>
      </c>
      <c r="C143" s="73" t="str">
        <f aca="true">IF(H143&lt;&gt;"",TODAY(),"")</f>
        <v/>
      </c>
      <c r="D143" s="73"/>
      <c r="E143" s="74" t="str">
        <f aca="true">IF(H143&lt;&gt;"","W"&amp;INT((TODAY()-DATE(2026,3,30))/7)+1,"—")</f>
        <v>—</v>
      </c>
      <c r="F143" s="75" t="str">
        <f aca="true">IF(H143&lt;&gt;"","M"&amp;INT((INT((TODAY()-DATE(2026,3,30))/7))/4+1),"—")</f>
        <v>—</v>
      </c>
      <c r="G143" s="76" t="str">
        <f aca="false">IF(C143&lt;&gt;"",TEXT(C143,"DDD"),"")</f>
        <v/>
      </c>
      <c r="H143" s="77"/>
      <c r="I143" s="77"/>
      <c r="J143" s="77"/>
      <c r="K143" s="77"/>
      <c r="L143" s="78"/>
      <c r="M143" s="78"/>
      <c r="N143" s="78"/>
      <c r="O143" s="78"/>
      <c r="P143" s="79"/>
      <c r="Q143" s="79"/>
      <c r="R143" s="79"/>
      <c r="S143" s="80" t="str">
        <f aca="false">IF(H143&lt;&gt;"",IFERROR(COUNTIF($H$111:$H143,H143),0),"—")</f>
        <v>—</v>
      </c>
      <c r="T143" s="64" t="str">
        <f aca="false">IF(H143="","",IF(S143&gt;=$C$8,"⚠️ Topic limit","✅ OK"))</f>
        <v/>
      </c>
      <c r="U143" s="64"/>
      <c r="V143" s="65"/>
    </row>
    <row r="144" customFormat="false" ht="18" hidden="false" customHeight="true" outlineLevel="0" collapsed="false">
      <c r="B144" s="81" t="n">
        <v>34</v>
      </c>
      <c r="C144" s="82" t="str">
        <f aca="true">IF(H144&lt;&gt;"",TODAY(),"")</f>
        <v/>
      </c>
      <c r="D144" s="82"/>
      <c r="E144" s="83" t="str">
        <f aca="true">IF(H144&lt;&gt;"","W"&amp;INT((TODAY()-DATE(2026,3,30))/7)+1,"—")</f>
        <v>—</v>
      </c>
      <c r="F144" s="84" t="str">
        <f aca="true">IF(H144&lt;&gt;"","M"&amp;INT((INT((TODAY()-DATE(2026,3,30))/7))/4+1),"—")</f>
        <v>—</v>
      </c>
      <c r="G144" s="85" t="str">
        <f aca="false">IF(C144&lt;&gt;"",TEXT(C144,"DDD"),"")</f>
        <v/>
      </c>
      <c r="H144" s="86"/>
      <c r="I144" s="86"/>
      <c r="J144" s="86"/>
      <c r="K144" s="86"/>
      <c r="L144" s="87"/>
      <c r="M144" s="87"/>
      <c r="N144" s="87"/>
      <c r="O144" s="87"/>
      <c r="P144" s="88"/>
      <c r="Q144" s="88"/>
      <c r="R144" s="88"/>
      <c r="S144" s="80" t="str">
        <f aca="false">IF(H144&lt;&gt;"",IFERROR(COUNTIF($H$111:$H144,H144),0),"—")</f>
        <v>—</v>
      </c>
      <c r="T144" s="89" t="str">
        <f aca="false">IF(H144="","",IF(S144&gt;=$C$8,"⚠️ Topic limit","✅ OK"))</f>
        <v/>
      </c>
      <c r="U144" s="89"/>
      <c r="V144" s="90"/>
    </row>
    <row r="145" customFormat="false" ht="18" hidden="false" customHeight="true" outlineLevel="0" collapsed="false">
      <c r="B145" s="72" t="n">
        <v>35</v>
      </c>
      <c r="C145" s="73" t="str">
        <f aca="true">IF(H145&lt;&gt;"",TODAY(),"")</f>
        <v/>
      </c>
      <c r="D145" s="73"/>
      <c r="E145" s="74" t="str">
        <f aca="true">IF(H145&lt;&gt;"","W"&amp;INT((TODAY()-DATE(2026,3,30))/7)+1,"—")</f>
        <v>—</v>
      </c>
      <c r="F145" s="75" t="str">
        <f aca="true">IF(H145&lt;&gt;"","M"&amp;INT((INT((TODAY()-DATE(2026,3,30))/7))/4+1),"—")</f>
        <v>—</v>
      </c>
      <c r="G145" s="76" t="str">
        <f aca="false">IF(C145&lt;&gt;"",TEXT(C145,"DDD"),"")</f>
        <v/>
      </c>
      <c r="H145" s="77"/>
      <c r="I145" s="77"/>
      <c r="J145" s="77"/>
      <c r="K145" s="77"/>
      <c r="L145" s="78"/>
      <c r="M145" s="78"/>
      <c r="N145" s="78"/>
      <c r="O145" s="78"/>
      <c r="P145" s="79"/>
      <c r="Q145" s="79"/>
      <c r="R145" s="79"/>
      <c r="S145" s="80" t="str">
        <f aca="false">IF(H145&lt;&gt;"",IFERROR(COUNTIF($H$111:$H145,H145),0),"—")</f>
        <v>—</v>
      </c>
      <c r="T145" s="64" t="str">
        <f aca="false">IF(H145="","",IF(S145&gt;=$C$8,"⚠️ Topic limit","✅ OK"))</f>
        <v/>
      </c>
      <c r="U145" s="64"/>
      <c r="V145" s="65"/>
    </row>
    <row r="146" customFormat="false" ht="18" hidden="false" customHeight="true" outlineLevel="0" collapsed="false">
      <c r="B146" s="81" t="n">
        <v>36</v>
      </c>
      <c r="C146" s="82" t="str">
        <f aca="true">IF(H146&lt;&gt;"",TODAY(),"")</f>
        <v/>
      </c>
      <c r="D146" s="82"/>
      <c r="E146" s="83" t="str">
        <f aca="true">IF(H146&lt;&gt;"","W"&amp;INT((TODAY()-DATE(2026,3,30))/7)+1,"—")</f>
        <v>—</v>
      </c>
      <c r="F146" s="84" t="str">
        <f aca="true">IF(H146&lt;&gt;"","M"&amp;INT((INT((TODAY()-DATE(2026,3,30))/7))/4+1),"—")</f>
        <v>—</v>
      </c>
      <c r="G146" s="85" t="str">
        <f aca="false">IF(C146&lt;&gt;"",TEXT(C146,"DDD"),"")</f>
        <v/>
      </c>
      <c r="H146" s="86"/>
      <c r="I146" s="86"/>
      <c r="J146" s="86"/>
      <c r="K146" s="86"/>
      <c r="L146" s="87"/>
      <c r="M146" s="87"/>
      <c r="N146" s="87"/>
      <c r="O146" s="87"/>
      <c r="P146" s="88"/>
      <c r="Q146" s="88"/>
      <c r="R146" s="88"/>
      <c r="S146" s="80" t="str">
        <f aca="false">IF(H146&lt;&gt;"",IFERROR(COUNTIF($H$111:$H146,H146),0),"—")</f>
        <v>—</v>
      </c>
      <c r="T146" s="89" t="str">
        <f aca="false">IF(H146="","",IF(S146&gt;=$C$8,"⚠️ Topic limit","✅ OK"))</f>
        <v/>
      </c>
      <c r="U146" s="89"/>
      <c r="V146" s="90"/>
    </row>
    <row r="147" customFormat="false" ht="18" hidden="false" customHeight="true" outlineLevel="0" collapsed="false">
      <c r="B147" s="72" t="n">
        <v>37</v>
      </c>
      <c r="C147" s="73" t="str">
        <f aca="true">IF(H147&lt;&gt;"",TODAY(),"")</f>
        <v/>
      </c>
      <c r="D147" s="73"/>
      <c r="E147" s="74" t="str">
        <f aca="true">IF(H147&lt;&gt;"","W"&amp;INT((TODAY()-DATE(2026,3,30))/7)+1,"—")</f>
        <v>—</v>
      </c>
      <c r="F147" s="75" t="str">
        <f aca="true">IF(H147&lt;&gt;"","M"&amp;INT((INT((TODAY()-DATE(2026,3,30))/7))/4+1),"—")</f>
        <v>—</v>
      </c>
      <c r="G147" s="76" t="str">
        <f aca="false">IF(C147&lt;&gt;"",TEXT(C147,"DDD"),"")</f>
        <v/>
      </c>
      <c r="H147" s="77"/>
      <c r="I147" s="77"/>
      <c r="J147" s="77"/>
      <c r="K147" s="77"/>
      <c r="L147" s="78"/>
      <c r="M147" s="78"/>
      <c r="N147" s="78"/>
      <c r="O147" s="78"/>
      <c r="P147" s="79"/>
      <c r="Q147" s="79"/>
      <c r="R147" s="79"/>
      <c r="S147" s="80" t="str">
        <f aca="false">IF(H147&lt;&gt;"",IFERROR(COUNTIF($H$111:$H147,H147),0),"—")</f>
        <v>—</v>
      </c>
      <c r="T147" s="64" t="str">
        <f aca="false">IF(H147="","",IF(S147&gt;=$C$8,"⚠️ Topic limit","✅ OK"))</f>
        <v/>
      </c>
      <c r="U147" s="64"/>
      <c r="V147" s="65"/>
    </row>
    <row r="148" customFormat="false" ht="18" hidden="false" customHeight="true" outlineLevel="0" collapsed="false">
      <c r="B148" s="81" t="n">
        <v>38</v>
      </c>
      <c r="C148" s="82" t="str">
        <f aca="true">IF(H148&lt;&gt;"",TODAY(),"")</f>
        <v/>
      </c>
      <c r="D148" s="82"/>
      <c r="E148" s="83" t="str">
        <f aca="true">IF(H148&lt;&gt;"","W"&amp;INT((TODAY()-DATE(2026,3,30))/7)+1,"—")</f>
        <v>—</v>
      </c>
      <c r="F148" s="84" t="str">
        <f aca="true">IF(H148&lt;&gt;"","M"&amp;INT((INT((TODAY()-DATE(2026,3,30))/7))/4+1),"—")</f>
        <v>—</v>
      </c>
      <c r="G148" s="85" t="str">
        <f aca="false">IF(C148&lt;&gt;"",TEXT(C148,"DDD"),"")</f>
        <v/>
      </c>
      <c r="H148" s="86"/>
      <c r="I148" s="86"/>
      <c r="J148" s="86"/>
      <c r="K148" s="86"/>
      <c r="L148" s="87"/>
      <c r="M148" s="87"/>
      <c r="N148" s="87"/>
      <c r="O148" s="87"/>
      <c r="P148" s="88"/>
      <c r="Q148" s="88"/>
      <c r="R148" s="88"/>
      <c r="S148" s="80" t="str">
        <f aca="false">IF(H148&lt;&gt;"",IFERROR(COUNTIF($H$111:$H148,H148),0),"—")</f>
        <v>—</v>
      </c>
      <c r="T148" s="89" t="str">
        <f aca="false">IF(H148="","",IF(S148&gt;=$C$8,"⚠️ Topic limit","✅ OK"))</f>
        <v/>
      </c>
      <c r="U148" s="89"/>
      <c r="V148" s="90"/>
    </row>
    <row r="149" customFormat="false" ht="18" hidden="false" customHeight="true" outlineLevel="0" collapsed="false">
      <c r="B149" s="72" t="n">
        <v>39</v>
      </c>
      <c r="C149" s="73" t="str">
        <f aca="true">IF(H149&lt;&gt;"",TODAY(),"")</f>
        <v/>
      </c>
      <c r="D149" s="73"/>
      <c r="E149" s="74" t="str">
        <f aca="true">IF(H149&lt;&gt;"","W"&amp;INT((TODAY()-DATE(2026,3,30))/7)+1,"—")</f>
        <v>—</v>
      </c>
      <c r="F149" s="75" t="str">
        <f aca="true">IF(H149&lt;&gt;"","M"&amp;INT((INT((TODAY()-DATE(2026,3,30))/7))/4+1),"—")</f>
        <v>—</v>
      </c>
      <c r="G149" s="76" t="str">
        <f aca="false">IF(C149&lt;&gt;"",TEXT(C149,"DDD"),"")</f>
        <v/>
      </c>
      <c r="H149" s="77"/>
      <c r="I149" s="77"/>
      <c r="J149" s="77"/>
      <c r="K149" s="77"/>
      <c r="L149" s="78"/>
      <c r="M149" s="78"/>
      <c r="N149" s="78"/>
      <c r="O149" s="78"/>
      <c r="P149" s="79"/>
      <c r="Q149" s="79"/>
      <c r="R149" s="79"/>
      <c r="S149" s="80" t="str">
        <f aca="false">IF(H149&lt;&gt;"",IFERROR(COUNTIF($H$111:$H149,H149),0),"—")</f>
        <v>—</v>
      </c>
      <c r="T149" s="64" t="str">
        <f aca="false">IF(H149="","",IF(S149&gt;=$C$8,"⚠️ Topic limit","✅ OK"))</f>
        <v/>
      </c>
      <c r="U149" s="64"/>
      <c r="V149" s="65"/>
    </row>
    <row r="150" customFormat="false" ht="18" hidden="false" customHeight="true" outlineLevel="0" collapsed="false">
      <c r="B150" s="81" t="n">
        <v>40</v>
      </c>
      <c r="C150" s="82" t="str">
        <f aca="true">IF(H150&lt;&gt;"",TODAY(),"")</f>
        <v/>
      </c>
      <c r="D150" s="82"/>
      <c r="E150" s="83" t="str">
        <f aca="true">IF(H150&lt;&gt;"","W"&amp;INT((TODAY()-DATE(2026,3,30))/7)+1,"—")</f>
        <v>—</v>
      </c>
      <c r="F150" s="84" t="str">
        <f aca="true">IF(H150&lt;&gt;"","M"&amp;INT((INT((TODAY()-DATE(2026,3,30))/7))/4+1),"—")</f>
        <v>—</v>
      </c>
      <c r="G150" s="85" t="str">
        <f aca="false">IF(C150&lt;&gt;"",TEXT(C150,"DDD"),"")</f>
        <v/>
      </c>
      <c r="H150" s="86"/>
      <c r="I150" s="86"/>
      <c r="J150" s="86"/>
      <c r="K150" s="86"/>
      <c r="L150" s="87"/>
      <c r="M150" s="87"/>
      <c r="N150" s="87"/>
      <c r="O150" s="87"/>
      <c r="P150" s="88"/>
      <c r="Q150" s="88"/>
      <c r="R150" s="88"/>
      <c r="S150" s="80" t="str">
        <f aca="false">IF(H150&lt;&gt;"",IFERROR(COUNTIF($H$111:$H150,H150),0),"—")</f>
        <v>—</v>
      </c>
      <c r="T150" s="89" t="str">
        <f aca="false">IF(H150="","",IF(S150&gt;=$C$8,"⚠️ Topic limit","✅ OK"))</f>
        <v/>
      </c>
      <c r="U150" s="89"/>
      <c r="V150" s="90"/>
    </row>
    <row r="151" customFormat="false" ht="18" hidden="false" customHeight="true" outlineLevel="0" collapsed="false">
      <c r="B151" s="72" t="n">
        <v>41</v>
      </c>
      <c r="C151" s="73" t="str">
        <f aca="true">IF(H151&lt;&gt;"",TODAY(),"")</f>
        <v/>
      </c>
      <c r="D151" s="73"/>
      <c r="E151" s="74" t="str">
        <f aca="true">IF(H151&lt;&gt;"","W"&amp;INT((TODAY()-DATE(2026,3,30))/7)+1,"—")</f>
        <v>—</v>
      </c>
      <c r="F151" s="75" t="str">
        <f aca="true">IF(H151&lt;&gt;"","M"&amp;INT((INT((TODAY()-DATE(2026,3,30))/7))/4+1),"—")</f>
        <v>—</v>
      </c>
      <c r="G151" s="76" t="str">
        <f aca="false">IF(C151&lt;&gt;"",TEXT(C151,"DDD"),"")</f>
        <v/>
      </c>
      <c r="H151" s="77"/>
      <c r="I151" s="77"/>
      <c r="J151" s="77"/>
      <c r="K151" s="77"/>
      <c r="L151" s="78"/>
      <c r="M151" s="78"/>
      <c r="N151" s="78"/>
      <c r="O151" s="78"/>
      <c r="P151" s="79"/>
      <c r="Q151" s="79"/>
      <c r="R151" s="79"/>
      <c r="S151" s="80" t="str">
        <f aca="false">IF(H151&lt;&gt;"",IFERROR(COUNTIF($H$111:$H151,H151),0),"—")</f>
        <v>—</v>
      </c>
      <c r="T151" s="64" t="str">
        <f aca="false">IF(H151="","",IF(S151&gt;=$C$8,"⚠️ Topic limit","✅ OK"))</f>
        <v/>
      </c>
      <c r="U151" s="64"/>
      <c r="V151" s="65"/>
    </row>
    <row r="152" customFormat="false" ht="18" hidden="false" customHeight="true" outlineLevel="0" collapsed="false">
      <c r="B152" s="81" t="n">
        <v>42</v>
      </c>
      <c r="C152" s="82" t="str">
        <f aca="true">IF(H152&lt;&gt;"",TODAY(),"")</f>
        <v/>
      </c>
      <c r="D152" s="82"/>
      <c r="E152" s="83" t="str">
        <f aca="true">IF(H152&lt;&gt;"","W"&amp;INT((TODAY()-DATE(2026,3,30))/7)+1,"—")</f>
        <v>—</v>
      </c>
      <c r="F152" s="84" t="str">
        <f aca="true">IF(H152&lt;&gt;"","M"&amp;INT((INT((TODAY()-DATE(2026,3,30))/7))/4+1),"—")</f>
        <v>—</v>
      </c>
      <c r="G152" s="85" t="str">
        <f aca="false">IF(C152&lt;&gt;"",TEXT(C152,"DDD"),"")</f>
        <v/>
      </c>
      <c r="H152" s="86"/>
      <c r="I152" s="86"/>
      <c r="J152" s="86"/>
      <c r="K152" s="86"/>
      <c r="L152" s="87"/>
      <c r="M152" s="87"/>
      <c r="N152" s="87"/>
      <c r="O152" s="87"/>
      <c r="P152" s="88"/>
      <c r="Q152" s="88"/>
      <c r="R152" s="88"/>
      <c r="S152" s="80" t="str">
        <f aca="false">IF(H152&lt;&gt;"",IFERROR(COUNTIF($H$111:$H152,H152),0),"—")</f>
        <v>—</v>
      </c>
      <c r="T152" s="89" t="str">
        <f aca="false">IF(H152="","",IF(S152&gt;=$C$8,"⚠️ Topic limit","✅ OK"))</f>
        <v/>
      </c>
      <c r="U152" s="89"/>
      <c r="V152" s="90"/>
    </row>
    <row r="153" customFormat="false" ht="18" hidden="false" customHeight="true" outlineLevel="0" collapsed="false">
      <c r="B153" s="72" t="n">
        <v>43</v>
      </c>
      <c r="C153" s="73" t="str">
        <f aca="true">IF(H153&lt;&gt;"",TODAY(),"")</f>
        <v/>
      </c>
      <c r="D153" s="73"/>
      <c r="E153" s="74" t="str">
        <f aca="true">IF(H153&lt;&gt;"","W"&amp;INT((TODAY()-DATE(2026,3,30))/7)+1,"—")</f>
        <v>—</v>
      </c>
      <c r="F153" s="75" t="str">
        <f aca="true">IF(H153&lt;&gt;"","M"&amp;INT((INT((TODAY()-DATE(2026,3,30))/7))/4+1),"—")</f>
        <v>—</v>
      </c>
      <c r="G153" s="76" t="str">
        <f aca="false">IF(C153&lt;&gt;"",TEXT(C153,"DDD"),"")</f>
        <v/>
      </c>
      <c r="H153" s="77"/>
      <c r="I153" s="77"/>
      <c r="J153" s="77"/>
      <c r="K153" s="77"/>
      <c r="L153" s="78"/>
      <c r="M153" s="78"/>
      <c r="N153" s="78"/>
      <c r="O153" s="78"/>
      <c r="P153" s="79"/>
      <c r="Q153" s="79"/>
      <c r="R153" s="79"/>
      <c r="S153" s="80" t="str">
        <f aca="false">IF(H153&lt;&gt;"",IFERROR(COUNTIF($H$111:$H153,H153),0),"—")</f>
        <v>—</v>
      </c>
      <c r="T153" s="64" t="str">
        <f aca="false">IF(H153="","",IF(S153&gt;=$C$8,"⚠️ Topic limit","✅ OK"))</f>
        <v/>
      </c>
      <c r="U153" s="64"/>
      <c r="V153" s="65"/>
    </row>
    <row r="154" customFormat="false" ht="18" hidden="false" customHeight="true" outlineLevel="0" collapsed="false">
      <c r="B154" s="81" t="n">
        <v>44</v>
      </c>
      <c r="C154" s="82" t="str">
        <f aca="true">IF(H154&lt;&gt;"",TODAY(),"")</f>
        <v/>
      </c>
      <c r="D154" s="82"/>
      <c r="E154" s="83" t="str">
        <f aca="true">IF(H154&lt;&gt;"","W"&amp;INT((TODAY()-DATE(2026,3,30))/7)+1,"—")</f>
        <v>—</v>
      </c>
      <c r="F154" s="84" t="str">
        <f aca="true">IF(H154&lt;&gt;"","M"&amp;INT((INT((TODAY()-DATE(2026,3,30))/7))/4+1),"—")</f>
        <v>—</v>
      </c>
      <c r="G154" s="85" t="str">
        <f aca="false">IF(C154&lt;&gt;"",TEXT(C154,"DDD"),"")</f>
        <v/>
      </c>
      <c r="H154" s="86"/>
      <c r="I154" s="86"/>
      <c r="J154" s="86"/>
      <c r="K154" s="86"/>
      <c r="L154" s="87"/>
      <c r="M154" s="87"/>
      <c r="N154" s="87"/>
      <c r="O154" s="87"/>
      <c r="P154" s="88"/>
      <c r="Q154" s="88"/>
      <c r="R154" s="88"/>
      <c r="S154" s="80" t="str">
        <f aca="false">IF(H154&lt;&gt;"",IFERROR(COUNTIF($H$111:$H154,H154),0),"—")</f>
        <v>—</v>
      </c>
      <c r="T154" s="89" t="str">
        <f aca="false">IF(H154="","",IF(S154&gt;=$C$8,"⚠️ Topic limit","✅ OK"))</f>
        <v/>
      </c>
      <c r="U154" s="89"/>
      <c r="V154" s="90"/>
    </row>
    <row r="155" customFormat="false" ht="18" hidden="false" customHeight="true" outlineLevel="0" collapsed="false">
      <c r="B155" s="72" t="n">
        <v>45</v>
      </c>
      <c r="C155" s="73" t="str">
        <f aca="true">IF(H155&lt;&gt;"",TODAY(),"")</f>
        <v/>
      </c>
      <c r="D155" s="73"/>
      <c r="E155" s="74" t="str">
        <f aca="true">IF(H155&lt;&gt;"","W"&amp;INT((TODAY()-DATE(2026,3,30))/7)+1,"—")</f>
        <v>—</v>
      </c>
      <c r="F155" s="75" t="str">
        <f aca="true">IF(H155&lt;&gt;"","M"&amp;INT((INT((TODAY()-DATE(2026,3,30))/7))/4+1),"—")</f>
        <v>—</v>
      </c>
      <c r="G155" s="76" t="str">
        <f aca="false">IF(C155&lt;&gt;"",TEXT(C155,"DDD"),"")</f>
        <v/>
      </c>
      <c r="H155" s="77"/>
      <c r="I155" s="77"/>
      <c r="J155" s="77"/>
      <c r="K155" s="77"/>
      <c r="L155" s="78"/>
      <c r="M155" s="78"/>
      <c r="N155" s="78"/>
      <c r="O155" s="78"/>
      <c r="P155" s="79"/>
      <c r="Q155" s="79"/>
      <c r="R155" s="79"/>
      <c r="S155" s="80" t="str">
        <f aca="false">IF(H155&lt;&gt;"",IFERROR(COUNTIF($H$111:$H155,H155),0),"—")</f>
        <v>—</v>
      </c>
      <c r="T155" s="64" t="str">
        <f aca="false">IF(H155="","",IF(S155&gt;=$C$8,"⚠️ Topic limit","✅ OK"))</f>
        <v/>
      </c>
      <c r="U155" s="64"/>
      <c r="V155" s="65"/>
    </row>
    <row r="156" customFormat="false" ht="18" hidden="false" customHeight="true" outlineLevel="0" collapsed="false">
      <c r="B156" s="81" t="n">
        <v>46</v>
      </c>
      <c r="C156" s="82" t="str">
        <f aca="true">IF(H156&lt;&gt;"",TODAY(),"")</f>
        <v/>
      </c>
      <c r="D156" s="82"/>
      <c r="E156" s="83" t="str">
        <f aca="true">IF(H156&lt;&gt;"","W"&amp;INT((TODAY()-DATE(2026,3,30))/7)+1,"—")</f>
        <v>—</v>
      </c>
      <c r="F156" s="84" t="str">
        <f aca="true">IF(H156&lt;&gt;"","M"&amp;INT((INT((TODAY()-DATE(2026,3,30))/7))/4+1),"—")</f>
        <v>—</v>
      </c>
      <c r="G156" s="85" t="str">
        <f aca="false">IF(C156&lt;&gt;"",TEXT(C156,"DDD"),"")</f>
        <v/>
      </c>
      <c r="H156" s="86"/>
      <c r="I156" s="86"/>
      <c r="J156" s="86"/>
      <c r="K156" s="86"/>
      <c r="L156" s="87"/>
      <c r="M156" s="87"/>
      <c r="N156" s="87"/>
      <c r="O156" s="87"/>
      <c r="P156" s="88"/>
      <c r="Q156" s="88"/>
      <c r="R156" s="88"/>
      <c r="S156" s="80" t="str">
        <f aca="false">IF(H156&lt;&gt;"",IFERROR(COUNTIF($H$111:$H156,H156),0),"—")</f>
        <v>—</v>
      </c>
      <c r="T156" s="89" t="str">
        <f aca="false">IF(H156="","",IF(S156&gt;=$C$8,"⚠️ Topic limit","✅ OK"))</f>
        <v/>
      </c>
      <c r="U156" s="89"/>
      <c r="V156" s="90"/>
    </row>
    <row r="157" customFormat="false" ht="18" hidden="false" customHeight="true" outlineLevel="0" collapsed="false">
      <c r="B157" s="72" t="n">
        <v>47</v>
      </c>
      <c r="C157" s="73" t="str">
        <f aca="true">IF(H157&lt;&gt;"",TODAY(),"")</f>
        <v/>
      </c>
      <c r="D157" s="73"/>
      <c r="E157" s="74" t="str">
        <f aca="true">IF(H157&lt;&gt;"","W"&amp;INT((TODAY()-DATE(2026,3,30))/7)+1,"—")</f>
        <v>—</v>
      </c>
      <c r="F157" s="75" t="str">
        <f aca="true">IF(H157&lt;&gt;"","M"&amp;INT((INT((TODAY()-DATE(2026,3,30))/7))/4+1),"—")</f>
        <v>—</v>
      </c>
      <c r="G157" s="76" t="str">
        <f aca="false">IF(C157&lt;&gt;"",TEXT(C157,"DDD"),"")</f>
        <v/>
      </c>
      <c r="H157" s="77"/>
      <c r="I157" s="77"/>
      <c r="J157" s="77"/>
      <c r="K157" s="77"/>
      <c r="L157" s="78"/>
      <c r="M157" s="78"/>
      <c r="N157" s="78"/>
      <c r="O157" s="78"/>
      <c r="P157" s="79"/>
      <c r="Q157" s="79"/>
      <c r="R157" s="79"/>
      <c r="S157" s="80" t="str">
        <f aca="false">IF(H157&lt;&gt;"",IFERROR(COUNTIF($H$111:$H157,H157),0),"—")</f>
        <v>—</v>
      </c>
      <c r="T157" s="64" t="str">
        <f aca="false">IF(H157="","",IF(S157&gt;=$C$8,"⚠️ Topic limit","✅ OK"))</f>
        <v/>
      </c>
      <c r="U157" s="64"/>
      <c r="V157" s="65"/>
    </row>
    <row r="158" customFormat="false" ht="18" hidden="false" customHeight="true" outlineLevel="0" collapsed="false">
      <c r="B158" s="81" t="n">
        <v>48</v>
      </c>
      <c r="C158" s="82" t="str">
        <f aca="true">IF(H158&lt;&gt;"",TODAY(),"")</f>
        <v/>
      </c>
      <c r="D158" s="82"/>
      <c r="E158" s="83" t="str">
        <f aca="true">IF(H158&lt;&gt;"","W"&amp;INT((TODAY()-DATE(2026,3,30))/7)+1,"—")</f>
        <v>—</v>
      </c>
      <c r="F158" s="84" t="str">
        <f aca="true">IF(H158&lt;&gt;"","M"&amp;INT((INT((TODAY()-DATE(2026,3,30))/7))/4+1),"—")</f>
        <v>—</v>
      </c>
      <c r="G158" s="85" t="str">
        <f aca="false">IF(C158&lt;&gt;"",TEXT(C158,"DDD"),"")</f>
        <v/>
      </c>
      <c r="H158" s="86"/>
      <c r="I158" s="86"/>
      <c r="J158" s="86"/>
      <c r="K158" s="86"/>
      <c r="L158" s="87"/>
      <c r="M158" s="87"/>
      <c r="N158" s="87"/>
      <c r="O158" s="87"/>
      <c r="P158" s="88"/>
      <c r="Q158" s="88"/>
      <c r="R158" s="88"/>
      <c r="S158" s="80" t="str">
        <f aca="false">IF(H158&lt;&gt;"",IFERROR(COUNTIF($H$111:$H158,H158),0),"—")</f>
        <v>—</v>
      </c>
      <c r="T158" s="89" t="str">
        <f aca="false">IF(H158="","",IF(S158&gt;=$C$8,"⚠️ Topic limit","✅ OK"))</f>
        <v/>
      </c>
      <c r="U158" s="89"/>
      <c r="V158" s="90"/>
    </row>
    <row r="159" customFormat="false" ht="18" hidden="false" customHeight="true" outlineLevel="0" collapsed="false">
      <c r="B159" s="72" t="n">
        <v>49</v>
      </c>
      <c r="C159" s="73" t="str">
        <f aca="true">IF(H159&lt;&gt;"",TODAY(),"")</f>
        <v/>
      </c>
      <c r="D159" s="73"/>
      <c r="E159" s="74" t="str">
        <f aca="true">IF(H159&lt;&gt;"","W"&amp;INT((TODAY()-DATE(2026,3,30))/7)+1,"—")</f>
        <v>—</v>
      </c>
      <c r="F159" s="75" t="str">
        <f aca="true">IF(H159&lt;&gt;"","M"&amp;INT((INT((TODAY()-DATE(2026,3,30))/7))/4+1),"—")</f>
        <v>—</v>
      </c>
      <c r="G159" s="76" t="str">
        <f aca="false">IF(C159&lt;&gt;"",TEXT(C159,"DDD"),"")</f>
        <v/>
      </c>
      <c r="H159" s="77"/>
      <c r="I159" s="77"/>
      <c r="J159" s="77"/>
      <c r="K159" s="77"/>
      <c r="L159" s="78"/>
      <c r="M159" s="78"/>
      <c r="N159" s="78"/>
      <c r="O159" s="78"/>
      <c r="P159" s="79"/>
      <c r="Q159" s="79"/>
      <c r="R159" s="79"/>
      <c r="S159" s="80" t="str">
        <f aca="false">IF(H159&lt;&gt;"",IFERROR(COUNTIF($H$111:$H159,H159),0),"—")</f>
        <v>—</v>
      </c>
      <c r="T159" s="64" t="str">
        <f aca="false">IF(H159="","",IF(S159&gt;=$C$8,"⚠️ Topic limit","✅ OK"))</f>
        <v/>
      </c>
      <c r="U159" s="64"/>
      <c r="V159" s="65"/>
    </row>
    <row r="160" customFormat="false" ht="18" hidden="false" customHeight="true" outlineLevel="0" collapsed="false">
      <c r="B160" s="81" t="n">
        <v>50</v>
      </c>
      <c r="C160" s="82" t="str">
        <f aca="true">IF(H160&lt;&gt;"",TODAY(),"")</f>
        <v/>
      </c>
      <c r="D160" s="82"/>
      <c r="E160" s="83" t="str">
        <f aca="true">IF(H160&lt;&gt;"","W"&amp;INT((TODAY()-DATE(2026,3,30))/7)+1,"—")</f>
        <v>—</v>
      </c>
      <c r="F160" s="84" t="str">
        <f aca="true">IF(H160&lt;&gt;"","M"&amp;INT((INT((TODAY()-DATE(2026,3,30))/7))/4+1),"—")</f>
        <v>—</v>
      </c>
      <c r="G160" s="85" t="str">
        <f aca="false">IF(C160&lt;&gt;"",TEXT(C160,"DDD"),"")</f>
        <v/>
      </c>
      <c r="H160" s="86"/>
      <c r="I160" s="86"/>
      <c r="J160" s="86"/>
      <c r="K160" s="86"/>
      <c r="L160" s="87"/>
      <c r="M160" s="87"/>
      <c r="N160" s="87"/>
      <c r="O160" s="87"/>
      <c r="P160" s="88"/>
      <c r="Q160" s="88"/>
      <c r="R160" s="88"/>
      <c r="S160" s="80" t="str">
        <f aca="false">IF(H160&lt;&gt;"",IFERROR(COUNTIF($H$111:$H160,H160),0),"—")</f>
        <v>—</v>
      </c>
      <c r="T160" s="89" t="str">
        <f aca="false">IF(H160="","",IF(S160&gt;=$C$8,"⚠️ Topic limit","✅ OK"))</f>
        <v/>
      </c>
      <c r="U160" s="89"/>
      <c r="V160" s="90"/>
    </row>
    <row r="161" customFormat="false" ht="4.5" hidden="false" customHeight="true" outlineLevel="0" collapsed="false"/>
    <row r="162" customFormat="false" ht="16.5" hidden="false" customHeight="true" outlineLevel="0" collapsed="false">
      <c r="A162" s="4" t="s">
        <v>74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customFormat="false" ht="18" hidden="false" customHeight="true" outlineLevel="0" collapsed="false">
      <c r="B163" s="91" t="s">
        <v>75</v>
      </c>
      <c r="C163" s="92" t="s">
        <v>76</v>
      </c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3" t="s">
        <v>77</v>
      </c>
      <c r="V163" s="93"/>
    </row>
    <row r="164" customFormat="false" ht="18" hidden="false" customHeight="true" outlineLevel="0" collapsed="false">
      <c r="B164" s="94" t="s">
        <v>78</v>
      </c>
      <c r="C164" s="95" t="s">
        <v>79</v>
      </c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6" t="s">
        <v>80</v>
      </c>
      <c r="V164" s="96"/>
    </row>
    <row r="165" customFormat="false" ht="18" hidden="false" customHeight="true" outlineLevel="0" collapsed="false">
      <c r="B165" s="91" t="s">
        <v>81</v>
      </c>
      <c r="C165" s="92" t="s">
        <v>82</v>
      </c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3" t="s">
        <v>83</v>
      </c>
      <c r="V165" s="93"/>
    </row>
    <row r="166" customFormat="false" ht="18" hidden="false" customHeight="true" outlineLevel="0" collapsed="false">
      <c r="B166" s="94" t="s">
        <v>84</v>
      </c>
      <c r="C166" s="95" t="s">
        <v>85</v>
      </c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6" t="s">
        <v>86</v>
      </c>
      <c r="V166" s="96"/>
    </row>
    <row r="167" customFormat="false" ht="18" hidden="false" customHeight="true" outlineLevel="0" collapsed="false">
      <c r="B167" s="91" t="s">
        <v>87</v>
      </c>
      <c r="C167" s="92" t="s">
        <v>88</v>
      </c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3" t="s">
        <v>89</v>
      </c>
      <c r="V167" s="93"/>
    </row>
    <row r="400" customFormat="false" ht="15" hidden="false" customHeight="true" outlineLevel="0" collapsed="false">
      <c r="A400" s="97" t="n">
        <f aca="true">IFERROR(INT((TODAY()-DATE(2026,3,30))/7)+1,1)</f>
        <v>1</v>
      </c>
      <c r="B400" s="97" t="n">
        <f aca="false">IFERROR(INT((A400-1)/4)+1,1)</f>
        <v>1</v>
      </c>
      <c r="C400" s="97" t="n">
        <f aca="false">IFERROR(MOD(A400-1,4)+1,1)</f>
        <v>1</v>
      </c>
      <c r="D400" s="98" t="b">
        <f aca="false">C400&gt;=3</f>
        <v>0</v>
      </c>
      <c r="E400" s="99" t="n">
        <f aca="false">$C$11</f>
        <v>2</v>
      </c>
    </row>
    <row r="401" customFormat="false" ht="15" hidden="false" customHeight="true" outlineLevel="0" collapsed="false">
      <c r="A401" s="97" t="n">
        <v>19</v>
      </c>
      <c r="B401" s="97" t="str">
        <f aca="false">'🔄 Topic Pool'!D19</f>
        <v>SQL Advanced: LAG, LEAD, FIRST_VALUE, LAST_VALUE, NTH_VALUE — analytical functions</v>
      </c>
      <c r="C401" s="97" t="str">
        <f aca="false">'🔄 Topic Pool'!E19</f>
        <v>M1-SQL</v>
      </c>
      <c r="D401" s="100" t="n">
        <f aca="false">'🔄 Topic Pool'!F19</f>
        <v>0.5</v>
      </c>
      <c r="E401" s="100" t="n">
        <f aca="false">'🔄 Topic Pool'!G19</f>
        <v>1</v>
      </c>
      <c r="F401" s="100" t="n">
        <f aca="false">'🔄 Topic Pool'!H19</f>
        <v>1.5</v>
      </c>
      <c r="G401" s="97" t="str">
        <f aca="false">'🔄 Topic Pool'!J19</f>
        <v>🔴 HIGH</v>
      </c>
      <c r="H401" s="97" t="str">
        <f aca="false">'🔄 Topic Pool'!P19</f>
        <v>⬜ Pending</v>
      </c>
      <c r="I401" s="101" t="n">
        <v>46126</v>
      </c>
      <c r="J401" s="97" t="str">
        <f aca="false">'🔄 Topic Pool'!M19</f>
        <v>[COURSE]</v>
      </c>
      <c r="K401" s="97" t="n">
        <v>1</v>
      </c>
      <c r="L401" s="97" t="n">
        <f aca="false">'🔄 Topic Pool'!I19</f>
        <v>13</v>
      </c>
      <c r="M401" s="97" t="n">
        <v>16</v>
      </c>
      <c r="N401" s="97" t="s">
        <v>90</v>
      </c>
      <c r="O401" s="98" t="b">
        <f aca="true">AND(OR(H401="❌ Missed",H401="🔄 Partial"),I401&lt;TODAY()-$C$9)</f>
        <v>0</v>
      </c>
      <c r="P401" s="102" t="b">
        <f aca="false">AND(O401=TRUE(),A452=TRUE(),K401=$B$400)</f>
        <v>0</v>
      </c>
      <c r="Q401" s="98" t="b">
        <f aca="false">IF($E$15="❌ OFF",TRUE(),'🔄 Topic Pool'!P18="✅ Done")</f>
        <v>0</v>
      </c>
      <c r="R401" s="98" t="b">
        <f aca="true">AND(OR(H401="⬜ Pending",H401="🔄 Partial",H401="❌ Missed"),I401&lt;=TODAY(),Q401=TRUE())</f>
        <v>0</v>
      </c>
      <c r="S401" s="102" t="b">
        <f aca="false">OR(A460=2,AND(A460=1,O401=TRUE()))</f>
        <v>0</v>
      </c>
      <c r="T401" s="97" t="n">
        <f aca="false">IF(R401,E401,0)</f>
        <v>0</v>
      </c>
      <c r="U401" s="98" t="b">
        <f aca="false">OR(P401,AND(R401,T401&lt;=$M$24))</f>
        <v>0</v>
      </c>
    </row>
    <row r="402" customFormat="false" ht="15" hidden="false" customHeight="true" outlineLevel="0" collapsed="false">
      <c r="A402" s="97" t="n">
        <v>23</v>
      </c>
      <c r="B402" s="97" t="str">
        <f aca="false">'🔄 Topic Pool'!D23</f>
        <v>SQL Advanced: MERGE (upsert/CDC), SCD Type 1/2/3 implementation in pure SQL</v>
      </c>
      <c r="C402" s="97" t="str">
        <f aca="false">'🔄 Topic Pool'!E23</f>
        <v>M1-SQL</v>
      </c>
      <c r="D402" s="100" t="n">
        <f aca="false">'🔄 Topic Pool'!F23</f>
        <v>1</v>
      </c>
      <c r="E402" s="100" t="n">
        <f aca="false">'🔄 Topic Pool'!G23</f>
        <v>2</v>
      </c>
      <c r="F402" s="100" t="n">
        <f aca="false">'🔄 Topic Pool'!H23</f>
        <v>3</v>
      </c>
      <c r="G402" s="97" t="str">
        <f aca="false">'🔄 Topic Pool'!J23</f>
        <v>🔴 HIGH</v>
      </c>
      <c r="H402" s="97" t="str">
        <f aca="false">'🔄 Topic Pool'!P23</f>
        <v>⬜ Pending</v>
      </c>
      <c r="I402" s="101" t="n">
        <v>46130</v>
      </c>
      <c r="J402" s="97" t="str">
        <f aca="false">'🔄 Topic Pool'!M23</f>
        <v>[GAP]</v>
      </c>
      <c r="K402" s="97" t="n">
        <v>1</v>
      </c>
      <c r="L402" s="97" t="n">
        <f aca="false">'🔄 Topic Pool'!I23</f>
        <v>14</v>
      </c>
      <c r="M402" s="97" t="n">
        <v>20</v>
      </c>
      <c r="N402" s="97" t="s">
        <v>91</v>
      </c>
      <c r="O402" s="98" t="b">
        <f aca="true">AND(OR(H402="❌ Missed",H402="🔄 Partial"),I402&lt;TODAY()-$C$9)</f>
        <v>0</v>
      </c>
      <c r="P402" s="102" t="b">
        <f aca="false">AND(O402=TRUE(),A452=TRUE(),K402=$B$400,COUNTIF($P$401:$P401,TRUE())&lt;$C$11)</f>
        <v>0</v>
      </c>
      <c r="Q402" s="98" t="b">
        <f aca="false">IF($E$15="❌ OFF",TRUE(),'🔄 Topic Pool'!P22="✅ Done")</f>
        <v>0</v>
      </c>
      <c r="R402" s="98" t="b">
        <f aca="true">AND(OR(H402="⬜ Pending",H402="🔄 Partial",H402="❌ Missed"),I402&lt;=TODAY(),Q402=TRUE())</f>
        <v>0</v>
      </c>
      <c r="S402" s="102" t="b">
        <f aca="false">OR(A460=2,AND(A460=1,O402=TRUE()))</f>
        <v>0</v>
      </c>
      <c r="T402" s="97" t="n">
        <f aca="false">IF(R402,T401+E402,T401)</f>
        <v>0</v>
      </c>
      <c r="U402" s="98" t="b">
        <f aca="false">OR(P402,AND(R402,T402&lt;=$M$24))</f>
        <v>0</v>
      </c>
    </row>
    <row r="403" customFormat="false" ht="15" hidden="false" customHeight="true" outlineLevel="0" collapsed="false">
      <c r="A403" s="97" t="n">
        <v>32</v>
      </c>
      <c r="B403" s="97" t="str">
        <f aca="false">'🔄 Topic Pool'!D32</f>
        <v>Python Basics: data types, control flow, list/dict/set comprehensions, functions</v>
      </c>
      <c r="C403" s="97" t="str">
        <f aca="false">'🔄 Topic Pool'!E32</f>
        <v>M2-Python</v>
      </c>
      <c r="D403" s="100" t="n">
        <f aca="false">'🔄 Topic Pool'!F32</f>
        <v>0.5</v>
      </c>
      <c r="E403" s="100" t="n">
        <f aca="false">'🔄 Topic Pool'!G32</f>
        <v>1</v>
      </c>
      <c r="F403" s="100" t="n">
        <f aca="false">'🔄 Topic Pool'!H32</f>
        <v>1.5</v>
      </c>
      <c r="G403" s="97" t="str">
        <f aca="false">'🔄 Topic Pool'!J32</f>
        <v>🔴 HIGH</v>
      </c>
      <c r="H403" s="97" t="str">
        <f aca="false">'🔄 Topic Pool'!P32</f>
        <v>⬜ Pending</v>
      </c>
      <c r="I403" s="101" t="n">
        <v>46139</v>
      </c>
      <c r="J403" s="97" t="str">
        <f aca="false">'🔄 Topic Pool'!M32</f>
        <v>[GAP]</v>
      </c>
      <c r="K403" s="97" t="n">
        <v>2</v>
      </c>
      <c r="L403" s="97" t="n">
        <f aca="false">'🔄 Topic Pool'!I32</f>
        <v>12</v>
      </c>
      <c r="M403" s="97" t="n">
        <v>1</v>
      </c>
      <c r="N403" s="97" t="s">
        <v>26</v>
      </c>
      <c r="O403" s="98" t="b">
        <f aca="true">AND(OR(H403="❌ Missed",H403="🔄 Partial"),I403&lt;TODAY()-$C$9)</f>
        <v>0</v>
      </c>
      <c r="P403" s="102" t="b">
        <f aca="false">AND(O403=TRUE(),A452=TRUE(),K403=$B$400,COUNTIF($P$401:$P402,TRUE())&lt;$C$11)</f>
        <v>0</v>
      </c>
      <c r="Q403" s="98" t="b">
        <f aca="false">TRUE()</f>
        <v>1</v>
      </c>
      <c r="R403" s="98" t="b">
        <f aca="true">AND(OR(H403="⬜ Pending",H403="🔄 Partial",H403="❌ Missed"),I403&lt;=TODAY(),Q403=TRUE())</f>
        <v>0</v>
      </c>
      <c r="S403" s="102" t="b">
        <f aca="false">OR(A460=2,AND(A460=1,O403=TRUE()))</f>
        <v>0</v>
      </c>
      <c r="T403" s="97" t="n">
        <f aca="false">IF(R403,T402+E403,T402)</f>
        <v>0</v>
      </c>
      <c r="U403" s="98" t="b">
        <f aca="false">OR(P403,AND(R403,T403&lt;=$M$24))</f>
        <v>0</v>
      </c>
    </row>
    <row r="404" customFormat="false" ht="15" hidden="false" customHeight="true" outlineLevel="0" collapsed="false">
      <c r="A404" s="97" t="n">
        <v>33</v>
      </c>
      <c r="B404" s="97" t="str">
        <f aca="false">'🔄 Topic Pool'!D33</f>
        <v>Python OOP: Classes, dunder methods — __init__ __str__ __repr__ __eq__ __hash__</v>
      </c>
      <c r="C404" s="97" t="str">
        <f aca="false">'🔄 Topic Pool'!E33</f>
        <v>M2-Python</v>
      </c>
      <c r="D404" s="100" t="n">
        <f aca="false">'🔄 Topic Pool'!F33</f>
        <v>0.5</v>
      </c>
      <c r="E404" s="100" t="n">
        <f aca="false">'🔄 Topic Pool'!G33</f>
        <v>1</v>
      </c>
      <c r="F404" s="100" t="n">
        <f aca="false">'🔄 Topic Pool'!H33</f>
        <v>1.5</v>
      </c>
      <c r="G404" s="97" t="str">
        <f aca="false">'🔄 Topic Pool'!J33</f>
        <v>🔴 HIGH</v>
      </c>
      <c r="H404" s="97" t="str">
        <f aca="false">'🔄 Topic Pool'!P33</f>
        <v>⬜ Pending</v>
      </c>
      <c r="I404" s="101" t="n">
        <v>46140</v>
      </c>
      <c r="J404" s="97" t="str">
        <f aca="false">'🔄 Topic Pool'!M33</f>
        <v>[GAP]</v>
      </c>
      <c r="K404" s="97" t="n">
        <v>2</v>
      </c>
      <c r="L404" s="97" t="n">
        <f aca="false">'🔄 Topic Pool'!I33</f>
        <v>13</v>
      </c>
      <c r="M404" s="97" t="n">
        <v>2</v>
      </c>
      <c r="N404" s="97" t="s">
        <v>92</v>
      </c>
      <c r="O404" s="98" t="b">
        <f aca="true">AND(OR(H404="❌ Missed",H404="🔄 Partial"),I404&lt;TODAY()-$C$9)</f>
        <v>0</v>
      </c>
      <c r="P404" s="102" t="b">
        <f aca="false">AND(O404=TRUE(),A452=TRUE(),K404=$B$400,COUNTIF($P$401:$P403,TRUE())&lt;$C$11)</f>
        <v>0</v>
      </c>
      <c r="Q404" s="98" t="b">
        <f aca="false">IF($E$15="❌ OFF",TRUE(),'🔄 Topic Pool'!P32="✅ Done")</f>
        <v>0</v>
      </c>
      <c r="R404" s="98" t="b">
        <f aca="true">AND(OR(H404="⬜ Pending",H404="🔄 Partial",H404="❌ Missed"),I404&lt;=TODAY(),Q404=TRUE())</f>
        <v>0</v>
      </c>
      <c r="S404" s="102" t="b">
        <f aca="false">OR(A460=2,AND(A460=1,O404=TRUE()))</f>
        <v>0</v>
      </c>
      <c r="T404" s="97" t="n">
        <f aca="false">IF(R404,T403+E404,T403)</f>
        <v>0</v>
      </c>
      <c r="U404" s="98" t="b">
        <f aca="false">OR(P404,AND(R404,T404&lt;=$M$24))</f>
        <v>0</v>
      </c>
    </row>
    <row r="405" customFormat="false" ht="15" hidden="false" customHeight="true" outlineLevel="0" collapsed="false">
      <c r="A405" s="97" t="n">
        <v>34</v>
      </c>
      <c r="B405" s="97" t="str">
        <f aca="false">'🔄 Topic Pool'!D34</f>
        <v>Python OOP: Inheritance, MRO, super(), abstract classes (ABC), Mixins</v>
      </c>
      <c r="C405" s="97" t="str">
        <f aca="false">'🔄 Topic Pool'!E34</f>
        <v>M2-Python</v>
      </c>
      <c r="D405" s="100" t="n">
        <f aca="false">'🔄 Topic Pool'!F34</f>
        <v>0.5</v>
      </c>
      <c r="E405" s="100" t="n">
        <f aca="false">'🔄 Topic Pool'!G34</f>
        <v>1</v>
      </c>
      <c r="F405" s="100" t="n">
        <f aca="false">'🔄 Topic Pool'!H34</f>
        <v>1.5</v>
      </c>
      <c r="G405" s="97" t="str">
        <f aca="false">'🔄 Topic Pool'!J34</f>
        <v>🟠 MODERATE</v>
      </c>
      <c r="H405" s="97" t="str">
        <f aca="false">'🔄 Topic Pool'!P34</f>
        <v>⬜ Pending</v>
      </c>
      <c r="I405" s="101" t="n">
        <v>46141</v>
      </c>
      <c r="J405" s="97" t="str">
        <f aca="false">'🔄 Topic Pool'!M34</f>
        <v>[GAP]</v>
      </c>
      <c r="K405" s="97" t="n">
        <v>2</v>
      </c>
      <c r="L405" s="97" t="n">
        <f aca="false">'🔄 Topic Pool'!I34</f>
        <v>11</v>
      </c>
      <c r="M405" s="97" t="n">
        <v>3</v>
      </c>
      <c r="N405" s="97" t="s">
        <v>93</v>
      </c>
      <c r="O405" s="98" t="b">
        <f aca="true">AND(OR(H405="❌ Missed",H405="🔄 Partial"),I405&lt;TODAY()-$C$9)</f>
        <v>0</v>
      </c>
      <c r="P405" s="102" t="b">
        <f aca="false">AND(O405=TRUE(),A452=TRUE(),K405=$B$400,COUNTIF($P$401:$P404,TRUE())&lt;$C$11)</f>
        <v>0</v>
      </c>
      <c r="Q405" s="98" t="b">
        <f aca="false">IF($E$15="❌ OFF",TRUE(),'🔄 Topic Pool'!P33="✅ Done")</f>
        <v>0</v>
      </c>
      <c r="R405" s="98" t="b">
        <f aca="true">AND(OR(H405="⬜ Pending",H405="🔄 Partial",H405="❌ Missed"),I405&lt;=TODAY(),Q405=TRUE())</f>
        <v>0</v>
      </c>
      <c r="S405" s="102" t="b">
        <f aca="false">OR(A460=2,AND(A460=1,O405=TRUE()))</f>
        <v>0</v>
      </c>
      <c r="T405" s="97" t="n">
        <f aca="false">IF(R405,T404+E405,T404)</f>
        <v>0</v>
      </c>
      <c r="U405" s="98" t="b">
        <f aca="false">OR(P405,AND(R405,T405&lt;=$M$24))</f>
        <v>0</v>
      </c>
    </row>
    <row r="406" customFormat="false" ht="15" hidden="false" customHeight="true" outlineLevel="0" collapsed="false">
      <c r="A406" s="97" t="n">
        <v>35</v>
      </c>
      <c r="B406" s="97" t="str">
        <f aca="false">'🔄 Topic Pool'!D35</f>
        <v>Python OOP: @property, @staticmethod, @classmethod, composition over inheritance</v>
      </c>
      <c r="C406" s="97" t="str">
        <f aca="false">'🔄 Topic Pool'!E35</f>
        <v>M2-Python</v>
      </c>
      <c r="D406" s="100" t="n">
        <f aca="false">'🔄 Topic Pool'!F35</f>
        <v>0.5</v>
      </c>
      <c r="E406" s="100" t="n">
        <f aca="false">'🔄 Topic Pool'!G35</f>
        <v>0.75</v>
      </c>
      <c r="F406" s="100" t="n">
        <f aca="false">'🔄 Topic Pool'!H35</f>
        <v>1</v>
      </c>
      <c r="G406" s="97" t="str">
        <f aca="false">'🔄 Topic Pool'!J35</f>
        <v>🟠 MODERATE</v>
      </c>
      <c r="H406" s="97" t="str">
        <f aca="false">'🔄 Topic Pool'!P35</f>
        <v>⬜ Pending</v>
      </c>
      <c r="I406" s="101" t="n">
        <v>46142</v>
      </c>
      <c r="J406" s="97" t="str">
        <f aca="false">'🔄 Topic Pool'!M35</f>
        <v>[GAP]</v>
      </c>
      <c r="K406" s="97" t="n">
        <v>2</v>
      </c>
      <c r="L406" s="97" t="n">
        <f aca="false">'🔄 Topic Pool'!I35</f>
        <v>11</v>
      </c>
      <c r="M406" s="97" t="n">
        <v>4</v>
      </c>
      <c r="N406" s="97" t="s">
        <v>94</v>
      </c>
      <c r="O406" s="98" t="b">
        <f aca="true">AND(OR(H406="❌ Missed",H406="🔄 Partial"),I406&lt;TODAY()-$C$9)</f>
        <v>0</v>
      </c>
      <c r="P406" s="102" t="b">
        <f aca="false">AND(O406=TRUE(),A452=TRUE(),K406=$B$400,COUNTIF($P$401:$P405,TRUE())&lt;$C$11)</f>
        <v>0</v>
      </c>
      <c r="Q406" s="98" t="b">
        <f aca="false">IF($E$15="❌ OFF",TRUE(),'🔄 Topic Pool'!P34="✅ Done")</f>
        <v>0</v>
      </c>
      <c r="R406" s="98" t="b">
        <f aca="true">AND(OR(H406="⬜ Pending",H406="🔄 Partial",H406="❌ Missed"),I406&lt;=TODAY(),Q406=TRUE())</f>
        <v>0</v>
      </c>
      <c r="S406" s="102" t="b">
        <f aca="false">OR(A460=2,AND(A460=1,O406=TRUE()))</f>
        <v>0</v>
      </c>
      <c r="T406" s="97" t="n">
        <f aca="false">IF(R406,T405+E406,T405)</f>
        <v>0</v>
      </c>
      <c r="U406" s="98" t="b">
        <f aca="false">OR(P406,AND(R406,T406&lt;=$M$24))</f>
        <v>0</v>
      </c>
    </row>
    <row r="407" customFormat="false" ht="15" hidden="false" customHeight="true" outlineLevel="0" collapsed="false">
      <c r="A407" s="97" t="n">
        <v>37</v>
      </c>
      <c r="B407" s="97" t="str">
        <f aca="false">'🔄 Topic Pool'!D37</f>
        <v>Python: Dataclasses, Pydantic v2 — BaseModel, validators, computed fields, settings</v>
      </c>
      <c r="C407" s="97" t="str">
        <f aca="false">'🔄 Topic Pool'!E37</f>
        <v>M2-Python</v>
      </c>
      <c r="D407" s="100" t="n">
        <f aca="false">'🔄 Topic Pool'!F37</f>
        <v>1</v>
      </c>
      <c r="E407" s="100" t="n">
        <f aca="false">'🔄 Topic Pool'!G37</f>
        <v>1.5</v>
      </c>
      <c r="F407" s="100" t="n">
        <f aca="false">'🔄 Topic Pool'!H37</f>
        <v>2</v>
      </c>
      <c r="G407" s="97" t="str">
        <f aca="false">'🔄 Topic Pool'!J37</f>
        <v>🟠 MODERATE</v>
      </c>
      <c r="H407" s="97" t="str">
        <f aca="false">'🔄 Topic Pool'!P37</f>
        <v>⬜ Pending</v>
      </c>
      <c r="I407" s="101" t="n">
        <v>46144</v>
      </c>
      <c r="J407" s="97" t="str">
        <f aca="false">'🔄 Topic Pool'!M37</f>
        <v>[GAP]</v>
      </c>
      <c r="K407" s="97" t="n">
        <v>2</v>
      </c>
      <c r="L407" s="97" t="n">
        <f aca="false">'🔄 Topic Pool'!I37</f>
        <v>11</v>
      </c>
      <c r="M407" s="97" t="n">
        <v>6</v>
      </c>
      <c r="N407" s="97" t="s">
        <v>95</v>
      </c>
      <c r="O407" s="98" t="b">
        <f aca="true">AND(OR(H407="❌ Missed",H407="🔄 Partial"),I407&lt;TODAY()-$C$9)</f>
        <v>0</v>
      </c>
      <c r="P407" s="102" t="b">
        <f aca="false">AND(O407=TRUE(),A452=TRUE(),K407=$B$400,COUNTIF($P$401:$P406,TRUE())&lt;$C$11)</f>
        <v>0</v>
      </c>
      <c r="Q407" s="98" t="b">
        <f aca="false">IF($E$15="❌ OFF",TRUE(),'🔄 Topic Pool'!P36="✅ Done")</f>
        <v>0</v>
      </c>
      <c r="R407" s="98" t="b">
        <f aca="true">AND(OR(H407="⬜ Pending",H407="🔄 Partial",H407="❌ Missed"),I407&lt;=TODAY(),Q407=TRUE())</f>
        <v>0</v>
      </c>
      <c r="S407" s="102" t="b">
        <f aca="false">OR(A460=2,AND(A460=1,O407=TRUE()))</f>
        <v>0</v>
      </c>
      <c r="T407" s="97" t="n">
        <f aca="false">IF(R407,T406+E407,T406)</f>
        <v>0</v>
      </c>
      <c r="U407" s="98" t="b">
        <f aca="false">OR(P407,AND(R407,T407&lt;=$M$24))</f>
        <v>0</v>
      </c>
    </row>
    <row r="408" customFormat="false" ht="15" hidden="false" customHeight="true" outlineLevel="0" collapsed="false">
      <c r="A408" s="97" t="n">
        <v>39</v>
      </c>
      <c r="B408" s="97" t="str">
        <f aca="false">'🔄 Topic Pool'!D39</f>
        <v>Python: Generators, iterators, yield, send(), generator expressions, itertools</v>
      </c>
      <c r="C408" s="97" t="str">
        <f aca="false">'🔄 Topic Pool'!E39</f>
        <v>M2-Python</v>
      </c>
      <c r="D408" s="100" t="n">
        <f aca="false">'🔄 Topic Pool'!F39</f>
        <v>0.5</v>
      </c>
      <c r="E408" s="100" t="n">
        <f aca="false">'🔄 Topic Pool'!G39</f>
        <v>1</v>
      </c>
      <c r="F408" s="100" t="n">
        <f aca="false">'🔄 Topic Pool'!H39</f>
        <v>1.5</v>
      </c>
      <c r="G408" s="97" t="str">
        <f aca="false">'🔄 Topic Pool'!J39</f>
        <v>🟠 MODERATE</v>
      </c>
      <c r="H408" s="97" t="str">
        <f aca="false">'🔄 Topic Pool'!P39</f>
        <v>⬜ Pending</v>
      </c>
      <c r="I408" s="101" t="n">
        <v>46146</v>
      </c>
      <c r="J408" s="97" t="str">
        <f aca="false">'🔄 Topic Pool'!M39</f>
        <v>[GAP]</v>
      </c>
      <c r="K408" s="97" t="n">
        <v>2</v>
      </c>
      <c r="L408" s="97" t="n">
        <f aca="false">'🔄 Topic Pool'!I39</f>
        <v>11</v>
      </c>
      <c r="M408" s="97" t="n">
        <v>8</v>
      </c>
      <c r="N408" s="97" t="s">
        <v>96</v>
      </c>
      <c r="O408" s="98" t="b">
        <f aca="true">AND(OR(H408="❌ Missed",H408="🔄 Partial"),I408&lt;TODAY()-$C$9)</f>
        <v>0</v>
      </c>
      <c r="P408" s="102" t="b">
        <f aca="false">AND(O408=TRUE(),A452=TRUE(),K408=$B$400,COUNTIF($P$401:$P407,TRUE())&lt;$C$11)</f>
        <v>0</v>
      </c>
      <c r="Q408" s="98" t="b">
        <f aca="false">IF($E$15="❌ OFF",TRUE(),'🔄 Topic Pool'!P38="✅ Done")</f>
        <v>0</v>
      </c>
      <c r="R408" s="98" t="b">
        <f aca="true">AND(OR(H408="⬜ Pending",H408="🔄 Partial",H408="❌ Missed"),I408&lt;=TODAY(),Q408=TRUE())</f>
        <v>0</v>
      </c>
      <c r="S408" s="102" t="b">
        <f aca="false">OR(A460=2,AND(A460=1,O408=TRUE()))</f>
        <v>0</v>
      </c>
      <c r="T408" s="97" t="n">
        <f aca="false">IF(R408,T407+E408,T407)</f>
        <v>0</v>
      </c>
      <c r="U408" s="98" t="b">
        <f aca="false">OR(P408,AND(R408,T408&lt;=$M$24))</f>
        <v>0</v>
      </c>
    </row>
    <row r="409" customFormat="false" ht="15" hidden="false" customHeight="true" outlineLevel="0" collapsed="false">
      <c r="A409" s="97" t="n">
        <v>40</v>
      </c>
      <c r="B409" s="97" t="str">
        <f aca="false">'🔄 Topic Pool'!D40</f>
        <v>Python: Decorators — functools.wraps, parameterized, class-based, stacking</v>
      </c>
      <c r="C409" s="97" t="str">
        <f aca="false">'🔄 Topic Pool'!E40</f>
        <v>M2-Python</v>
      </c>
      <c r="D409" s="100" t="n">
        <f aca="false">'🔄 Topic Pool'!F40</f>
        <v>0.5</v>
      </c>
      <c r="E409" s="100" t="n">
        <f aca="false">'🔄 Topic Pool'!G40</f>
        <v>1</v>
      </c>
      <c r="F409" s="100" t="n">
        <f aca="false">'🔄 Topic Pool'!H40</f>
        <v>1.5</v>
      </c>
      <c r="G409" s="97" t="str">
        <f aca="false">'🔄 Topic Pool'!J40</f>
        <v>🟠 MODERATE</v>
      </c>
      <c r="H409" s="97" t="str">
        <f aca="false">'🔄 Topic Pool'!P40</f>
        <v>⬜ Pending</v>
      </c>
      <c r="I409" s="101" t="n">
        <v>46147</v>
      </c>
      <c r="J409" s="97" t="str">
        <f aca="false">'🔄 Topic Pool'!M40</f>
        <v>[GAP]</v>
      </c>
      <c r="K409" s="97" t="n">
        <v>2</v>
      </c>
      <c r="L409" s="97" t="n">
        <f aca="false">'🔄 Topic Pool'!I40</f>
        <v>11</v>
      </c>
      <c r="M409" s="97" t="n">
        <v>9</v>
      </c>
      <c r="N409" s="97" t="s">
        <v>97</v>
      </c>
      <c r="O409" s="98" t="b">
        <f aca="true">AND(OR(H409="❌ Missed",H409="🔄 Partial"),I409&lt;TODAY()-$C$9)</f>
        <v>0</v>
      </c>
      <c r="P409" s="102" t="b">
        <f aca="false">AND(O409=TRUE(),A452=TRUE(),K409=$B$400,COUNTIF($P$401:$P408,TRUE())&lt;$C$11)</f>
        <v>0</v>
      </c>
      <c r="Q409" s="98" t="b">
        <f aca="false">IF($E$15="❌ OFF",TRUE(),'🔄 Topic Pool'!P39="✅ Done")</f>
        <v>0</v>
      </c>
      <c r="R409" s="98" t="b">
        <f aca="true">AND(OR(H409="⬜ Pending",H409="🔄 Partial",H409="❌ Missed"),I409&lt;=TODAY(),Q409=TRUE())</f>
        <v>0</v>
      </c>
      <c r="S409" s="102" t="b">
        <f aca="false">OR(A460=2,AND(A460=1,O409=TRUE()))</f>
        <v>0</v>
      </c>
      <c r="T409" s="97" t="n">
        <f aca="false">IF(R409,T408+E409,T408)</f>
        <v>0</v>
      </c>
      <c r="U409" s="98" t="b">
        <f aca="false">OR(P409,AND(R409,T409&lt;=$M$24))</f>
        <v>0</v>
      </c>
    </row>
    <row r="410" customFormat="false" ht="15" hidden="false" customHeight="true" outlineLevel="0" collapsed="false">
      <c r="A410" s="97" t="n">
        <v>41</v>
      </c>
      <c r="B410" s="97" t="str">
        <f aca="false">'🔄 Topic Pool'!D41</f>
        <v>Python: Context managers — __enter__/__exit__, contextlib.contextmanager</v>
      </c>
      <c r="C410" s="97" t="str">
        <f aca="false">'🔄 Topic Pool'!E41</f>
        <v>M2-Python</v>
      </c>
      <c r="D410" s="100" t="n">
        <f aca="false">'🔄 Topic Pool'!F41</f>
        <v>0.5</v>
      </c>
      <c r="E410" s="100" t="n">
        <f aca="false">'🔄 Topic Pool'!G41</f>
        <v>0.75</v>
      </c>
      <c r="F410" s="100" t="n">
        <f aca="false">'🔄 Topic Pool'!H41</f>
        <v>1</v>
      </c>
      <c r="G410" s="97" t="str">
        <f aca="false">'🔄 Topic Pool'!J41</f>
        <v>🟠 MODERATE</v>
      </c>
      <c r="H410" s="97" t="str">
        <f aca="false">'🔄 Topic Pool'!P41</f>
        <v>⬜ Pending</v>
      </c>
      <c r="I410" s="101" t="n">
        <v>46148</v>
      </c>
      <c r="J410" s="97" t="str">
        <f aca="false">'🔄 Topic Pool'!M41</f>
        <v>[GAP]</v>
      </c>
      <c r="K410" s="97" t="n">
        <v>2</v>
      </c>
      <c r="L410" s="97" t="n">
        <f aca="false">'🔄 Topic Pool'!I41</f>
        <v>8</v>
      </c>
      <c r="M410" s="97" t="n">
        <v>10</v>
      </c>
      <c r="N410" s="97" t="s">
        <v>98</v>
      </c>
      <c r="O410" s="98" t="b">
        <f aca="true">AND(OR(H410="❌ Missed",H410="🔄 Partial"),I410&lt;TODAY()-$C$9)</f>
        <v>0</v>
      </c>
      <c r="P410" s="102" t="b">
        <f aca="false">AND(O410=TRUE(),A452=TRUE(),K410=$B$400,COUNTIF($P$401:$P409,TRUE())&lt;$C$11)</f>
        <v>0</v>
      </c>
      <c r="Q410" s="98" t="b">
        <f aca="false">IF($E$15="❌ OFF",TRUE(),'🔄 Topic Pool'!P40="✅ Done")</f>
        <v>0</v>
      </c>
      <c r="R410" s="98" t="b">
        <f aca="true">AND(OR(H410="⬜ Pending",H410="🔄 Partial",H410="❌ Missed"),I410&lt;=TODAY(),Q410=TRUE())</f>
        <v>0</v>
      </c>
      <c r="S410" s="102" t="b">
        <f aca="false">OR(A460=2,AND(A460=1,O410=TRUE()))</f>
        <v>0</v>
      </c>
      <c r="T410" s="97" t="n">
        <f aca="false">IF(R410,T409+E410,T409)</f>
        <v>0</v>
      </c>
      <c r="U410" s="98" t="b">
        <f aca="false">OR(P410,AND(R410,T410&lt;=$M$24))</f>
        <v>0</v>
      </c>
    </row>
    <row r="411" customFormat="false" ht="15" hidden="false" customHeight="true" outlineLevel="0" collapsed="false">
      <c r="A411" s="97" t="n">
        <v>42</v>
      </c>
      <c r="B411" s="97" t="str">
        <f aca="false">'🔄 Topic Pool'!D42</f>
        <v>Python: async/await, event loop, asyncio.gather(), Semaphore, aiohttp basics</v>
      </c>
      <c r="C411" s="97" t="str">
        <f aca="false">'🔄 Topic Pool'!E42</f>
        <v>M2-Python</v>
      </c>
      <c r="D411" s="100" t="n">
        <f aca="false">'🔄 Topic Pool'!F42</f>
        <v>0.5</v>
      </c>
      <c r="E411" s="100" t="n">
        <f aca="false">'🔄 Topic Pool'!G42</f>
        <v>1</v>
      </c>
      <c r="F411" s="100" t="n">
        <f aca="false">'🔄 Topic Pool'!H42</f>
        <v>1.5</v>
      </c>
      <c r="G411" s="97" t="str">
        <f aca="false">'🔄 Topic Pool'!J42</f>
        <v>🔴 HIGH</v>
      </c>
      <c r="H411" s="97" t="str">
        <f aca="false">'🔄 Topic Pool'!P42</f>
        <v>⬜ Pending</v>
      </c>
      <c r="I411" s="101" t="n">
        <v>46149</v>
      </c>
      <c r="J411" s="97" t="str">
        <f aca="false">'🔄 Topic Pool'!M42</f>
        <v>[GAP]</v>
      </c>
      <c r="K411" s="97" t="n">
        <v>2</v>
      </c>
      <c r="L411" s="97" t="n">
        <f aca="false">'🔄 Topic Pool'!I42</f>
        <v>12</v>
      </c>
      <c r="M411" s="97" t="n">
        <v>11</v>
      </c>
      <c r="N411" s="97" t="s">
        <v>99</v>
      </c>
      <c r="O411" s="98" t="b">
        <f aca="true">AND(OR(H411="❌ Missed",H411="🔄 Partial"),I411&lt;TODAY()-$C$9)</f>
        <v>0</v>
      </c>
      <c r="P411" s="102" t="b">
        <f aca="false">AND(O411=TRUE(),A452=TRUE(),K411=$B$400,COUNTIF($P$401:$P410,TRUE())&lt;$C$11)</f>
        <v>0</v>
      </c>
      <c r="Q411" s="98" t="b">
        <f aca="false">IF($E$15="❌ OFF",TRUE(),'🔄 Topic Pool'!P41="✅ Done")</f>
        <v>0</v>
      </c>
      <c r="R411" s="98" t="b">
        <f aca="true">AND(OR(H411="⬜ Pending",H411="🔄 Partial",H411="❌ Missed"),I411&lt;=TODAY(),Q411=TRUE())</f>
        <v>0</v>
      </c>
      <c r="S411" s="102" t="b">
        <f aca="false">OR(A460=2,AND(A460=1,O411=TRUE()))</f>
        <v>0</v>
      </c>
      <c r="T411" s="97" t="n">
        <f aca="false">IF(R411,T410+E411,T410)</f>
        <v>0</v>
      </c>
      <c r="U411" s="98" t="b">
        <f aca="false">OR(P411,AND(R411,T411&lt;=$M$24))</f>
        <v>0</v>
      </c>
    </row>
    <row r="412" customFormat="false" ht="15" hidden="false" customHeight="true" outlineLevel="0" collapsed="false">
      <c r="A412" s="97" t="n">
        <v>44</v>
      </c>
      <c r="B412" s="97" t="str">
        <f aca="false">'🔄 Topic Pool'!D44</f>
        <v>Python: Type hints — TypeVar, Generic, Protocol, Literal, TypedDict, Union, Optional</v>
      </c>
      <c r="C412" s="97" t="str">
        <f aca="false">'🔄 Topic Pool'!E44</f>
        <v>M2-Python</v>
      </c>
      <c r="D412" s="100" t="n">
        <f aca="false">'🔄 Topic Pool'!F44</f>
        <v>1</v>
      </c>
      <c r="E412" s="100" t="n">
        <f aca="false">'🔄 Topic Pool'!G44</f>
        <v>1.5</v>
      </c>
      <c r="F412" s="100" t="n">
        <f aca="false">'🔄 Topic Pool'!H44</f>
        <v>2</v>
      </c>
      <c r="G412" s="97" t="str">
        <f aca="false">'🔄 Topic Pool'!J44</f>
        <v>🟠 MODERATE</v>
      </c>
      <c r="H412" s="97" t="str">
        <f aca="false">'🔄 Topic Pool'!P44</f>
        <v>⬜ Pending</v>
      </c>
      <c r="I412" s="101" t="n">
        <v>46151</v>
      </c>
      <c r="J412" s="97" t="str">
        <f aca="false">'🔄 Topic Pool'!M44</f>
        <v>[GAP]</v>
      </c>
      <c r="K412" s="97" t="n">
        <v>2</v>
      </c>
      <c r="L412" s="97" t="n">
        <f aca="false">'🔄 Topic Pool'!I44</f>
        <v>11</v>
      </c>
      <c r="M412" s="97" t="n">
        <v>13</v>
      </c>
      <c r="N412" s="97" t="s">
        <v>100</v>
      </c>
      <c r="O412" s="98" t="b">
        <f aca="true">AND(OR(H412="❌ Missed",H412="🔄 Partial"),I412&lt;TODAY()-$C$9)</f>
        <v>0</v>
      </c>
      <c r="P412" s="102" t="b">
        <f aca="false">AND(O412=TRUE(),A452=TRUE(),K412=$B$400,COUNTIF($P$401:$P411,TRUE())&lt;$C$11)</f>
        <v>0</v>
      </c>
      <c r="Q412" s="98" t="b">
        <f aca="false">IF($E$15="❌ OFF",TRUE(),'🔄 Topic Pool'!P43="✅ Done")</f>
        <v>0</v>
      </c>
      <c r="R412" s="98" t="b">
        <f aca="true">AND(OR(H412="⬜ Pending",H412="🔄 Partial",H412="❌ Missed"),I412&lt;=TODAY(),Q412=TRUE())</f>
        <v>0</v>
      </c>
      <c r="S412" s="102" t="b">
        <f aca="false">OR(A460=2,AND(A460=1,O412=TRUE()))</f>
        <v>0</v>
      </c>
      <c r="T412" s="97" t="n">
        <f aca="false">IF(R412,T411+E412,T411)</f>
        <v>0</v>
      </c>
      <c r="U412" s="98" t="b">
        <f aca="false">OR(P412,AND(R412,T412&lt;=$M$24))</f>
        <v>0</v>
      </c>
    </row>
    <row r="413" customFormat="false" ht="15" hidden="false" customHeight="true" outlineLevel="0" collapsed="false">
      <c r="A413" s="97" t="n">
        <v>46</v>
      </c>
      <c r="B413" s="97" t="str">
        <f aca="false">'🔄 Topic Pool'!D46</f>
        <v>Python Testing: pytest fixtures, parametrize, conftest.py, markers, setup/teardown</v>
      </c>
      <c r="C413" s="97" t="str">
        <f aca="false">'🔄 Topic Pool'!E46</f>
        <v>M2-Python</v>
      </c>
      <c r="D413" s="100" t="n">
        <f aca="false">'🔄 Topic Pool'!F46</f>
        <v>0.5</v>
      </c>
      <c r="E413" s="100" t="n">
        <f aca="false">'🔄 Topic Pool'!G46</f>
        <v>1</v>
      </c>
      <c r="F413" s="100" t="n">
        <f aca="false">'🔄 Topic Pool'!H46</f>
        <v>1.5</v>
      </c>
      <c r="G413" s="97" t="str">
        <f aca="false">'🔄 Topic Pool'!J46</f>
        <v>🟠 MODERATE</v>
      </c>
      <c r="H413" s="97" t="str">
        <f aca="false">'🔄 Topic Pool'!P46</f>
        <v>⬜ Pending</v>
      </c>
      <c r="I413" s="101" t="n">
        <v>46153</v>
      </c>
      <c r="J413" s="97" t="str">
        <f aca="false">'🔄 Topic Pool'!M46</f>
        <v>[GAP]</v>
      </c>
      <c r="K413" s="97" t="n">
        <v>2</v>
      </c>
      <c r="L413" s="97" t="n">
        <f aca="false">'🔄 Topic Pool'!I46</f>
        <v>10</v>
      </c>
      <c r="M413" s="97" t="n">
        <v>15</v>
      </c>
      <c r="N413" s="97" t="s">
        <v>101</v>
      </c>
      <c r="O413" s="98" t="b">
        <f aca="true">AND(OR(H413="❌ Missed",H413="🔄 Partial"),I413&lt;TODAY()-$C$9)</f>
        <v>0</v>
      </c>
      <c r="P413" s="102" t="b">
        <f aca="false">AND(O413=TRUE(),A452=TRUE(),K413=$B$400,COUNTIF($P$401:$P412,TRUE())&lt;$C$11)</f>
        <v>0</v>
      </c>
      <c r="Q413" s="98" t="b">
        <f aca="false">IF($E$15="❌ OFF",TRUE(),'🔄 Topic Pool'!P45="✅ Done")</f>
        <v>0</v>
      </c>
      <c r="R413" s="98" t="b">
        <f aca="true">AND(OR(H413="⬜ Pending",H413="🔄 Partial",H413="❌ Missed"),I413&lt;=TODAY(),Q413=TRUE())</f>
        <v>0</v>
      </c>
      <c r="S413" s="102" t="b">
        <f aca="false">OR(A460=2,AND(A460=1,O413=TRUE()))</f>
        <v>0</v>
      </c>
      <c r="T413" s="97" t="n">
        <f aca="false">IF(R413,T412+E413,T412)</f>
        <v>0</v>
      </c>
      <c r="U413" s="98" t="b">
        <f aca="false">OR(P413,AND(R413,T413&lt;=$M$24))</f>
        <v>0</v>
      </c>
    </row>
    <row r="414" customFormat="false" ht="15" hidden="false" customHeight="true" outlineLevel="0" collapsed="false">
      <c r="A414" s="97" t="n">
        <v>47</v>
      </c>
      <c r="B414" s="97" t="str">
        <f aca="false">'🔄 Topic Pool'!D47</f>
        <v>Python Testing: unittest.mock — patch, MagicMock, side_effect, assert_called_with</v>
      </c>
      <c r="C414" s="97" t="str">
        <f aca="false">'🔄 Topic Pool'!E47</f>
        <v>M2-Python</v>
      </c>
      <c r="D414" s="100" t="n">
        <f aca="false">'🔄 Topic Pool'!F47</f>
        <v>0.5</v>
      </c>
      <c r="E414" s="100" t="n">
        <f aca="false">'🔄 Topic Pool'!G47</f>
        <v>1</v>
      </c>
      <c r="F414" s="100" t="n">
        <f aca="false">'🔄 Topic Pool'!H47</f>
        <v>1.5</v>
      </c>
      <c r="G414" s="97" t="str">
        <f aca="false">'🔄 Topic Pool'!J47</f>
        <v>🟠 MODERATE</v>
      </c>
      <c r="H414" s="97" t="str">
        <f aca="false">'🔄 Topic Pool'!P47</f>
        <v>⬜ Pending</v>
      </c>
      <c r="I414" s="101" t="n">
        <v>46154</v>
      </c>
      <c r="J414" s="97" t="str">
        <f aca="false">'🔄 Topic Pool'!M47</f>
        <v>[GAP]</v>
      </c>
      <c r="K414" s="97" t="n">
        <v>2</v>
      </c>
      <c r="L414" s="97" t="n">
        <f aca="false">'🔄 Topic Pool'!I47</f>
        <v>10</v>
      </c>
      <c r="M414" s="97" t="n">
        <v>16</v>
      </c>
      <c r="N414" s="97" t="s">
        <v>90</v>
      </c>
      <c r="O414" s="98" t="b">
        <f aca="true">AND(OR(H414="❌ Missed",H414="🔄 Partial"),I414&lt;TODAY()-$C$9)</f>
        <v>0</v>
      </c>
      <c r="P414" s="102" t="b">
        <f aca="false">AND(O414=TRUE(),A452=TRUE(),K414=$B$400,COUNTIF($P$401:$P413,TRUE())&lt;$C$11)</f>
        <v>0</v>
      </c>
      <c r="Q414" s="98" t="b">
        <f aca="false">IF($E$15="❌ OFF",TRUE(),'🔄 Topic Pool'!P46="✅ Done")</f>
        <v>0</v>
      </c>
      <c r="R414" s="98" t="b">
        <f aca="true">AND(OR(H414="⬜ Pending",H414="🔄 Partial",H414="❌ Missed"),I414&lt;=TODAY(),Q414=TRUE())</f>
        <v>0</v>
      </c>
      <c r="S414" s="102" t="b">
        <f aca="false">OR(A460=2,AND(A460=1,O414=TRUE()))</f>
        <v>0</v>
      </c>
      <c r="T414" s="97" t="n">
        <f aca="false">IF(R414,T413+E414,T413)</f>
        <v>0</v>
      </c>
      <c r="U414" s="98" t="b">
        <f aca="false">OR(P414,AND(R414,T414&lt;=$M$24))</f>
        <v>0</v>
      </c>
    </row>
    <row r="415" customFormat="false" ht="15" hidden="false" customHeight="true" outlineLevel="0" collapsed="false">
      <c r="A415" s="97" t="n">
        <v>48</v>
      </c>
      <c r="B415" s="97" t="str">
        <f aca="false">'🔄 Topic Pool'!D48</f>
        <v>Python Testing: pytest-cov coverage, testing Spark jobs with SparkSession fixture</v>
      </c>
      <c r="C415" s="97" t="str">
        <f aca="false">'🔄 Topic Pool'!E48</f>
        <v>M2-Python</v>
      </c>
      <c r="D415" s="100" t="n">
        <f aca="false">'🔄 Topic Pool'!F48</f>
        <v>0.5</v>
      </c>
      <c r="E415" s="100" t="n">
        <f aca="false">'🔄 Topic Pool'!G48</f>
        <v>0.75</v>
      </c>
      <c r="F415" s="100" t="n">
        <f aca="false">'🔄 Topic Pool'!H48</f>
        <v>1</v>
      </c>
      <c r="G415" s="97" t="str">
        <f aca="false">'🔄 Topic Pool'!J48</f>
        <v>🟠 MODERATE</v>
      </c>
      <c r="H415" s="97" t="str">
        <f aca="false">'🔄 Topic Pool'!P48</f>
        <v>⬜ Pending</v>
      </c>
      <c r="I415" s="101" t="n">
        <v>46155</v>
      </c>
      <c r="J415" s="97" t="str">
        <f aca="false">'🔄 Topic Pool'!M48</f>
        <v>[GAP]</v>
      </c>
      <c r="K415" s="97" t="n">
        <v>2</v>
      </c>
      <c r="L415" s="97" t="n">
        <f aca="false">'🔄 Topic Pool'!I48</f>
        <v>11</v>
      </c>
      <c r="M415" s="97" t="n">
        <v>17</v>
      </c>
      <c r="N415" s="97" t="s">
        <v>102</v>
      </c>
      <c r="O415" s="98" t="b">
        <f aca="true">AND(OR(H415="❌ Missed",H415="🔄 Partial"),I415&lt;TODAY()-$C$9)</f>
        <v>0</v>
      </c>
      <c r="P415" s="102" t="b">
        <f aca="false">AND(O415=TRUE(),A452=TRUE(),K415=$B$400,COUNTIF($P$401:$P414,TRUE())&lt;$C$11)</f>
        <v>0</v>
      </c>
      <c r="Q415" s="98" t="b">
        <f aca="false">IF($E$15="❌ OFF",TRUE(),'🔄 Topic Pool'!P47="✅ Done")</f>
        <v>0</v>
      </c>
      <c r="R415" s="98" t="b">
        <f aca="true">AND(OR(H415="⬜ Pending",H415="🔄 Partial",H415="❌ Missed"),I415&lt;=TODAY(),Q415=TRUE())</f>
        <v>0</v>
      </c>
      <c r="S415" s="102" t="b">
        <f aca="false">OR(A460=2,AND(A460=1,O415=TRUE()))</f>
        <v>0</v>
      </c>
      <c r="T415" s="97" t="n">
        <f aca="false">IF(R415,T414+E415,T414)</f>
        <v>0</v>
      </c>
      <c r="U415" s="98" t="b">
        <f aca="false">OR(P415,AND(R415,T415&lt;=$M$24))</f>
        <v>0</v>
      </c>
    </row>
    <row r="416" customFormat="false" ht="15" hidden="false" customHeight="true" outlineLevel="0" collapsed="false">
      <c r="A416" s="97" t="n">
        <v>49</v>
      </c>
      <c r="B416" s="97" t="str">
        <f aca="false">'🔄 Topic Pool'!D49</f>
        <v>Python Design Patterns: Strategy, Factory, Observer, Builder, Template Method</v>
      </c>
      <c r="C416" s="97" t="str">
        <f aca="false">'🔄 Topic Pool'!E49</f>
        <v>M2-Python</v>
      </c>
      <c r="D416" s="100" t="n">
        <f aca="false">'🔄 Topic Pool'!F49</f>
        <v>0.5</v>
      </c>
      <c r="E416" s="100" t="n">
        <f aca="false">'🔄 Topic Pool'!G49</f>
        <v>1</v>
      </c>
      <c r="F416" s="100" t="n">
        <f aca="false">'🔄 Topic Pool'!H49</f>
        <v>1.5</v>
      </c>
      <c r="G416" s="97" t="str">
        <f aca="false">'🔄 Topic Pool'!J49</f>
        <v>🟠 MODERATE</v>
      </c>
      <c r="H416" s="97" t="str">
        <f aca="false">'🔄 Topic Pool'!P49</f>
        <v>⬜ Pending</v>
      </c>
      <c r="I416" s="101" t="n">
        <v>46156</v>
      </c>
      <c r="J416" s="97" t="str">
        <f aca="false">'🔄 Topic Pool'!M49</f>
        <v>[GAP]</v>
      </c>
      <c r="K416" s="97" t="n">
        <v>2</v>
      </c>
      <c r="L416" s="97" t="n">
        <f aca="false">'🔄 Topic Pool'!I49</f>
        <v>11</v>
      </c>
      <c r="M416" s="97" t="n">
        <v>18</v>
      </c>
      <c r="N416" s="97" t="s">
        <v>103</v>
      </c>
      <c r="O416" s="98" t="b">
        <f aca="true">AND(OR(H416="❌ Missed",H416="🔄 Partial"),I416&lt;TODAY()-$C$9)</f>
        <v>0</v>
      </c>
      <c r="P416" s="102" t="b">
        <f aca="false">AND(O416=TRUE(),A452=TRUE(),K416=$B$400,COUNTIF($P$401:$P415,TRUE())&lt;$C$11)</f>
        <v>0</v>
      </c>
      <c r="Q416" s="98" t="b">
        <f aca="false">IF($E$15="❌ OFF",TRUE(),'🔄 Topic Pool'!P48="✅ Done")</f>
        <v>0</v>
      </c>
      <c r="R416" s="98" t="b">
        <f aca="true">AND(OR(H416="⬜ Pending",H416="🔄 Partial",H416="❌ Missed"),I416&lt;=TODAY(),Q416=TRUE())</f>
        <v>0</v>
      </c>
      <c r="S416" s="102" t="b">
        <f aca="false">OR(A460=2,AND(A460=1,O416=TRUE()))</f>
        <v>0</v>
      </c>
      <c r="T416" s="97" t="n">
        <f aca="false">IF(R416,T415+E416,T415)</f>
        <v>0</v>
      </c>
      <c r="U416" s="98" t="b">
        <f aca="false">OR(P416,AND(R416,T416&lt;=$M$24))</f>
        <v>0</v>
      </c>
    </row>
    <row r="417" customFormat="false" ht="15" hidden="false" customHeight="true" outlineLevel="0" collapsed="false">
      <c r="A417" s="97" t="n">
        <v>51</v>
      </c>
      <c r="B417" s="97" t="str">
        <f aca="false">'🔄 Topic Pool'!D51</f>
        <v>Python Design Patterns: Singleton (SparkSession), Decorator pattern for @retry @log</v>
      </c>
      <c r="C417" s="97" t="str">
        <f aca="false">'🔄 Topic Pool'!E51</f>
        <v>M2-Python</v>
      </c>
      <c r="D417" s="100" t="n">
        <f aca="false">'🔄 Topic Pool'!F51</f>
        <v>1</v>
      </c>
      <c r="E417" s="100" t="n">
        <f aca="false">'🔄 Topic Pool'!G51</f>
        <v>1.5</v>
      </c>
      <c r="F417" s="100" t="n">
        <f aca="false">'🔄 Topic Pool'!H51</f>
        <v>2</v>
      </c>
      <c r="G417" s="97" t="str">
        <f aca="false">'🔄 Topic Pool'!J51</f>
        <v>🟠 MODERATE</v>
      </c>
      <c r="H417" s="97" t="str">
        <f aca="false">'🔄 Topic Pool'!P51</f>
        <v>⬜ Pending</v>
      </c>
      <c r="I417" s="101" t="n">
        <v>46158</v>
      </c>
      <c r="J417" s="97" t="str">
        <f aca="false">'🔄 Topic Pool'!M51</f>
        <v>[GAP]</v>
      </c>
      <c r="K417" s="97" t="n">
        <v>2</v>
      </c>
      <c r="L417" s="97" t="n">
        <f aca="false">'🔄 Topic Pool'!I51</f>
        <v>11</v>
      </c>
      <c r="M417" s="97" t="n">
        <v>20</v>
      </c>
      <c r="N417" s="97" t="s">
        <v>91</v>
      </c>
      <c r="O417" s="98" t="b">
        <f aca="true">AND(OR(H417="❌ Missed",H417="🔄 Partial"),I417&lt;TODAY()-$C$9)</f>
        <v>0</v>
      </c>
      <c r="P417" s="102" t="b">
        <f aca="false">AND(O417=TRUE(),A452=TRUE(),K417=$B$400,COUNTIF($P$401:$P416,TRUE())&lt;$C$11)</f>
        <v>0</v>
      </c>
      <c r="Q417" s="98" t="b">
        <f aca="false">IF($E$15="❌ OFF",TRUE(),'🔄 Topic Pool'!P50="✅ Done")</f>
        <v>0</v>
      </c>
      <c r="R417" s="98" t="b">
        <f aca="true">AND(OR(H417="⬜ Pending",H417="🔄 Partial",H417="❌ Missed"),I417&lt;=TODAY(),Q417=TRUE())</f>
        <v>0</v>
      </c>
      <c r="S417" s="102" t="b">
        <f aca="false">OR(A460=2,AND(A460=1,O417=TRUE()))</f>
        <v>0</v>
      </c>
      <c r="T417" s="97" t="n">
        <f aca="false">IF(R417,T416+E417,T416)</f>
        <v>0</v>
      </c>
      <c r="U417" s="98" t="b">
        <f aca="false">OR(P417,AND(R417,T417&lt;=$M$24))</f>
        <v>0</v>
      </c>
    </row>
    <row r="418" customFormat="false" ht="15" hidden="false" customHeight="true" outlineLevel="0" collapsed="false">
      <c r="A418" s="97" t="n">
        <v>53</v>
      </c>
      <c r="B418" s="97" t="str">
        <f aca="false">'🔄 Topic Pool'!D53</f>
        <v>BigData: 5Vs, distributed computation, HDFS (NameNode/DataNode/replication)</v>
      </c>
      <c r="C418" s="97" t="str">
        <f aca="false">'🔄 Topic Pool'!E53</f>
        <v>M3-BigData</v>
      </c>
      <c r="D418" s="100" t="n">
        <f aca="false">'🔄 Topic Pool'!F53</f>
        <v>0.5</v>
      </c>
      <c r="E418" s="100" t="n">
        <f aca="false">'🔄 Topic Pool'!G53</f>
        <v>1</v>
      </c>
      <c r="F418" s="100" t="n">
        <f aca="false">'🔄 Topic Pool'!H53</f>
        <v>1.5</v>
      </c>
      <c r="G418" s="97" t="str">
        <f aca="false">'🔄 Topic Pool'!J53</f>
        <v>🟠 MODERATE</v>
      </c>
      <c r="H418" s="97" t="str">
        <f aca="false">'🔄 Topic Pool'!P53</f>
        <v>⬜ Pending</v>
      </c>
      <c r="I418" s="101" t="n">
        <v>46160</v>
      </c>
      <c r="J418" s="97" t="str">
        <f aca="false">'🔄 Topic Pool'!M53</f>
        <v>[COURSE]</v>
      </c>
      <c r="K418" s="97" t="n">
        <v>2</v>
      </c>
      <c r="L418" s="97" t="n">
        <f aca="false">'🔄 Topic Pool'!I53</f>
        <v>10</v>
      </c>
      <c r="M418" s="97" t="n">
        <v>22</v>
      </c>
      <c r="N418" s="97" t="s">
        <v>104</v>
      </c>
      <c r="O418" s="98" t="b">
        <f aca="true">AND(OR(H418="❌ Missed",H418="🔄 Partial"),I418&lt;TODAY()-$C$9)</f>
        <v>0</v>
      </c>
      <c r="P418" s="102" t="b">
        <f aca="false">AND(O418=TRUE(),A452=TRUE(),K418=$B$400,COUNTIF($P$401:$P417,TRUE())&lt;$C$11)</f>
        <v>0</v>
      </c>
      <c r="Q418" s="98" t="b">
        <f aca="false">IF($E$15="❌ OFF",TRUE(),'🔄 Topic Pool'!P52="✅ Done")</f>
        <v>0</v>
      </c>
      <c r="R418" s="98" t="b">
        <f aca="true">AND(OR(H418="⬜ Pending",H418="🔄 Partial",H418="❌ Missed"),I418&lt;=TODAY(),Q418=TRUE())</f>
        <v>0</v>
      </c>
      <c r="S418" s="102" t="b">
        <f aca="false">OR(A460=2,AND(A460=1,O418=TRUE()))</f>
        <v>0</v>
      </c>
      <c r="T418" s="97" t="n">
        <f aca="false">IF(R418,T417+E418,T417)</f>
        <v>0</v>
      </c>
      <c r="U418" s="98" t="b">
        <f aca="false">OR(P418,AND(R418,T418&lt;=$M$24))</f>
        <v>0</v>
      </c>
    </row>
    <row r="419" customFormat="false" ht="15" hidden="false" customHeight="true" outlineLevel="0" collapsed="false">
      <c r="A419" s="97" t="n">
        <v>54</v>
      </c>
      <c r="B419" s="97" t="str">
        <f aca="false">'🔄 Topic Pool'!D54</f>
        <v>MapReduce: mapper→shuffle+sort→reducer paradigm, YARN (ResourceManager/NodeManager)</v>
      </c>
      <c r="C419" s="97" t="str">
        <f aca="false">'🔄 Topic Pool'!E54</f>
        <v>M3-BigData</v>
      </c>
      <c r="D419" s="100" t="n">
        <f aca="false">'🔄 Topic Pool'!F54</f>
        <v>0.5</v>
      </c>
      <c r="E419" s="100" t="n">
        <f aca="false">'🔄 Topic Pool'!G54</f>
        <v>1</v>
      </c>
      <c r="F419" s="100" t="n">
        <f aca="false">'🔄 Topic Pool'!H54</f>
        <v>1.5</v>
      </c>
      <c r="G419" s="97" t="str">
        <f aca="false">'🔄 Topic Pool'!J54</f>
        <v>🟠 MODERATE</v>
      </c>
      <c r="H419" s="97" t="str">
        <f aca="false">'🔄 Topic Pool'!P54</f>
        <v>⬜ Pending</v>
      </c>
      <c r="I419" s="101" t="n">
        <v>46161</v>
      </c>
      <c r="J419" s="97" t="str">
        <f aca="false">'🔄 Topic Pool'!M54</f>
        <v>[COURSE]</v>
      </c>
      <c r="K419" s="97" t="n">
        <v>2</v>
      </c>
      <c r="L419" s="97" t="n">
        <f aca="false">'🔄 Topic Pool'!I54</f>
        <v>11</v>
      </c>
      <c r="M419" s="97" t="n">
        <v>23</v>
      </c>
      <c r="N419" s="97" t="s">
        <v>105</v>
      </c>
      <c r="O419" s="98" t="b">
        <f aca="true">AND(OR(H419="❌ Missed",H419="🔄 Partial"),I419&lt;TODAY()-$C$9)</f>
        <v>0</v>
      </c>
      <c r="P419" s="102" t="b">
        <f aca="false">AND(O419=TRUE(),A452=TRUE(),K419=$B$400,COUNTIF($P$401:$P418,TRUE())&lt;$C$11)</f>
        <v>0</v>
      </c>
      <c r="Q419" s="98" t="b">
        <f aca="false">IF($E$15="❌ OFF",TRUE(),'🔄 Topic Pool'!P53="✅ Done")</f>
        <v>0</v>
      </c>
      <c r="R419" s="98" t="b">
        <f aca="true">AND(OR(H419="⬜ Pending",H419="🔄 Partial",H419="❌ Missed"),I419&lt;=TODAY(),Q419=TRUE())</f>
        <v>0</v>
      </c>
      <c r="S419" s="102" t="b">
        <f aca="false">OR(A460=2,AND(A460=1,O419=TRUE()))</f>
        <v>0</v>
      </c>
      <c r="T419" s="97" t="n">
        <f aca="false">IF(R419,T418+E419,T418)</f>
        <v>0</v>
      </c>
      <c r="U419" s="98" t="b">
        <f aca="false">OR(P419,AND(R419,T419&lt;=$M$24))</f>
        <v>0</v>
      </c>
    </row>
    <row r="420" customFormat="false" ht="15" hidden="false" customHeight="true" outlineLevel="0" collapsed="false">
      <c r="A420" s="97" t="n">
        <v>55</v>
      </c>
      <c r="B420" s="97" t="str">
        <f aca="false">'🔄 Topic Pool'!D55</f>
        <v>Hive: architecture, internal vs external tables, partitioning, bucketing, SerDe</v>
      </c>
      <c r="C420" s="97" t="str">
        <f aca="false">'🔄 Topic Pool'!E55</f>
        <v>M3-BigData</v>
      </c>
      <c r="D420" s="100" t="n">
        <f aca="false">'🔄 Topic Pool'!F55</f>
        <v>0.5</v>
      </c>
      <c r="E420" s="100" t="n">
        <f aca="false">'🔄 Topic Pool'!G55</f>
        <v>1</v>
      </c>
      <c r="F420" s="100" t="n">
        <f aca="false">'🔄 Topic Pool'!H55</f>
        <v>1.5</v>
      </c>
      <c r="G420" s="97" t="str">
        <f aca="false">'🔄 Topic Pool'!J55</f>
        <v>🟠 MODERATE</v>
      </c>
      <c r="H420" s="97" t="str">
        <f aca="false">'🔄 Topic Pool'!P55</f>
        <v>⬜ Pending</v>
      </c>
      <c r="I420" s="101" t="n">
        <v>46162</v>
      </c>
      <c r="J420" s="97" t="str">
        <f aca="false">'🔄 Topic Pool'!M55</f>
        <v>[COURSE]</v>
      </c>
      <c r="K420" s="97" t="n">
        <v>2</v>
      </c>
      <c r="L420" s="97" t="n">
        <f aca="false">'🔄 Topic Pool'!I55</f>
        <v>11</v>
      </c>
      <c r="M420" s="97" t="n">
        <v>24</v>
      </c>
      <c r="N420" s="97" t="s">
        <v>106</v>
      </c>
      <c r="O420" s="98" t="b">
        <f aca="true">AND(OR(H420="❌ Missed",H420="🔄 Partial"),I420&lt;TODAY()-$C$9)</f>
        <v>0</v>
      </c>
      <c r="P420" s="102" t="b">
        <f aca="false">AND(O420=TRUE(),A452=TRUE(),K420=$B$400,COUNTIF($P$401:$P419,TRUE())&lt;$C$11)</f>
        <v>0</v>
      </c>
      <c r="Q420" s="98" t="b">
        <f aca="false">IF($E$15="❌ OFF",TRUE(),'🔄 Topic Pool'!P54="✅ Done")</f>
        <v>0</v>
      </c>
      <c r="R420" s="98" t="b">
        <f aca="true">AND(OR(H420="⬜ Pending",H420="🔄 Partial",H420="❌ Missed"),I420&lt;=TODAY(),Q420=TRUE())</f>
        <v>0</v>
      </c>
      <c r="S420" s="102" t="b">
        <f aca="false">OR(A460=2,AND(A460=1,O420=TRUE()))</f>
        <v>0</v>
      </c>
      <c r="T420" s="97" t="n">
        <f aca="false">IF(R420,T419+E420,T419)</f>
        <v>0</v>
      </c>
      <c r="U420" s="98" t="b">
        <f aca="false">OR(P420,AND(R420,T420&lt;=$M$24))</f>
        <v>0</v>
      </c>
    </row>
    <row r="421" customFormat="false" ht="15" hidden="false" customHeight="true" outlineLevel="0" collapsed="false">
      <c r="A421" s="97" t="n">
        <v>56</v>
      </c>
      <c r="B421" s="97" t="str">
        <f aca="false">'🔄 Topic Pool'!D56</f>
        <v>Hive: joins (map-side/bucket-map/sorted-merge/skew), HiveQL window functions</v>
      </c>
      <c r="C421" s="97" t="str">
        <f aca="false">'🔄 Topic Pool'!E56</f>
        <v>M3-BigData</v>
      </c>
      <c r="D421" s="100" t="n">
        <f aca="false">'🔄 Topic Pool'!F56</f>
        <v>0.5</v>
      </c>
      <c r="E421" s="100" t="n">
        <f aca="false">'🔄 Topic Pool'!G56</f>
        <v>1</v>
      </c>
      <c r="F421" s="100" t="n">
        <f aca="false">'🔄 Topic Pool'!H56</f>
        <v>1.5</v>
      </c>
      <c r="G421" s="97" t="str">
        <f aca="false">'🔄 Topic Pool'!J56</f>
        <v>🟠 MODERATE</v>
      </c>
      <c r="H421" s="97" t="str">
        <f aca="false">'🔄 Topic Pool'!P56</f>
        <v>⬜ Pending</v>
      </c>
      <c r="I421" s="101" t="n">
        <v>46163</v>
      </c>
      <c r="J421" s="97" t="str">
        <f aca="false">'🔄 Topic Pool'!M56</f>
        <v>[COURSE]</v>
      </c>
      <c r="K421" s="97" t="n">
        <v>2</v>
      </c>
      <c r="L421" s="97" t="n">
        <f aca="false">'🔄 Topic Pool'!I56</f>
        <v>11</v>
      </c>
      <c r="M421" s="97" t="n">
        <v>25</v>
      </c>
      <c r="N421" s="97" t="s">
        <v>107</v>
      </c>
      <c r="O421" s="98" t="b">
        <f aca="true">AND(OR(H421="❌ Missed",H421="🔄 Partial"),I421&lt;TODAY()-$C$9)</f>
        <v>0</v>
      </c>
      <c r="P421" s="102" t="b">
        <f aca="false">AND(O421=TRUE(),A452=TRUE(),K421=$B$400,COUNTIF($P$401:$P420,TRUE())&lt;$C$11)</f>
        <v>0</v>
      </c>
      <c r="Q421" s="98" t="b">
        <f aca="false">IF($E$15="❌ OFF",TRUE(),'🔄 Topic Pool'!P55="✅ Done")</f>
        <v>0</v>
      </c>
      <c r="R421" s="98" t="b">
        <f aca="true">AND(OR(H421="⬜ Pending",H421="🔄 Partial",H421="❌ Missed"),I421&lt;=TODAY(),Q421=TRUE())</f>
        <v>0</v>
      </c>
      <c r="S421" s="102" t="b">
        <f aca="false">OR(A460=2,AND(A460=1,O421=TRUE()))</f>
        <v>0</v>
      </c>
      <c r="T421" s="97" t="n">
        <f aca="false">IF(R421,T420+E421,T420)</f>
        <v>0</v>
      </c>
      <c r="U421" s="98" t="b">
        <f aca="false">OR(P421,AND(R421,T421&lt;=$M$24))</f>
        <v>0</v>
      </c>
    </row>
    <row r="422" customFormat="false" ht="15" hidden="false" customHeight="true" outlineLevel="0" collapsed="false">
      <c r="A422" s="97" t="n">
        <v>58</v>
      </c>
      <c r="B422" s="97" t="str">
        <f aca="false">'🔄 Topic Pool'!D58</f>
        <v>Hive: file formats (Parquet/ORC/Avro) — when to use each with practical examples</v>
      </c>
      <c r="C422" s="97" t="str">
        <f aca="false">'🔄 Topic Pool'!E58</f>
        <v>M3-BigData</v>
      </c>
      <c r="D422" s="100" t="n">
        <f aca="false">'🔄 Topic Pool'!F58</f>
        <v>1</v>
      </c>
      <c r="E422" s="100" t="n">
        <f aca="false">'🔄 Topic Pool'!G58</f>
        <v>1.5</v>
      </c>
      <c r="F422" s="100" t="n">
        <f aca="false">'🔄 Topic Pool'!H58</f>
        <v>2</v>
      </c>
      <c r="G422" s="97" t="str">
        <f aca="false">'🔄 Topic Pool'!J58</f>
        <v>🟠 MODERATE</v>
      </c>
      <c r="H422" s="97" t="str">
        <f aca="false">'🔄 Topic Pool'!P58</f>
        <v>⬜ Pending</v>
      </c>
      <c r="I422" s="101" t="n">
        <v>46165</v>
      </c>
      <c r="J422" s="97" t="str">
        <f aca="false">'🔄 Topic Pool'!M58</f>
        <v>[COURSE]</v>
      </c>
      <c r="K422" s="97" t="n">
        <v>2</v>
      </c>
      <c r="L422" s="97" t="n">
        <f aca="false">'🔄 Topic Pool'!I58</f>
        <v>11</v>
      </c>
      <c r="M422" s="97" t="n">
        <v>27</v>
      </c>
      <c r="N422" s="97" t="s">
        <v>108</v>
      </c>
      <c r="O422" s="98" t="b">
        <f aca="true">AND(OR(H422="❌ Missed",H422="🔄 Partial"),I422&lt;TODAY()-$C$9)</f>
        <v>0</v>
      </c>
      <c r="P422" s="102" t="b">
        <f aca="false">AND(O422=TRUE(),A452=TRUE(),K422=$B$400,COUNTIF($P$401:$P421,TRUE())&lt;$C$11)</f>
        <v>0</v>
      </c>
      <c r="Q422" s="98" t="b">
        <f aca="false">IF($E$15="❌ OFF",TRUE(),'🔄 Topic Pool'!P57="✅ Done")</f>
        <v>0</v>
      </c>
      <c r="R422" s="98" t="b">
        <f aca="true">AND(OR(H422="⬜ Pending",H422="🔄 Partial",H422="❌ Missed"),I422&lt;=TODAY(),Q422=TRUE())</f>
        <v>0</v>
      </c>
      <c r="S422" s="102" t="b">
        <f aca="false">OR(A460=2,AND(A460=1,O422=TRUE()))</f>
        <v>0</v>
      </c>
      <c r="T422" s="97" t="n">
        <f aca="false">IF(R422,T421+E422,T421)</f>
        <v>0</v>
      </c>
      <c r="U422" s="98" t="b">
        <f aca="false">OR(P422,AND(R422,T422&lt;=$M$24))</f>
        <v>0</v>
      </c>
    </row>
    <row r="423" customFormat="false" ht="15" hidden="false" customHeight="true" outlineLevel="0" collapsed="false">
      <c r="A423" s="97" t="n">
        <v>60</v>
      </c>
      <c r="B423" s="97" t="str">
        <f aca="false">'🔄 Topic Pool'!D60</f>
        <v>File Formats Deep: Parquet — columnar, row groups, predicate pushdown, nested types</v>
      </c>
      <c r="C423" s="97" t="str">
        <f aca="false">'🔄 Topic Pool'!E60</f>
        <v>M3-BigData</v>
      </c>
      <c r="D423" s="100" t="n">
        <f aca="false">'🔄 Topic Pool'!F60</f>
        <v>0.5</v>
      </c>
      <c r="E423" s="100" t="n">
        <f aca="false">'🔄 Topic Pool'!G60</f>
        <v>1</v>
      </c>
      <c r="F423" s="100" t="n">
        <f aca="false">'🔄 Topic Pool'!H60</f>
        <v>1.5</v>
      </c>
      <c r="G423" s="97" t="str">
        <f aca="false">'🔄 Topic Pool'!J60</f>
        <v>🔴 HIGH</v>
      </c>
      <c r="H423" s="97" t="str">
        <f aca="false">'🔄 Topic Pool'!P60</f>
        <v>⬜ Pending</v>
      </c>
      <c r="I423" s="101" t="n">
        <v>46167</v>
      </c>
      <c r="J423" s="97" t="str">
        <f aca="false">'🔄 Topic Pool'!M60</f>
        <v>[GAP]</v>
      </c>
      <c r="K423" s="97" t="n">
        <v>3</v>
      </c>
      <c r="L423" s="97" t="n">
        <f aca="false">'🔄 Topic Pool'!I60</f>
        <v>13</v>
      </c>
      <c r="M423" s="97" t="n">
        <v>1</v>
      </c>
      <c r="N423" s="97" t="s">
        <v>26</v>
      </c>
      <c r="O423" s="98" t="b">
        <f aca="true">AND(OR(H423="❌ Missed",H423="🔄 Partial"),I423&lt;TODAY()-$C$9)</f>
        <v>0</v>
      </c>
      <c r="P423" s="102" t="b">
        <f aca="false">AND(O423=TRUE(),A452=TRUE(),K423=$B$400,COUNTIF($P$401:$P422,TRUE())&lt;$C$11)</f>
        <v>0</v>
      </c>
      <c r="Q423" s="98" t="b">
        <f aca="false">TRUE()</f>
        <v>1</v>
      </c>
      <c r="R423" s="98" t="b">
        <f aca="true">AND(OR(H423="⬜ Pending",H423="🔄 Partial",H423="❌ Missed"),I423&lt;=TODAY(),Q423=TRUE())</f>
        <v>0</v>
      </c>
      <c r="S423" s="102" t="b">
        <f aca="false">OR(A460=2,AND(A460=1,O423=TRUE()))</f>
        <v>0</v>
      </c>
      <c r="T423" s="97" t="n">
        <f aca="false">IF(R423,T422+E423,T422)</f>
        <v>0</v>
      </c>
      <c r="U423" s="98" t="b">
        <f aca="false">OR(P423,AND(R423,T423&lt;=$M$24))</f>
        <v>0</v>
      </c>
    </row>
    <row r="424" customFormat="false" ht="15" hidden="false" customHeight="true" outlineLevel="0" collapsed="false">
      <c r="A424" s="97" t="n">
        <v>61</v>
      </c>
      <c r="B424" s="97" t="str">
        <f aca="false">'🔄 Topic Pool'!D61</f>
        <v>File Formats: ORC (stripe/bloom filter), Avro (row-based/schema evolution), Delta</v>
      </c>
      <c r="C424" s="97" t="str">
        <f aca="false">'🔄 Topic Pool'!E61</f>
        <v>M3-BigData</v>
      </c>
      <c r="D424" s="100" t="n">
        <f aca="false">'🔄 Topic Pool'!F61</f>
        <v>0.5</v>
      </c>
      <c r="E424" s="100" t="n">
        <f aca="false">'🔄 Topic Pool'!G61</f>
        <v>1</v>
      </c>
      <c r="F424" s="100" t="n">
        <f aca="false">'🔄 Topic Pool'!H61</f>
        <v>1.5</v>
      </c>
      <c r="G424" s="97" t="str">
        <f aca="false">'🔄 Topic Pool'!J61</f>
        <v>🟠 MODERATE</v>
      </c>
      <c r="H424" s="97" t="str">
        <f aca="false">'🔄 Topic Pool'!P61</f>
        <v>⬜ Pending</v>
      </c>
      <c r="I424" s="101" t="n">
        <v>46168</v>
      </c>
      <c r="J424" s="97" t="str">
        <f aca="false">'🔄 Topic Pool'!M61</f>
        <v>[GAP]</v>
      </c>
      <c r="K424" s="97" t="n">
        <v>3</v>
      </c>
      <c r="L424" s="97" t="n">
        <f aca="false">'🔄 Topic Pool'!I61</f>
        <v>11</v>
      </c>
      <c r="M424" s="97" t="n">
        <v>2</v>
      </c>
      <c r="N424" s="97" t="s">
        <v>92</v>
      </c>
      <c r="O424" s="98" t="b">
        <f aca="true">AND(OR(H424="❌ Missed",H424="🔄 Partial"),I424&lt;TODAY()-$C$9)</f>
        <v>0</v>
      </c>
      <c r="P424" s="102" t="b">
        <f aca="false">AND(O424=TRUE(),A452=TRUE(),K424=$B$400,COUNTIF($P$401:$P423,TRUE())&lt;$C$11)</f>
        <v>0</v>
      </c>
      <c r="Q424" s="98" t="b">
        <f aca="false">IF($E$15="❌ OFF",TRUE(),'🔄 Topic Pool'!P60="✅ Done")</f>
        <v>0</v>
      </c>
      <c r="R424" s="98" t="b">
        <f aca="true">AND(OR(H424="⬜ Pending",H424="🔄 Partial",H424="❌ Missed"),I424&lt;=TODAY(),Q424=TRUE())</f>
        <v>0</v>
      </c>
      <c r="S424" s="102" t="b">
        <f aca="false">OR(A460=2,AND(A460=1,O424=TRUE()))</f>
        <v>0</v>
      </c>
      <c r="T424" s="97" t="n">
        <f aca="false">IF(R424,T423+E424,T423)</f>
        <v>0</v>
      </c>
      <c r="U424" s="98" t="b">
        <f aca="false">OR(P424,AND(R424,T424&lt;=$M$24))</f>
        <v>0</v>
      </c>
    </row>
    <row r="425" customFormat="false" ht="15" hidden="false" customHeight="true" outlineLevel="0" collapsed="false">
      <c r="A425" s="97" t="n">
        <v>62</v>
      </c>
      <c r="B425" s="97" t="str">
        <f aca="false">'🔄 Topic Pool'!D62</f>
        <v>Compression: Snappy vs GZIP vs ZSTD — size/speed tradeoffs, when to use each</v>
      </c>
      <c r="C425" s="97" t="str">
        <f aca="false">'🔄 Topic Pool'!E62</f>
        <v>M3-BigData</v>
      </c>
      <c r="D425" s="100" t="n">
        <f aca="false">'🔄 Topic Pool'!F62</f>
        <v>0.5</v>
      </c>
      <c r="E425" s="100" t="n">
        <f aca="false">'🔄 Topic Pool'!G62</f>
        <v>0.75</v>
      </c>
      <c r="F425" s="100" t="n">
        <f aca="false">'🔄 Topic Pool'!H62</f>
        <v>1</v>
      </c>
      <c r="G425" s="97" t="str">
        <f aca="false">'🔄 Topic Pool'!J62</f>
        <v>🟠 MODERATE</v>
      </c>
      <c r="H425" s="97" t="str">
        <f aca="false">'🔄 Topic Pool'!P62</f>
        <v>⬜ Pending</v>
      </c>
      <c r="I425" s="101" t="n">
        <v>46169</v>
      </c>
      <c r="J425" s="97" t="str">
        <f aca="false">'🔄 Topic Pool'!M62</f>
        <v>[GAP]</v>
      </c>
      <c r="K425" s="97" t="n">
        <v>3</v>
      </c>
      <c r="L425" s="97" t="n">
        <f aca="false">'🔄 Topic Pool'!I62</f>
        <v>8</v>
      </c>
      <c r="M425" s="97" t="n">
        <v>3</v>
      </c>
      <c r="N425" s="97" t="s">
        <v>93</v>
      </c>
      <c r="O425" s="98" t="b">
        <f aca="true">AND(OR(H425="❌ Missed",H425="🔄 Partial"),I425&lt;TODAY()-$C$9)</f>
        <v>0</v>
      </c>
      <c r="P425" s="102" t="b">
        <f aca="false">AND(O425=TRUE(),A452=TRUE(),K425=$B$400,COUNTIF($P$401:$P424,TRUE())&lt;$C$11)</f>
        <v>0</v>
      </c>
      <c r="Q425" s="98" t="b">
        <f aca="false">IF($E$15="❌ OFF",TRUE(),'🔄 Topic Pool'!P61="✅ Done")</f>
        <v>0</v>
      </c>
      <c r="R425" s="98" t="b">
        <f aca="true">AND(OR(H425="⬜ Pending",H425="🔄 Partial",H425="❌ Missed"),I425&lt;=TODAY(),Q425=TRUE())</f>
        <v>0</v>
      </c>
      <c r="S425" s="102" t="b">
        <f aca="false">OR(A460=2,AND(A460=1,O425=TRUE()))</f>
        <v>0</v>
      </c>
      <c r="T425" s="97" t="n">
        <f aca="false">IF(R425,T424+E425,T424)</f>
        <v>0</v>
      </c>
      <c r="U425" s="98" t="b">
        <f aca="false">OR(P425,AND(R425,T425&lt;=$M$24))</f>
        <v>0</v>
      </c>
    </row>
    <row r="426" customFormat="false" ht="15" hidden="false" customHeight="true" outlineLevel="0" collapsed="false">
      <c r="A426" s="97" t="n">
        <v>63</v>
      </c>
      <c r="B426" s="97" t="str">
        <f aca="false">'🔄 Topic Pool'!D63</f>
        <v>File format decision guide + hands-on: Parquet vs ORC vs Avro performance comparison</v>
      </c>
      <c r="C426" s="97" t="str">
        <f aca="false">'🔄 Topic Pool'!E63</f>
        <v>M3-BigData</v>
      </c>
      <c r="D426" s="100" t="n">
        <f aca="false">'🔄 Topic Pool'!F63</f>
        <v>0.5</v>
      </c>
      <c r="E426" s="100" t="n">
        <f aca="false">'🔄 Topic Pool'!G63</f>
        <v>1</v>
      </c>
      <c r="F426" s="100" t="n">
        <f aca="false">'🔄 Topic Pool'!H63</f>
        <v>1.5</v>
      </c>
      <c r="G426" s="97" t="str">
        <f aca="false">'🔄 Topic Pool'!J63</f>
        <v>🔴 HIGH</v>
      </c>
      <c r="H426" s="97" t="str">
        <f aca="false">'🔄 Topic Pool'!P63</f>
        <v>⬜ Pending</v>
      </c>
      <c r="I426" s="101" t="n">
        <v>46170</v>
      </c>
      <c r="J426" s="97" t="str">
        <f aca="false">'🔄 Topic Pool'!M63</f>
        <v>[GAP]</v>
      </c>
      <c r="K426" s="97" t="n">
        <v>3</v>
      </c>
      <c r="L426" s="97" t="n">
        <f aca="false">'🔄 Topic Pool'!I63</f>
        <v>13</v>
      </c>
      <c r="M426" s="97" t="n">
        <v>4</v>
      </c>
      <c r="N426" s="97" t="s">
        <v>94</v>
      </c>
      <c r="O426" s="98" t="b">
        <f aca="true">AND(OR(H426="❌ Missed",H426="🔄 Partial"),I426&lt;TODAY()-$C$9)</f>
        <v>0</v>
      </c>
      <c r="P426" s="102" t="b">
        <f aca="false">AND(O426=TRUE(),A452=TRUE(),K426=$B$400,COUNTIF($P$401:$P425,TRUE())&lt;$C$11)</f>
        <v>0</v>
      </c>
      <c r="Q426" s="98" t="b">
        <f aca="false">IF($E$15="❌ OFF",TRUE(),'🔄 Topic Pool'!P62="✅ Done")</f>
        <v>0</v>
      </c>
      <c r="R426" s="98" t="b">
        <f aca="true">AND(OR(H426="⬜ Pending",H426="🔄 Partial",H426="❌ Missed"),I426&lt;=TODAY(),Q426=TRUE())</f>
        <v>0</v>
      </c>
      <c r="S426" s="102" t="b">
        <f aca="false">OR(A460=2,AND(A460=1,O426=TRUE()))</f>
        <v>0</v>
      </c>
      <c r="T426" s="97" t="n">
        <f aca="false">IF(R426,T425+E426,T425)</f>
        <v>0</v>
      </c>
      <c r="U426" s="98" t="b">
        <f aca="false">OR(P426,AND(R426,T426&lt;=$M$24))</f>
        <v>0</v>
      </c>
    </row>
    <row r="427" customFormat="false" ht="15" hidden="false" customHeight="true" outlineLevel="0" collapsed="false">
      <c r="A427" s="97" t="n">
        <v>65</v>
      </c>
      <c r="B427" s="97" t="str">
        <f aca="false">'🔄 Topic Pool'!D65</f>
        <v>Practice: Explain step-by-step what happens when Spark reads 500GB Parquet from HDFS</v>
      </c>
      <c r="C427" s="97" t="str">
        <f aca="false">'🔄 Topic Pool'!E65</f>
        <v>M3-BigData</v>
      </c>
      <c r="D427" s="100" t="n">
        <f aca="false">'🔄 Topic Pool'!F65</f>
        <v>1</v>
      </c>
      <c r="E427" s="100" t="n">
        <f aca="false">'🔄 Topic Pool'!G65</f>
        <v>1.5</v>
      </c>
      <c r="F427" s="100" t="n">
        <f aca="false">'🔄 Topic Pool'!H65</f>
        <v>2</v>
      </c>
      <c r="G427" s="97" t="str">
        <f aca="false">'🔄 Topic Pool'!J65</f>
        <v>🔴 HIGH</v>
      </c>
      <c r="H427" s="97" t="str">
        <f aca="false">'🔄 Topic Pool'!P65</f>
        <v>⬜ Pending</v>
      </c>
      <c r="I427" s="101" t="n">
        <v>46172</v>
      </c>
      <c r="J427" s="97" t="str">
        <f aca="false">'🔄 Topic Pool'!M65</f>
        <v>[GAP]</v>
      </c>
      <c r="K427" s="97" t="n">
        <v>3</v>
      </c>
      <c r="L427" s="97" t="n">
        <f aca="false">'🔄 Topic Pool'!I65</f>
        <v>14</v>
      </c>
      <c r="M427" s="97" t="n">
        <v>6</v>
      </c>
      <c r="N427" s="97" t="s">
        <v>95</v>
      </c>
      <c r="O427" s="98" t="b">
        <f aca="true">AND(OR(H427="❌ Missed",H427="🔄 Partial"),I427&lt;TODAY()-$C$9)</f>
        <v>0</v>
      </c>
      <c r="P427" s="102" t="b">
        <f aca="false">AND(O427=TRUE(),A452=TRUE(),K427=$B$400,COUNTIF($P$401:$P426,TRUE())&lt;$C$11)</f>
        <v>0</v>
      </c>
      <c r="Q427" s="98" t="b">
        <f aca="false">IF($E$15="❌ OFF",TRUE(),'🔄 Topic Pool'!P64="✅ Done")</f>
        <v>0</v>
      </c>
      <c r="R427" s="98" t="b">
        <f aca="true">AND(OR(H427="⬜ Pending",H427="🔄 Partial",H427="❌ Missed"),I427&lt;=TODAY(),Q427=TRUE())</f>
        <v>0</v>
      </c>
      <c r="S427" s="102" t="b">
        <f aca="false">OR(A460=2,AND(A460=1,O427=TRUE()))</f>
        <v>0</v>
      </c>
      <c r="T427" s="97" t="n">
        <f aca="false">IF(R427,T426+E427,T426)</f>
        <v>0</v>
      </c>
      <c r="U427" s="98" t="b">
        <f aca="false">OR(P427,AND(R427,T427&lt;=$M$24))</f>
        <v>0</v>
      </c>
    </row>
    <row r="428" customFormat="false" ht="15" hidden="false" customHeight="true" outlineLevel="0" collapsed="false">
      <c r="A428" s="97" t="n">
        <v>67</v>
      </c>
      <c r="B428" s="97" t="str">
        <f aca="false">'🔄 Topic Pool'!D67</f>
        <v>Kafka: brokers, topics, partitions, replicas, leaders, ISR, KRaft vs ZooKeeper</v>
      </c>
      <c r="C428" s="97" t="str">
        <f aca="false">'🔄 Topic Pool'!E67</f>
        <v>M4-Kafka</v>
      </c>
      <c r="D428" s="100" t="n">
        <f aca="false">'🔄 Topic Pool'!F67</f>
        <v>0.5</v>
      </c>
      <c r="E428" s="100" t="n">
        <f aca="false">'🔄 Topic Pool'!G67</f>
        <v>1</v>
      </c>
      <c r="F428" s="100" t="n">
        <f aca="false">'🔄 Topic Pool'!H67</f>
        <v>1.5</v>
      </c>
      <c r="G428" s="97" t="str">
        <f aca="false">'🔄 Topic Pool'!J67</f>
        <v>🔴 HIGH</v>
      </c>
      <c r="H428" s="97" t="str">
        <f aca="false">'🔄 Topic Pool'!P67</f>
        <v>⬜ Pending</v>
      </c>
      <c r="I428" s="101" t="n">
        <v>46174</v>
      </c>
      <c r="J428" s="97" t="str">
        <f aca="false">'🔄 Topic Pool'!M67</f>
        <v>[COURSE]</v>
      </c>
      <c r="K428" s="97" t="n">
        <v>3</v>
      </c>
      <c r="L428" s="97" t="n">
        <f aca="false">'🔄 Topic Pool'!I67</f>
        <v>14</v>
      </c>
      <c r="M428" s="97" t="n">
        <v>8</v>
      </c>
      <c r="N428" s="97" t="s">
        <v>96</v>
      </c>
      <c r="O428" s="98" t="b">
        <f aca="true">AND(OR(H428="❌ Missed",H428="🔄 Partial"),I428&lt;TODAY()-$C$9)</f>
        <v>0</v>
      </c>
      <c r="P428" s="102" t="b">
        <f aca="false">AND(O428=TRUE(),A452=TRUE(),K428=$B$400,COUNTIF($P$401:$P427,TRUE())&lt;$C$11)</f>
        <v>0</v>
      </c>
      <c r="Q428" s="98" t="b">
        <f aca="false">IF($E$15="❌ OFF",TRUE(),'🔄 Topic Pool'!P66="✅ Done")</f>
        <v>0</v>
      </c>
      <c r="R428" s="98" t="b">
        <f aca="true">AND(OR(H428="⬜ Pending",H428="🔄 Partial",H428="❌ Missed"),I428&lt;=TODAY(),Q428=TRUE())</f>
        <v>0</v>
      </c>
      <c r="S428" s="102" t="b">
        <f aca="false">OR(A460=2,AND(A460=1,O428=TRUE()))</f>
        <v>0</v>
      </c>
      <c r="T428" s="97" t="n">
        <f aca="false">IF(R428,T427+E428,T427)</f>
        <v>0</v>
      </c>
      <c r="U428" s="98" t="b">
        <f aca="false">OR(P428,AND(R428,T428&lt;=$M$24))</f>
        <v>0</v>
      </c>
    </row>
    <row r="429" customFormat="false" ht="15" hidden="false" customHeight="true" outlineLevel="0" collapsed="false">
      <c r="A429" s="97" t="n">
        <v>68</v>
      </c>
      <c r="B429" s="97" t="str">
        <f aca="false">'🔄 Topic Pool'!D68</f>
        <v>Kafka Producers: acks (0/1/all), retries, idempotent producer, compression codecs</v>
      </c>
      <c r="C429" s="97" t="str">
        <f aca="false">'🔄 Topic Pool'!E68</f>
        <v>M4-Kafka</v>
      </c>
      <c r="D429" s="100" t="n">
        <f aca="false">'🔄 Topic Pool'!F68</f>
        <v>0.5</v>
      </c>
      <c r="E429" s="100" t="n">
        <f aca="false">'🔄 Topic Pool'!G68</f>
        <v>1</v>
      </c>
      <c r="F429" s="100" t="n">
        <f aca="false">'🔄 Topic Pool'!H68</f>
        <v>1.5</v>
      </c>
      <c r="G429" s="97" t="str">
        <f aca="false">'🔄 Topic Pool'!J68</f>
        <v>🔴 HIGH</v>
      </c>
      <c r="H429" s="97" t="str">
        <f aca="false">'🔄 Topic Pool'!P68</f>
        <v>⬜ Pending</v>
      </c>
      <c r="I429" s="101" t="n">
        <v>46175</v>
      </c>
      <c r="J429" s="97" t="str">
        <f aca="false">'🔄 Topic Pool'!M68</f>
        <v>[COURSE]</v>
      </c>
      <c r="K429" s="97" t="n">
        <v>3</v>
      </c>
      <c r="L429" s="97" t="n">
        <f aca="false">'🔄 Topic Pool'!I68</f>
        <v>14</v>
      </c>
      <c r="M429" s="97" t="n">
        <v>9</v>
      </c>
      <c r="N429" s="97" t="s">
        <v>97</v>
      </c>
      <c r="O429" s="98" t="b">
        <f aca="true">AND(OR(H429="❌ Missed",H429="🔄 Partial"),I429&lt;TODAY()-$C$9)</f>
        <v>0</v>
      </c>
      <c r="P429" s="102" t="b">
        <f aca="false">AND(O429=TRUE(),A452=TRUE(),K429=$B$400,COUNTIF($P$401:$P428,TRUE())&lt;$C$11)</f>
        <v>0</v>
      </c>
      <c r="Q429" s="98" t="b">
        <f aca="false">IF($E$15="❌ OFF",TRUE(),'🔄 Topic Pool'!P67="✅ Done")</f>
        <v>0</v>
      </c>
      <c r="R429" s="98" t="b">
        <f aca="true">AND(OR(H429="⬜ Pending",H429="🔄 Partial",H429="❌ Missed"),I429&lt;=TODAY(),Q429=TRUE())</f>
        <v>0</v>
      </c>
      <c r="S429" s="102" t="b">
        <f aca="false">OR(A460=2,AND(A460=1,O429=TRUE()))</f>
        <v>0</v>
      </c>
      <c r="T429" s="97" t="n">
        <f aca="false">IF(R429,T428+E429,T428)</f>
        <v>0</v>
      </c>
      <c r="U429" s="98" t="b">
        <f aca="false">OR(P429,AND(R429,T429&lt;=$M$24))</f>
        <v>0</v>
      </c>
    </row>
    <row r="430" customFormat="false" ht="15" hidden="false" customHeight="true" outlineLevel="0" collapsed="false">
      <c r="A430" s="97" t="n">
        <v>69</v>
      </c>
      <c r="B430" s="97" t="str">
        <f aca="false">'🔄 Topic Pool'!D69</f>
        <v>Kafka Consumers: consumer groups, partition assignment strategies, offset management</v>
      </c>
      <c r="C430" s="97" t="str">
        <f aca="false">'🔄 Topic Pool'!E69</f>
        <v>M4-Kafka</v>
      </c>
      <c r="D430" s="100" t="n">
        <f aca="false">'🔄 Topic Pool'!F69</f>
        <v>0.5</v>
      </c>
      <c r="E430" s="100" t="n">
        <f aca="false">'🔄 Topic Pool'!G69</f>
        <v>1</v>
      </c>
      <c r="F430" s="100" t="n">
        <f aca="false">'🔄 Topic Pool'!H69</f>
        <v>1.5</v>
      </c>
      <c r="G430" s="97" t="str">
        <f aca="false">'🔄 Topic Pool'!J69</f>
        <v>🔴 HIGH</v>
      </c>
      <c r="H430" s="97" t="str">
        <f aca="false">'🔄 Topic Pool'!P69</f>
        <v>⬜ Pending</v>
      </c>
      <c r="I430" s="101" t="n">
        <v>46176</v>
      </c>
      <c r="J430" s="97" t="str">
        <f aca="false">'🔄 Topic Pool'!M69</f>
        <v>[COURSE]</v>
      </c>
      <c r="K430" s="97" t="n">
        <v>3</v>
      </c>
      <c r="L430" s="97" t="n">
        <f aca="false">'🔄 Topic Pool'!I69</f>
        <v>14</v>
      </c>
      <c r="M430" s="97" t="n">
        <v>10</v>
      </c>
      <c r="N430" s="97" t="s">
        <v>98</v>
      </c>
      <c r="O430" s="98" t="b">
        <f aca="true">AND(OR(H430="❌ Missed",H430="🔄 Partial"),I430&lt;TODAY()-$C$9)</f>
        <v>0</v>
      </c>
      <c r="P430" s="102" t="b">
        <f aca="false">AND(O430=TRUE(),A452=TRUE(),K430=$B$400,COUNTIF($P$401:$P429,TRUE())&lt;$C$11)</f>
        <v>0</v>
      </c>
      <c r="Q430" s="98" t="b">
        <f aca="false">IF($E$15="❌ OFF",TRUE(),'🔄 Topic Pool'!P68="✅ Done")</f>
        <v>0</v>
      </c>
      <c r="R430" s="98" t="b">
        <f aca="true">AND(OR(H430="⬜ Pending",H430="🔄 Partial",H430="❌ Missed"),I430&lt;=TODAY(),Q430=TRUE())</f>
        <v>0</v>
      </c>
      <c r="S430" s="102" t="b">
        <f aca="false">OR(A460=2,AND(A460=1,O430=TRUE()))</f>
        <v>0</v>
      </c>
      <c r="T430" s="97" t="n">
        <f aca="false">IF(R430,T429+E430,T429)</f>
        <v>0</v>
      </c>
      <c r="U430" s="98" t="b">
        <f aca="false">OR(P430,AND(R430,T430&lt;=$M$24))</f>
        <v>0</v>
      </c>
    </row>
    <row r="431" customFormat="false" ht="15" hidden="false" customHeight="true" outlineLevel="0" collapsed="false">
      <c r="A431" s="97" t="n">
        <v>70</v>
      </c>
      <c r="B431" s="97" t="str">
        <f aca="false">'🔄 Topic Pool'!D70</f>
        <v>Kafka: Schema Registry (Avro/Protobuf/JSON), KSQLdb (streams/tables/joins)</v>
      </c>
      <c r="C431" s="97" t="str">
        <f aca="false">'🔄 Topic Pool'!E70</f>
        <v>M4-Kafka</v>
      </c>
      <c r="D431" s="100" t="n">
        <f aca="false">'🔄 Topic Pool'!F70</f>
        <v>0.5</v>
      </c>
      <c r="E431" s="100" t="n">
        <f aca="false">'🔄 Topic Pool'!G70</f>
        <v>1</v>
      </c>
      <c r="F431" s="100" t="n">
        <f aca="false">'🔄 Topic Pool'!H70</f>
        <v>1.5</v>
      </c>
      <c r="G431" s="97" t="str">
        <f aca="false">'🔄 Topic Pool'!J70</f>
        <v>🟠 MODERATE</v>
      </c>
      <c r="H431" s="97" t="str">
        <f aca="false">'🔄 Topic Pool'!P70</f>
        <v>⬜ Pending</v>
      </c>
      <c r="I431" s="101" t="n">
        <v>46177</v>
      </c>
      <c r="J431" s="97" t="str">
        <f aca="false">'🔄 Topic Pool'!M70</f>
        <v>[COURSE]</v>
      </c>
      <c r="K431" s="97" t="n">
        <v>3</v>
      </c>
      <c r="L431" s="97" t="n">
        <f aca="false">'🔄 Topic Pool'!I70</f>
        <v>11</v>
      </c>
      <c r="M431" s="97" t="n">
        <v>11</v>
      </c>
      <c r="N431" s="97" t="s">
        <v>99</v>
      </c>
      <c r="O431" s="98" t="b">
        <f aca="true">AND(OR(H431="❌ Missed",H431="🔄 Partial"),I431&lt;TODAY()-$C$9)</f>
        <v>0</v>
      </c>
      <c r="P431" s="102" t="b">
        <f aca="false">AND(O431=TRUE(),A452=TRUE(),K431=$B$400,COUNTIF($P$401:$P430,TRUE())&lt;$C$11)</f>
        <v>0</v>
      </c>
      <c r="Q431" s="98" t="b">
        <f aca="false">IF($E$15="❌ OFF",TRUE(),'🔄 Topic Pool'!P69="✅ Done")</f>
        <v>0</v>
      </c>
      <c r="R431" s="98" t="b">
        <f aca="true">AND(OR(H431="⬜ Pending",H431="🔄 Partial",H431="❌ Missed"),I431&lt;=TODAY(),Q431=TRUE())</f>
        <v>0</v>
      </c>
      <c r="S431" s="102" t="b">
        <f aca="false">OR(A460=2,AND(A460=1,O431=TRUE()))</f>
        <v>0</v>
      </c>
      <c r="T431" s="97" t="n">
        <f aca="false">IF(R431,T430+E431,T430)</f>
        <v>0</v>
      </c>
      <c r="U431" s="98" t="b">
        <f aca="false">OR(P431,AND(R431,T431&lt;=$M$24))</f>
        <v>0</v>
      </c>
    </row>
    <row r="432" customFormat="false" ht="15" hidden="false" customHeight="true" outlineLevel="0" collapsed="false">
      <c r="A432" s="97" t="n">
        <v>72</v>
      </c>
      <c r="B432" s="97" t="str">
        <f aca="false">'🔄 Topic Pool'!D72</f>
        <v>Kafka: Exactly-once semantics, Kafka Connect (source/sink/SMT), log compaction</v>
      </c>
      <c r="C432" s="97" t="str">
        <f aca="false">'🔄 Topic Pool'!E72</f>
        <v>M4-Kafka</v>
      </c>
      <c r="D432" s="100" t="n">
        <f aca="false">'🔄 Topic Pool'!F72</f>
        <v>1</v>
      </c>
      <c r="E432" s="100" t="n">
        <f aca="false">'🔄 Topic Pool'!G72</f>
        <v>1.5</v>
      </c>
      <c r="F432" s="100" t="n">
        <f aca="false">'🔄 Topic Pool'!H72</f>
        <v>2</v>
      </c>
      <c r="G432" s="97" t="str">
        <f aca="false">'🔄 Topic Pool'!J72</f>
        <v>🔴 HIGH</v>
      </c>
      <c r="H432" s="97" t="str">
        <f aca="false">'🔄 Topic Pool'!P72</f>
        <v>⬜ Pending</v>
      </c>
      <c r="I432" s="101" t="n">
        <v>46179</v>
      </c>
      <c r="J432" s="97" t="str">
        <f aca="false">'🔄 Topic Pool'!M72</f>
        <v>[GAP]</v>
      </c>
      <c r="K432" s="97" t="n">
        <v>3</v>
      </c>
      <c r="L432" s="97" t="n">
        <f aca="false">'🔄 Topic Pool'!I72</f>
        <v>12</v>
      </c>
      <c r="M432" s="97" t="n">
        <v>13</v>
      </c>
      <c r="N432" s="97" t="s">
        <v>100</v>
      </c>
      <c r="O432" s="98" t="b">
        <f aca="true">AND(OR(H432="❌ Missed",H432="🔄 Partial"),I432&lt;TODAY()-$C$9)</f>
        <v>0</v>
      </c>
      <c r="P432" s="102" t="b">
        <f aca="false">AND(O432=TRUE(),A452=TRUE(),K432=$B$400,COUNTIF($P$401:$P431,TRUE())&lt;$C$11)</f>
        <v>0</v>
      </c>
      <c r="Q432" s="98" t="b">
        <f aca="false">IF($E$15="❌ OFF",TRUE(),'🔄 Topic Pool'!P71="✅ Done")</f>
        <v>0</v>
      </c>
      <c r="R432" s="98" t="b">
        <f aca="true">AND(OR(H432="⬜ Pending",H432="🔄 Partial",H432="❌ Missed"),I432&lt;=TODAY(),Q432=TRUE())</f>
        <v>0</v>
      </c>
      <c r="S432" s="102" t="b">
        <f aca="false">OR(A460=2,AND(A460=1,O432=TRUE()))</f>
        <v>0</v>
      </c>
      <c r="T432" s="97" t="n">
        <f aca="false">IF(R432,T431+E432,T431)</f>
        <v>0</v>
      </c>
      <c r="U432" s="98" t="b">
        <f aca="false">OR(P432,AND(R432,T432&lt;=$M$24))</f>
        <v>0</v>
      </c>
    </row>
    <row r="433" customFormat="false" ht="15" hidden="false" customHeight="true" outlineLevel="0" collapsed="false">
      <c r="A433" s="97" t="n">
        <v>74</v>
      </c>
      <c r="B433" s="97" t="str">
        <f aca="false">'🔄 Topic Pool'!D74</f>
        <v>Kafka: Streams API (KStream/KTable/joins/windowing/state stores/changelog topics)</v>
      </c>
      <c r="C433" s="97" t="str">
        <f aca="false">'🔄 Topic Pool'!E74</f>
        <v>M4-Kafka</v>
      </c>
      <c r="D433" s="100" t="n">
        <f aca="false">'🔄 Topic Pool'!F74</f>
        <v>0.5</v>
      </c>
      <c r="E433" s="100" t="n">
        <f aca="false">'🔄 Topic Pool'!G74</f>
        <v>1</v>
      </c>
      <c r="F433" s="100" t="n">
        <f aca="false">'🔄 Topic Pool'!H74</f>
        <v>1.5</v>
      </c>
      <c r="G433" s="97" t="str">
        <f aca="false">'🔄 Topic Pool'!J74</f>
        <v>🟠 MODERATE</v>
      </c>
      <c r="H433" s="97" t="str">
        <f aca="false">'🔄 Topic Pool'!P74</f>
        <v>⬜ Pending</v>
      </c>
      <c r="I433" s="101" t="n">
        <v>46181</v>
      </c>
      <c r="J433" s="97" t="str">
        <f aca="false">'🔄 Topic Pool'!M74</f>
        <v>[GAP]</v>
      </c>
      <c r="K433" s="97" t="n">
        <v>3</v>
      </c>
      <c r="L433" s="97" t="n">
        <f aca="false">'🔄 Topic Pool'!I74</f>
        <v>10</v>
      </c>
      <c r="M433" s="97" t="n">
        <v>15</v>
      </c>
      <c r="N433" s="97" t="s">
        <v>101</v>
      </c>
      <c r="O433" s="98" t="b">
        <f aca="true">AND(OR(H433="❌ Missed",H433="🔄 Partial"),I433&lt;TODAY()-$C$9)</f>
        <v>0</v>
      </c>
      <c r="P433" s="102" t="b">
        <f aca="false">AND(O433=TRUE(),A452=TRUE(),K433=$B$400,COUNTIF($P$401:$P432,TRUE())&lt;$C$11)</f>
        <v>0</v>
      </c>
      <c r="Q433" s="98" t="b">
        <f aca="false">IF($E$15="❌ OFF",TRUE(),'🔄 Topic Pool'!P73="✅ Done")</f>
        <v>0</v>
      </c>
      <c r="R433" s="98" t="b">
        <f aca="true">AND(OR(H433="⬜ Pending",H433="🔄 Partial",H433="❌ Missed"),I433&lt;=TODAY(),Q433=TRUE())</f>
        <v>0</v>
      </c>
      <c r="S433" s="102" t="b">
        <f aca="false">OR(A460=2,AND(A460=1,O433=TRUE()))</f>
        <v>0</v>
      </c>
      <c r="T433" s="97" t="n">
        <f aca="false">IF(R433,T432+E433,T432)</f>
        <v>0</v>
      </c>
      <c r="U433" s="98" t="b">
        <f aca="false">OR(P433,AND(R433,T433&lt;=$M$24))</f>
        <v>0</v>
      </c>
    </row>
    <row r="434" customFormat="false" ht="15" hidden="false" customHeight="true" outlineLevel="0" collapsed="false">
      <c r="A434" s="97" t="n">
        <v>75</v>
      </c>
      <c r="B434" s="97" t="str">
        <f aca="false">'🔄 Topic Pool'!D75</f>
        <v>Kafka: Security (SASL/TLS/ACLs), monitoring (consumer lag/JMX), troubleshooting</v>
      </c>
      <c r="C434" s="97" t="str">
        <f aca="false">'🔄 Topic Pool'!E75</f>
        <v>M4-Kafka</v>
      </c>
      <c r="D434" s="100" t="n">
        <f aca="false">'🔄 Topic Pool'!F75</f>
        <v>0.5</v>
      </c>
      <c r="E434" s="100" t="n">
        <f aca="false">'🔄 Topic Pool'!G75</f>
        <v>0.75</v>
      </c>
      <c r="F434" s="100" t="n">
        <f aca="false">'🔄 Topic Pool'!H75</f>
        <v>1</v>
      </c>
      <c r="G434" s="97" t="str">
        <f aca="false">'🔄 Topic Pool'!J75</f>
        <v>🟠 MODERATE</v>
      </c>
      <c r="H434" s="97" t="str">
        <f aca="false">'🔄 Topic Pool'!P75</f>
        <v>⬜ Pending</v>
      </c>
      <c r="I434" s="101" t="n">
        <v>46182</v>
      </c>
      <c r="J434" s="97" t="str">
        <f aca="false">'🔄 Topic Pool'!M75</f>
        <v>[GAP]</v>
      </c>
      <c r="K434" s="97" t="n">
        <v>3</v>
      </c>
      <c r="L434" s="97" t="n">
        <f aca="false">'🔄 Topic Pool'!I75</f>
        <v>9</v>
      </c>
      <c r="M434" s="97" t="n">
        <v>16</v>
      </c>
      <c r="N434" s="97" t="s">
        <v>90</v>
      </c>
      <c r="O434" s="98" t="b">
        <f aca="true">AND(OR(H434="❌ Missed",H434="🔄 Partial"),I434&lt;TODAY()-$C$9)</f>
        <v>0</v>
      </c>
      <c r="P434" s="102" t="b">
        <f aca="false">AND(O434=TRUE(),A452=TRUE(),K434=$B$400,COUNTIF($P$401:$P433,TRUE())&lt;$C$11)</f>
        <v>0</v>
      </c>
      <c r="Q434" s="98" t="b">
        <f aca="false">IF($E$15="❌ OFF",TRUE(),'🔄 Topic Pool'!P74="✅ Done")</f>
        <v>0</v>
      </c>
      <c r="R434" s="98" t="b">
        <f aca="true">AND(OR(H434="⬜ Pending",H434="🔄 Partial",H434="❌ Missed"),I434&lt;=TODAY(),Q434=TRUE())</f>
        <v>0</v>
      </c>
      <c r="S434" s="102" t="b">
        <f aca="false">OR(A460=2,AND(A460=1,O434=TRUE()))</f>
        <v>0</v>
      </c>
      <c r="T434" s="97" t="n">
        <f aca="false">IF(R434,T433+E434,T433)</f>
        <v>0</v>
      </c>
      <c r="U434" s="98" t="b">
        <f aca="false">OR(P434,AND(R434,T434&lt;=$M$24))</f>
        <v>0</v>
      </c>
    </row>
    <row r="435" customFormat="false" ht="15" hidden="false" customHeight="true" outlineLevel="0" collapsed="false">
      <c r="A435" s="97" t="n">
        <v>76</v>
      </c>
      <c r="B435" s="97" t="str">
        <f aca="false">'🔄 Topic Pool'!D76</f>
        <v>Azure Event Hubs: Kafka-compatible API, partitions, Consumer groups, Capture to ADLS</v>
      </c>
      <c r="C435" s="97" t="str">
        <f aca="false">'🔄 Topic Pool'!E76</f>
        <v>M4-Kafka</v>
      </c>
      <c r="D435" s="100" t="n">
        <f aca="false">'🔄 Topic Pool'!F76</f>
        <v>0.5</v>
      </c>
      <c r="E435" s="100" t="n">
        <f aca="false">'🔄 Topic Pool'!G76</f>
        <v>1</v>
      </c>
      <c r="F435" s="100" t="n">
        <f aca="false">'🔄 Topic Pool'!H76</f>
        <v>1.5</v>
      </c>
      <c r="G435" s="97" t="str">
        <f aca="false">'🔄 Topic Pool'!J76</f>
        <v>🔴 HIGH</v>
      </c>
      <c r="H435" s="97" t="str">
        <f aca="false">'🔄 Topic Pool'!P76</f>
        <v>⬜ Pending</v>
      </c>
      <c r="I435" s="101" t="n">
        <v>46183</v>
      </c>
      <c r="J435" s="97" t="str">
        <f aca="false">'🔄 Topic Pool'!M76</f>
        <v>[GAP]</v>
      </c>
      <c r="K435" s="97" t="n">
        <v>3</v>
      </c>
      <c r="L435" s="97" t="n">
        <f aca="false">'🔄 Topic Pool'!I76</f>
        <v>13</v>
      </c>
      <c r="M435" s="97" t="n">
        <v>17</v>
      </c>
      <c r="N435" s="97" t="s">
        <v>102</v>
      </c>
      <c r="O435" s="98" t="b">
        <f aca="true">AND(OR(H435="❌ Missed",H435="🔄 Partial"),I435&lt;TODAY()-$C$9)</f>
        <v>0</v>
      </c>
      <c r="P435" s="102" t="b">
        <f aca="false">AND(O435=TRUE(),A452=TRUE(),K435=$B$400,COUNTIF($P$401:$P434,TRUE())&lt;$C$11)</f>
        <v>0</v>
      </c>
      <c r="Q435" s="98" t="b">
        <f aca="false">IF($E$15="❌ OFF",TRUE(),'🔄 Topic Pool'!P75="✅ Done")</f>
        <v>0</v>
      </c>
      <c r="R435" s="98" t="b">
        <f aca="true">AND(OR(H435="⬜ Pending",H435="🔄 Partial",H435="❌ Missed"),I435&lt;=TODAY(),Q435=TRUE())</f>
        <v>0</v>
      </c>
      <c r="S435" s="102" t="b">
        <f aca="false">OR(A460=2,AND(A460=1,O435=TRUE()))</f>
        <v>0</v>
      </c>
      <c r="T435" s="97" t="n">
        <f aca="false">IF(R435,T434+E435,T434)</f>
        <v>0</v>
      </c>
      <c r="U435" s="98" t="b">
        <f aca="false">OR(P435,AND(R435,T435&lt;=$M$24))</f>
        <v>0</v>
      </c>
    </row>
    <row r="436" customFormat="false" ht="15" hidden="false" customHeight="true" outlineLevel="0" collapsed="false">
      <c r="A436" s="97" t="n">
        <v>77</v>
      </c>
      <c r="B436" s="97" t="str">
        <f aca="false">'🔄 Topic Pool'!D77</f>
        <v>AWS MSK: provisioned vs serverless, MSK Connect, IAM auth, MSK vs Kinesis guide</v>
      </c>
      <c r="C436" s="97" t="str">
        <f aca="false">'🔄 Topic Pool'!E77</f>
        <v>M4-Kafka</v>
      </c>
      <c r="D436" s="100" t="n">
        <f aca="false">'🔄 Topic Pool'!F77</f>
        <v>0.5</v>
      </c>
      <c r="E436" s="100" t="n">
        <f aca="false">'🔄 Topic Pool'!G77</f>
        <v>0.75</v>
      </c>
      <c r="F436" s="100" t="n">
        <f aca="false">'🔄 Topic Pool'!H77</f>
        <v>1</v>
      </c>
      <c r="G436" s="97" t="str">
        <f aca="false">'🔄 Topic Pool'!J77</f>
        <v>🟠 MODERATE</v>
      </c>
      <c r="H436" s="97" t="str">
        <f aca="false">'🔄 Topic Pool'!P77</f>
        <v>⬜ Pending</v>
      </c>
      <c r="I436" s="101" t="n">
        <v>46184</v>
      </c>
      <c r="J436" s="97" t="str">
        <f aca="false">'🔄 Topic Pool'!M77</f>
        <v>[GAP]</v>
      </c>
      <c r="K436" s="97" t="n">
        <v>3</v>
      </c>
      <c r="L436" s="97" t="n">
        <f aca="false">'🔄 Topic Pool'!I77</f>
        <v>11</v>
      </c>
      <c r="M436" s="97" t="n">
        <v>18</v>
      </c>
      <c r="N436" s="97" t="s">
        <v>103</v>
      </c>
      <c r="O436" s="98" t="b">
        <f aca="true">AND(OR(H436="❌ Missed",H436="🔄 Partial"),I436&lt;TODAY()-$C$9)</f>
        <v>0</v>
      </c>
      <c r="P436" s="102" t="b">
        <f aca="false">AND(O436=TRUE(),A452=TRUE(),K436=$B$400,COUNTIF($P$401:$P435,TRUE())&lt;$C$11)</f>
        <v>0</v>
      </c>
      <c r="Q436" s="98" t="b">
        <f aca="false">IF($E$15="❌ OFF",TRUE(),'🔄 Topic Pool'!P76="✅ Done")</f>
        <v>0</v>
      </c>
      <c r="R436" s="98" t="b">
        <f aca="true">AND(OR(H436="⬜ Pending",H436="🔄 Partial",H436="❌ Missed"),I436&lt;=TODAY(),Q436=TRUE())</f>
        <v>0</v>
      </c>
      <c r="S436" s="102" t="b">
        <f aca="false">OR(A460=2,AND(A460=1,O436=TRUE()))</f>
        <v>0</v>
      </c>
      <c r="T436" s="97" t="n">
        <f aca="false">IF(R436,T435+E436,T435)</f>
        <v>0</v>
      </c>
      <c r="U436" s="98" t="b">
        <f aca="false">OR(P436,AND(R436,T436&lt;=$M$24))</f>
        <v>0</v>
      </c>
    </row>
    <row r="437" customFormat="false" ht="15" hidden="false" customHeight="true" outlineLevel="0" collapsed="false">
      <c r="A437" s="97" t="n">
        <v>79</v>
      </c>
      <c r="B437" s="97" t="str">
        <f aca="false">'🔄 Topic Pool'!D79</f>
        <v>Kafka interview deep: consumer lag diagnosis, partition strategy design, EOS end-to-end</v>
      </c>
      <c r="C437" s="97" t="str">
        <f aca="false">'🔄 Topic Pool'!E79</f>
        <v>M4-Kafka</v>
      </c>
      <c r="D437" s="100" t="n">
        <f aca="false">'🔄 Topic Pool'!F79</f>
        <v>1</v>
      </c>
      <c r="E437" s="100" t="n">
        <f aca="false">'🔄 Topic Pool'!G79</f>
        <v>1.5</v>
      </c>
      <c r="F437" s="100" t="n">
        <f aca="false">'🔄 Topic Pool'!H79</f>
        <v>2</v>
      </c>
      <c r="G437" s="97" t="str">
        <f aca="false">'🔄 Topic Pool'!J79</f>
        <v>🔴 HIGH</v>
      </c>
      <c r="H437" s="97" t="str">
        <f aca="false">'🔄 Topic Pool'!P79</f>
        <v>⬜ Pending</v>
      </c>
      <c r="I437" s="101" t="n">
        <v>46186</v>
      </c>
      <c r="J437" s="97" t="str">
        <f aca="false">'🔄 Topic Pool'!M79</f>
        <v>[GAP]</v>
      </c>
      <c r="K437" s="97" t="n">
        <v>3</v>
      </c>
      <c r="L437" s="97" t="n">
        <f aca="false">'🔄 Topic Pool'!I79</f>
        <v>14</v>
      </c>
      <c r="M437" s="97" t="n">
        <v>20</v>
      </c>
      <c r="N437" s="97" t="s">
        <v>91</v>
      </c>
      <c r="O437" s="98" t="b">
        <f aca="true">AND(OR(H437="❌ Missed",H437="🔄 Partial"),I437&lt;TODAY()-$C$9)</f>
        <v>0</v>
      </c>
      <c r="P437" s="102" t="b">
        <f aca="false">AND(O437=TRUE(),A452=TRUE(),K437=$B$400,COUNTIF($P$401:$P436,TRUE())&lt;$C$11)</f>
        <v>0</v>
      </c>
      <c r="Q437" s="98" t="b">
        <f aca="false">IF($E$15="❌ OFF",TRUE(),'🔄 Topic Pool'!P78="✅ Done")</f>
        <v>0</v>
      </c>
      <c r="R437" s="98" t="b">
        <f aca="true">AND(OR(H437="⬜ Pending",H437="🔄 Partial",H437="❌ Missed"),I437&lt;=TODAY(),Q437=TRUE())</f>
        <v>0</v>
      </c>
      <c r="S437" s="102" t="b">
        <f aca="false">OR(A460=2,AND(A460=1,O437=TRUE()))</f>
        <v>0</v>
      </c>
      <c r="T437" s="97" t="n">
        <f aca="false">IF(R437,T436+E437,T436)</f>
        <v>0</v>
      </c>
      <c r="U437" s="98" t="b">
        <f aca="false">OR(P437,AND(R437,T437&lt;=$M$24))</f>
        <v>0</v>
      </c>
    </row>
    <row r="438" customFormat="false" ht="15" hidden="false" customHeight="true" outlineLevel="0" collapsed="false">
      <c r="A438" s="97" t="n">
        <v>85</v>
      </c>
      <c r="B438" s="97" t="str">
        <f aca="false">'🔄 Topic Pool'!D85</f>
        <v>DSA: Advanced Graphs — Dijkstra, Union-Find, Alien Dictionary, Critical Connections</v>
      </c>
      <c r="C438" s="97" t="str">
        <f aca="false">'🔄 Topic Pool'!E85</f>
        <v>M5-NoSQL</v>
      </c>
      <c r="D438" s="100" t="n">
        <f aca="false">'🔄 Topic Pool'!F85</f>
        <v>0.3</v>
      </c>
      <c r="E438" s="100" t="n">
        <f aca="false">'🔄 Topic Pool'!G85</f>
        <v>0.5</v>
      </c>
      <c r="F438" s="100" t="n">
        <f aca="false">'🔄 Topic Pool'!H85</f>
        <v>0.75</v>
      </c>
      <c r="G438" s="97" t="str">
        <f aca="false">'🔄 Topic Pool'!J85</f>
        <v>🔴 HIGH</v>
      </c>
      <c r="H438" s="97" t="str">
        <f aca="false">'🔄 Topic Pool'!P85</f>
        <v>⬜ Pending</v>
      </c>
      <c r="I438" s="101" t="n">
        <v>46192</v>
      </c>
      <c r="J438" s="97" t="str">
        <f aca="false">'🔄 Topic Pool'!M85</f>
        <v>[GAP]</v>
      </c>
      <c r="K438" s="97" t="n">
        <v>3</v>
      </c>
      <c r="L438" s="97" t="n">
        <f aca="false">'🔄 Topic Pool'!I85</f>
        <v>15</v>
      </c>
      <c r="M438" s="97" t="n">
        <v>26</v>
      </c>
      <c r="N438" s="97" t="s">
        <v>109</v>
      </c>
      <c r="O438" s="98" t="b">
        <f aca="true">AND(OR(H438="❌ Missed",H438="🔄 Partial"),I438&lt;TODAY()-$C$9)</f>
        <v>0</v>
      </c>
      <c r="P438" s="102" t="b">
        <f aca="false">AND(O438=TRUE(),A452=TRUE(),K438=$B$400,COUNTIF($P$401:$P437,TRUE())&lt;$C$11)</f>
        <v>0</v>
      </c>
      <c r="Q438" s="98" t="b">
        <f aca="false">IF($E$15="❌ OFF",TRUE(),'🔄 Topic Pool'!P84="✅ Done")</f>
        <v>0</v>
      </c>
      <c r="R438" s="98" t="b">
        <f aca="true">AND(OR(H438="⬜ Pending",H438="🔄 Partial",H438="❌ Missed"),I438&lt;=TODAY(),Q438=TRUE())</f>
        <v>0</v>
      </c>
      <c r="S438" s="102" t="b">
        <f aca="false">OR(A460=2,AND(A460=1,O438=TRUE()))</f>
        <v>0</v>
      </c>
      <c r="T438" s="97" t="n">
        <f aca="false">IF(R438,T437+E438,T437)</f>
        <v>0</v>
      </c>
      <c r="U438" s="98" t="b">
        <f aca="false">OR(P438,AND(R438,T438&lt;=$M$24))</f>
        <v>0</v>
      </c>
    </row>
    <row r="439" customFormat="false" ht="15" hidden="false" customHeight="true" outlineLevel="0" collapsed="false">
      <c r="A439" s="97" t="n">
        <v>86</v>
      </c>
      <c r="B439" s="97" t="str">
        <f aca="false">'🔄 Topic Pool'!D86</f>
        <v>Cassandra: CQL, consistency levels (ONE/QUORUM/ALL), query-first data modeling</v>
      </c>
      <c r="C439" s="97" t="str">
        <f aca="false">'🔄 Topic Pool'!E86</f>
        <v>M5-NoSQL</v>
      </c>
      <c r="D439" s="100" t="n">
        <f aca="false">'🔄 Topic Pool'!F86</f>
        <v>1</v>
      </c>
      <c r="E439" s="100" t="n">
        <f aca="false">'🔄 Topic Pool'!G86</f>
        <v>1.5</v>
      </c>
      <c r="F439" s="100" t="n">
        <f aca="false">'🔄 Topic Pool'!H86</f>
        <v>2</v>
      </c>
      <c r="G439" s="97" t="str">
        <f aca="false">'🔄 Topic Pool'!J86</f>
        <v>🔴 HIGH</v>
      </c>
      <c r="H439" s="97" t="str">
        <f aca="false">'🔄 Topic Pool'!P86</f>
        <v>⬜ Pending</v>
      </c>
      <c r="I439" s="101" t="n">
        <v>46193</v>
      </c>
      <c r="J439" s="97" t="str">
        <f aca="false">'🔄 Topic Pool'!M86</f>
        <v>[COURSE]</v>
      </c>
      <c r="K439" s="97" t="n">
        <v>3</v>
      </c>
      <c r="L439" s="97" t="n">
        <f aca="false">'🔄 Topic Pool'!I86</f>
        <v>12</v>
      </c>
      <c r="M439" s="97" t="n">
        <v>27</v>
      </c>
      <c r="N439" s="97" t="s">
        <v>108</v>
      </c>
      <c r="O439" s="98" t="b">
        <f aca="true">AND(OR(H439="❌ Missed",H439="🔄 Partial"),I439&lt;TODAY()-$C$9)</f>
        <v>0</v>
      </c>
      <c r="P439" s="102" t="b">
        <f aca="false">AND(O439=TRUE(),A452=TRUE(),K439=$B$400,COUNTIF($P$401:$P438,TRUE())&lt;$C$11)</f>
        <v>0</v>
      </c>
      <c r="Q439" s="98" t="b">
        <f aca="false">IF($E$15="❌ OFF",TRUE(),'🔄 Topic Pool'!P85="✅ Done")</f>
        <v>0</v>
      </c>
      <c r="R439" s="98" t="b">
        <f aca="true">AND(OR(H439="⬜ Pending",H439="🔄 Partial",H439="❌ Missed"),I439&lt;=TODAY(),Q439=TRUE())</f>
        <v>0</v>
      </c>
      <c r="S439" s="102" t="b">
        <f aca="false">OR(A460=2,AND(A460=1,O439=TRUE()))</f>
        <v>0</v>
      </c>
      <c r="T439" s="97" t="n">
        <f aca="false">IF(R439,T438+E439,T438)</f>
        <v>0</v>
      </c>
      <c r="U439" s="98" t="b">
        <f aca="false">OR(P439,AND(R439,T439&lt;=$M$24))</f>
        <v>0</v>
      </c>
    </row>
    <row r="440" customFormat="false" ht="15" hidden="false" customHeight="true" outlineLevel="0" collapsed="false">
      <c r="A440" s="97" t="n">
        <v>88</v>
      </c>
      <c r="B440" s="97" t="str">
        <f aca="false">'🔄 Topic Pool'!D88</f>
        <v>Redis: data structures (7 types), persistence (RDB/AOF), eviction, Redis Cluster</v>
      </c>
      <c r="C440" s="97" t="str">
        <f aca="false">'🔄 Topic Pool'!E88</f>
        <v>M5-NoSQL</v>
      </c>
      <c r="D440" s="100" t="n">
        <f aca="false">'🔄 Topic Pool'!F88</f>
        <v>0.5</v>
      </c>
      <c r="E440" s="100" t="n">
        <f aca="false">'🔄 Topic Pool'!G88</f>
        <v>1</v>
      </c>
      <c r="F440" s="100" t="n">
        <f aca="false">'🔄 Topic Pool'!H88</f>
        <v>1.5</v>
      </c>
      <c r="G440" s="97" t="str">
        <f aca="false">'🔄 Topic Pool'!J88</f>
        <v>🔴 HIGH</v>
      </c>
      <c r="H440" s="97" t="str">
        <f aca="false">'🔄 Topic Pool'!P88</f>
        <v>⬜ Pending</v>
      </c>
      <c r="I440" s="101" t="n">
        <v>46195</v>
      </c>
      <c r="J440" s="97" t="str">
        <f aca="false">'🔄 Topic Pool'!M88</f>
        <v>[GAP]</v>
      </c>
      <c r="K440" s="97" t="n">
        <v>4</v>
      </c>
      <c r="L440" s="97" t="n">
        <f aca="false">'🔄 Topic Pool'!I88</f>
        <v>13</v>
      </c>
      <c r="M440" s="97" t="n">
        <v>1</v>
      </c>
      <c r="N440" s="97" t="s">
        <v>26</v>
      </c>
      <c r="O440" s="98" t="b">
        <f aca="true">AND(OR(H440="❌ Missed",H440="🔄 Partial"),I440&lt;TODAY()-$C$9)</f>
        <v>0</v>
      </c>
      <c r="P440" s="102" t="b">
        <f aca="false">AND(O440=TRUE(),A452=TRUE(),K440=$B$400,COUNTIF($P$401:$P439,TRUE())&lt;$C$11)</f>
        <v>0</v>
      </c>
      <c r="Q440" s="98" t="b">
        <f aca="false">TRUE()</f>
        <v>1</v>
      </c>
      <c r="R440" s="98" t="b">
        <f aca="true">AND(OR(H440="⬜ Pending",H440="🔄 Partial",H440="❌ Missed"),I440&lt;=TODAY(),Q440=TRUE())</f>
        <v>0</v>
      </c>
      <c r="S440" s="102" t="b">
        <f aca="false">OR(A460=2,AND(A460=1,O440=TRUE()))</f>
        <v>0</v>
      </c>
      <c r="T440" s="97" t="n">
        <f aca="false">IF(R440,T439+E440,T439)</f>
        <v>0</v>
      </c>
      <c r="U440" s="98" t="b">
        <f aca="false">OR(P440,AND(R440,T440&lt;=$M$24))</f>
        <v>0</v>
      </c>
    </row>
    <row r="450" customFormat="false" ht="4.5" hidden="false" customHeight="true" outlineLevel="0" collapsed="false">
      <c r="A450" s="103" t="n">
        <f aca="false">IFERROR(AVERAGEIF('🔢 Stats (Do Not Edit)'!$B$2:$B$40,"&gt;0",'🔢 Stats (Do Not Edit)'!$B$2:$B$40),1.5)</f>
        <v>10.5</v>
      </c>
    </row>
    <row r="451" customFormat="false" ht="4.5" hidden="false" customHeight="true" outlineLevel="0" collapsed="false">
      <c r="A451" s="103" t="n">
        <f aca="false">MOD($A$400-1,4)+1</f>
        <v>1</v>
      </c>
    </row>
    <row r="452" customFormat="false" ht="4.5" hidden="false" customHeight="true" outlineLevel="0" collapsed="false">
      <c r="A452" s="102" t="b">
        <f aca="false">A451&gt;=3</f>
        <v>0</v>
      </c>
    </row>
    <row r="453" customFormat="false" ht="4.5" hidden="false" customHeight="true" outlineLevel="0" collapsed="false">
      <c r="A453" s="102" t="b">
        <f aca="false">A451=4</f>
        <v>0</v>
      </c>
    </row>
    <row r="454" customFormat="false" ht="4.5" hidden="false" customHeight="true" outlineLevel="0" collapsed="false">
      <c r="A454" s="103" t="n">
        <f aca="false">MAX(0,(4-A451)*A450)</f>
        <v>31.5</v>
      </c>
    </row>
    <row r="455" customFormat="false" ht="4.5" hidden="false" customHeight="true" outlineLevel="0" collapsed="false">
      <c r="A455" s="103" t="n">
        <f aca="false">IFERROR(SUMPRODUCT(('🔄 Topic Pool'!$B$4:$B$276=$B$400)*(('🔄 Topic Pool'!$P$4:$P$276="❌ Missed")+('🔄 Topic Pool'!$P$4:$P$276="🔄 Partial"))*'🔄 Topic Pool'!$G$4:$G$276),0)</f>
        <v>0</v>
      </c>
    </row>
    <row r="456" customFormat="false" ht="4.5" hidden="false" customHeight="true" outlineLevel="0" collapsed="false">
      <c r="A456" s="103" t="n">
        <f aca="false">IFERROR(SUMPRODUCT(('🔄 Topic Pool'!$B$4:$B$276=$B$400)*('🔄 Topic Pool'!$P$4:$P$276="⬜ Pending")*'🔄 Topic Pool'!$G$4:$G$276),0)</f>
        <v>0</v>
      </c>
    </row>
    <row r="457" customFormat="false" ht="4.5" hidden="false" customHeight="true" outlineLevel="0" collapsed="false">
      <c r="A457" s="103" t="n">
        <f aca="false">A455+A456</f>
        <v>0</v>
      </c>
    </row>
    <row r="458" customFormat="false" ht="4.5" hidden="false" customHeight="true" outlineLevel="0" collapsed="false">
      <c r="A458" s="103" t="n">
        <f aca="false">A454-A457</f>
        <v>31.5</v>
      </c>
    </row>
    <row r="459" customFormat="false" ht="4.5" hidden="false" customHeight="true" outlineLevel="0" collapsed="false">
      <c r="A459" s="102" t="b">
        <f aca="false">A458&gt;=0</f>
        <v>1</v>
      </c>
    </row>
    <row r="460" customFormat="false" ht="4.5" hidden="false" customHeight="true" outlineLevel="0" collapsed="false">
      <c r="A460" s="103" t="n">
        <f aca="false">IF(NOT(A452),0,IF(A453,2,IF(A459,1,2)))</f>
        <v>0</v>
      </c>
    </row>
  </sheetData>
  <mergeCells count="703">
    <mergeCell ref="A1:V1"/>
    <mergeCell ref="A2:V2"/>
    <mergeCell ref="A4:V4"/>
    <mergeCell ref="C5:D5"/>
    <mergeCell ref="F5:V5"/>
    <mergeCell ref="C6:D6"/>
    <mergeCell ref="F6:V6"/>
    <mergeCell ref="C7:D7"/>
    <mergeCell ref="F7:V7"/>
    <mergeCell ref="C8:D8"/>
    <mergeCell ref="F8:V8"/>
    <mergeCell ref="C9:D9"/>
    <mergeCell ref="F9:V9"/>
    <mergeCell ref="C10:D10"/>
    <mergeCell ref="F10:V10"/>
    <mergeCell ref="C11:D11"/>
    <mergeCell ref="F11:V11"/>
    <mergeCell ref="C12:D12"/>
    <mergeCell ref="F12:V12"/>
    <mergeCell ref="C13:D13"/>
    <mergeCell ref="F13:V13"/>
    <mergeCell ref="C14:D14"/>
    <mergeCell ref="F14:V14"/>
    <mergeCell ref="C15:D15"/>
    <mergeCell ref="F15:V15"/>
    <mergeCell ref="C16:D16"/>
    <mergeCell ref="F16:V16"/>
    <mergeCell ref="C17:D17"/>
    <mergeCell ref="F17:V17"/>
    <mergeCell ref="A18:V18"/>
    <mergeCell ref="A19:B19"/>
    <mergeCell ref="C19:D19"/>
    <mergeCell ref="E19:F19"/>
    <mergeCell ref="G19:H19"/>
    <mergeCell ref="I19:J19"/>
    <mergeCell ref="K19:L19"/>
    <mergeCell ref="M19:N19"/>
    <mergeCell ref="O19:V19"/>
    <mergeCell ref="A22:V22"/>
    <mergeCell ref="C24:G24"/>
    <mergeCell ref="H24:I24"/>
    <mergeCell ref="J24:K24"/>
    <mergeCell ref="M24:N24"/>
    <mergeCell ref="O24:P24"/>
    <mergeCell ref="R24:S24"/>
    <mergeCell ref="T24:V24"/>
    <mergeCell ref="A25:V25"/>
    <mergeCell ref="C26:D26"/>
    <mergeCell ref="E26:F26"/>
    <mergeCell ref="G26:K26"/>
    <mergeCell ref="L26:M26"/>
    <mergeCell ref="U26:V26"/>
    <mergeCell ref="C27:D27"/>
    <mergeCell ref="E27:F27"/>
    <mergeCell ref="G27:K27"/>
    <mergeCell ref="L27:M27"/>
    <mergeCell ref="U27:V27"/>
    <mergeCell ref="C28:D28"/>
    <mergeCell ref="E28:F28"/>
    <mergeCell ref="G28:K28"/>
    <mergeCell ref="L28:M28"/>
    <mergeCell ref="U28:V28"/>
    <mergeCell ref="C29:D29"/>
    <mergeCell ref="E29:F29"/>
    <mergeCell ref="G29:K29"/>
    <mergeCell ref="L29:M29"/>
    <mergeCell ref="U29:V29"/>
    <mergeCell ref="C30:D30"/>
    <mergeCell ref="E30:F30"/>
    <mergeCell ref="G30:K30"/>
    <mergeCell ref="L30:M30"/>
    <mergeCell ref="U30:V30"/>
    <mergeCell ref="C31:D31"/>
    <mergeCell ref="E31:F31"/>
    <mergeCell ref="G31:K31"/>
    <mergeCell ref="L31:M31"/>
    <mergeCell ref="U31:V31"/>
    <mergeCell ref="C32:D32"/>
    <mergeCell ref="E32:F32"/>
    <mergeCell ref="G32:K32"/>
    <mergeCell ref="L32:M32"/>
    <mergeCell ref="U32:V32"/>
    <mergeCell ref="C33:D33"/>
    <mergeCell ref="E33:F33"/>
    <mergeCell ref="G33:K33"/>
    <mergeCell ref="L33:M33"/>
    <mergeCell ref="U33:V33"/>
    <mergeCell ref="C34:D34"/>
    <mergeCell ref="E34:F34"/>
    <mergeCell ref="G34:K34"/>
    <mergeCell ref="L34:M34"/>
    <mergeCell ref="U34:V34"/>
    <mergeCell ref="C35:D35"/>
    <mergeCell ref="E35:F35"/>
    <mergeCell ref="G35:K35"/>
    <mergeCell ref="L35:M35"/>
    <mergeCell ref="U35:V35"/>
    <mergeCell ref="C36:D36"/>
    <mergeCell ref="E36:F36"/>
    <mergeCell ref="G36:K36"/>
    <mergeCell ref="L36:M36"/>
    <mergeCell ref="U36:V36"/>
    <mergeCell ref="C37:D37"/>
    <mergeCell ref="E37:F37"/>
    <mergeCell ref="G37:K37"/>
    <mergeCell ref="L37:M37"/>
    <mergeCell ref="U37:V37"/>
    <mergeCell ref="C38:D38"/>
    <mergeCell ref="E38:F38"/>
    <mergeCell ref="G38:K38"/>
    <mergeCell ref="L38:M38"/>
    <mergeCell ref="U38:V38"/>
    <mergeCell ref="C39:D39"/>
    <mergeCell ref="E39:F39"/>
    <mergeCell ref="G39:K39"/>
    <mergeCell ref="L39:M39"/>
    <mergeCell ref="U39:V39"/>
    <mergeCell ref="C40:D40"/>
    <mergeCell ref="E40:F40"/>
    <mergeCell ref="G40:K40"/>
    <mergeCell ref="L40:M40"/>
    <mergeCell ref="U40:V40"/>
    <mergeCell ref="C41:D41"/>
    <mergeCell ref="E41:F41"/>
    <mergeCell ref="G41:K41"/>
    <mergeCell ref="L41:M41"/>
    <mergeCell ref="U41:V41"/>
    <mergeCell ref="C42:D42"/>
    <mergeCell ref="E42:F42"/>
    <mergeCell ref="G42:K42"/>
    <mergeCell ref="L42:M42"/>
    <mergeCell ref="U42:V42"/>
    <mergeCell ref="C43:D43"/>
    <mergeCell ref="E43:F43"/>
    <mergeCell ref="G43:K43"/>
    <mergeCell ref="L43:M43"/>
    <mergeCell ref="U43:V43"/>
    <mergeCell ref="C44:D44"/>
    <mergeCell ref="E44:F44"/>
    <mergeCell ref="G44:K44"/>
    <mergeCell ref="L44:M44"/>
    <mergeCell ref="U44:V44"/>
    <mergeCell ref="C45:D45"/>
    <mergeCell ref="E45:F45"/>
    <mergeCell ref="G45:K45"/>
    <mergeCell ref="L45:M45"/>
    <mergeCell ref="U45:V45"/>
    <mergeCell ref="C46:D46"/>
    <mergeCell ref="E46:F46"/>
    <mergeCell ref="G46:K46"/>
    <mergeCell ref="L46:M46"/>
    <mergeCell ref="U46:V46"/>
    <mergeCell ref="C47:D47"/>
    <mergeCell ref="E47:F47"/>
    <mergeCell ref="G47:K47"/>
    <mergeCell ref="L47:M47"/>
    <mergeCell ref="U47:V47"/>
    <mergeCell ref="C48:D48"/>
    <mergeCell ref="E48:F48"/>
    <mergeCell ref="G48:K48"/>
    <mergeCell ref="L48:M48"/>
    <mergeCell ref="U48:V48"/>
    <mergeCell ref="C49:D49"/>
    <mergeCell ref="E49:F49"/>
    <mergeCell ref="G49:K49"/>
    <mergeCell ref="L49:M49"/>
    <mergeCell ref="U49:V49"/>
    <mergeCell ref="C50:D50"/>
    <mergeCell ref="E50:F50"/>
    <mergeCell ref="G50:K50"/>
    <mergeCell ref="L50:M50"/>
    <mergeCell ref="U50:V50"/>
    <mergeCell ref="C51:D51"/>
    <mergeCell ref="E51:F51"/>
    <mergeCell ref="G51:K51"/>
    <mergeCell ref="L51:M51"/>
    <mergeCell ref="U51:V51"/>
    <mergeCell ref="C52:D52"/>
    <mergeCell ref="E52:F52"/>
    <mergeCell ref="G52:K52"/>
    <mergeCell ref="L52:M52"/>
    <mergeCell ref="U52:V52"/>
    <mergeCell ref="C53:D53"/>
    <mergeCell ref="E53:F53"/>
    <mergeCell ref="G53:K53"/>
    <mergeCell ref="L53:M53"/>
    <mergeCell ref="U53:V53"/>
    <mergeCell ref="C54:D54"/>
    <mergeCell ref="E54:F54"/>
    <mergeCell ref="G54:K54"/>
    <mergeCell ref="L54:M54"/>
    <mergeCell ref="U54:V54"/>
    <mergeCell ref="C55:D55"/>
    <mergeCell ref="E55:F55"/>
    <mergeCell ref="G55:K55"/>
    <mergeCell ref="L55:M55"/>
    <mergeCell ref="U55:V55"/>
    <mergeCell ref="C56:D56"/>
    <mergeCell ref="E56:F56"/>
    <mergeCell ref="G56:K56"/>
    <mergeCell ref="L56:M56"/>
    <mergeCell ref="U56:V56"/>
    <mergeCell ref="C57:D57"/>
    <mergeCell ref="E57:F57"/>
    <mergeCell ref="G57:K57"/>
    <mergeCell ref="L57:M57"/>
    <mergeCell ref="U57:V57"/>
    <mergeCell ref="C58:D58"/>
    <mergeCell ref="E58:F58"/>
    <mergeCell ref="G58:K58"/>
    <mergeCell ref="L58:M58"/>
    <mergeCell ref="U58:V58"/>
    <mergeCell ref="C59:D59"/>
    <mergeCell ref="E59:F59"/>
    <mergeCell ref="G59:K59"/>
    <mergeCell ref="L59:M59"/>
    <mergeCell ref="U59:V59"/>
    <mergeCell ref="C60:D60"/>
    <mergeCell ref="E60:F60"/>
    <mergeCell ref="G60:K60"/>
    <mergeCell ref="L60:M60"/>
    <mergeCell ref="U60:V60"/>
    <mergeCell ref="C61:D61"/>
    <mergeCell ref="E61:F61"/>
    <mergeCell ref="G61:K61"/>
    <mergeCell ref="L61:M61"/>
    <mergeCell ref="U61:V61"/>
    <mergeCell ref="C62:D62"/>
    <mergeCell ref="E62:F62"/>
    <mergeCell ref="G62:K62"/>
    <mergeCell ref="L62:M62"/>
    <mergeCell ref="U62:V62"/>
    <mergeCell ref="C63:D63"/>
    <mergeCell ref="E63:F63"/>
    <mergeCell ref="G63:K63"/>
    <mergeCell ref="L63:M63"/>
    <mergeCell ref="U63:V63"/>
    <mergeCell ref="C64:D64"/>
    <mergeCell ref="E64:F64"/>
    <mergeCell ref="G64:K64"/>
    <mergeCell ref="L64:M64"/>
    <mergeCell ref="U64:V64"/>
    <mergeCell ref="C65:D65"/>
    <mergeCell ref="E65:F65"/>
    <mergeCell ref="G65:K65"/>
    <mergeCell ref="L65:M65"/>
    <mergeCell ref="U65:V65"/>
    <mergeCell ref="C66:D66"/>
    <mergeCell ref="E66:F66"/>
    <mergeCell ref="G66:K66"/>
    <mergeCell ref="L66:M66"/>
    <mergeCell ref="U66:V66"/>
    <mergeCell ref="B67:P67"/>
    <mergeCell ref="S67:V67"/>
    <mergeCell ref="A69:V69"/>
    <mergeCell ref="B70:V70"/>
    <mergeCell ref="C71:L71"/>
    <mergeCell ref="M71:N71"/>
    <mergeCell ref="P71:Q71"/>
    <mergeCell ref="S71:T71"/>
    <mergeCell ref="U71:V71"/>
    <mergeCell ref="C72:L72"/>
    <mergeCell ref="M72:N72"/>
    <mergeCell ref="P72:Q72"/>
    <mergeCell ref="S72:T72"/>
    <mergeCell ref="U72:V72"/>
    <mergeCell ref="C73:L73"/>
    <mergeCell ref="M73:N73"/>
    <mergeCell ref="P73:Q73"/>
    <mergeCell ref="S73:T73"/>
    <mergeCell ref="U73:V73"/>
    <mergeCell ref="C74:L74"/>
    <mergeCell ref="M74:N74"/>
    <mergeCell ref="P74:Q74"/>
    <mergeCell ref="S74:T74"/>
    <mergeCell ref="U74:V74"/>
    <mergeCell ref="C75:L75"/>
    <mergeCell ref="M75:N75"/>
    <mergeCell ref="P75:Q75"/>
    <mergeCell ref="S75:T75"/>
    <mergeCell ref="U75:V75"/>
    <mergeCell ref="C76:L76"/>
    <mergeCell ref="M76:N76"/>
    <mergeCell ref="P76:Q76"/>
    <mergeCell ref="S76:T76"/>
    <mergeCell ref="U76:V76"/>
    <mergeCell ref="C77:L77"/>
    <mergeCell ref="M77:N77"/>
    <mergeCell ref="P77:Q77"/>
    <mergeCell ref="S77:T77"/>
    <mergeCell ref="U77:V77"/>
    <mergeCell ref="C78:L78"/>
    <mergeCell ref="M78:N78"/>
    <mergeCell ref="P78:Q78"/>
    <mergeCell ref="S78:T78"/>
    <mergeCell ref="U78:V78"/>
    <mergeCell ref="C79:L79"/>
    <mergeCell ref="M79:N79"/>
    <mergeCell ref="P79:Q79"/>
    <mergeCell ref="S79:T79"/>
    <mergeCell ref="U79:V79"/>
    <mergeCell ref="C80:L80"/>
    <mergeCell ref="M80:N80"/>
    <mergeCell ref="P80:Q80"/>
    <mergeCell ref="S80:T80"/>
    <mergeCell ref="U80:V80"/>
    <mergeCell ref="C81:L81"/>
    <mergeCell ref="M81:N81"/>
    <mergeCell ref="P81:Q81"/>
    <mergeCell ref="S81:T81"/>
    <mergeCell ref="U81:V81"/>
    <mergeCell ref="C82:L82"/>
    <mergeCell ref="M82:N82"/>
    <mergeCell ref="P82:Q82"/>
    <mergeCell ref="S82:T82"/>
    <mergeCell ref="U82:V82"/>
    <mergeCell ref="C83:L83"/>
    <mergeCell ref="M83:N83"/>
    <mergeCell ref="P83:Q83"/>
    <mergeCell ref="S83:T83"/>
    <mergeCell ref="U83:V83"/>
    <mergeCell ref="C84:L84"/>
    <mergeCell ref="M84:N84"/>
    <mergeCell ref="P84:Q84"/>
    <mergeCell ref="S84:T84"/>
    <mergeCell ref="U84:V84"/>
    <mergeCell ref="C85:L85"/>
    <mergeCell ref="M85:N85"/>
    <mergeCell ref="P85:Q85"/>
    <mergeCell ref="S85:T85"/>
    <mergeCell ref="U85:V85"/>
    <mergeCell ref="C86:L86"/>
    <mergeCell ref="M86:N86"/>
    <mergeCell ref="P86:Q86"/>
    <mergeCell ref="S86:T86"/>
    <mergeCell ref="U86:V86"/>
    <mergeCell ref="C87:L87"/>
    <mergeCell ref="M87:N87"/>
    <mergeCell ref="P87:Q87"/>
    <mergeCell ref="S87:T87"/>
    <mergeCell ref="U87:V87"/>
    <mergeCell ref="C88:L88"/>
    <mergeCell ref="M88:N88"/>
    <mergeCell ref="P88:Q88"/>
    <mergeCell ref="S88:T88"/>
    <mergeCell ref="U88:V88"/>
    <mergeCell ref="C89:L89"/>
    <mergeCell ref="M89:N89"/>
    <mergeCell ref="P89:Q89"/>
    <mergeCell ref="S89:T89"/>
    <mergeCell ref="U89:V89"/>
    <mergeCell ref="C90:L90"/>
    <mergeCell ref="M90:N90"/>
    <mergeCell ref="P90:Q90"/>
    <mergeCell ref="S90:T90"/>
    <mergeCell ref="U90:V90"/>
    <mergeCell ref="C91:L91"/>
    <mergeCell ref="M91:N91"/>
    <mergeCell ref="P91:Q91"/>
    <mergeCell ref="S91:T91"/>
    <mergeCell ref="U91:V91"/>
    <mergeCell ref="C92:L92"/>
    <mergeCell ref="M92:N92"/>
    <mergeCell ref="P92:Q92"/>
    <mergeCell ref="S92:T92"/>
    <mergeCell ref="U92:V92"/>
    <mergeCell ref="C93:L93"/>
    <mergeCell ref="M93:N93"/>
    <mergeCell ref="P93:Q93"/>
    <mergeCell ref="S93:T93"/>
    <mergeCell ref="U93:V93"/>
    <mergeCell ref="C94:L94"/>
    <mergeCell ref="M94:N94"/>
    <mergeCell ref="P94:Q94"/>
    <mergeCell ref="S94:T94"/>
    <mergeCell ref="U94:V94"/>
    <mergeCell ref="C95:L95"/>
    <mergeCell ref="M95:N95"/>
    <mergeCell ref="P95:Q95"/>
    <mergeCell ref="S95:T95"/>
    <mergeCell ref="U95:V95"/>
    <mergeCell ref="C96:L96"/>
    <mergeCell ref="M96:N96"/>
    <mergeCell ref="P96:Q96"/>
    <mergeCell ref="S96:T96"/>
    <mergeCell ref="U96:V96"/>
    <mergeCell ref="C97:L97"/>
    <mergeCell ref="M97:N97"/>
    <mergeCell ref="P97:Q97"/>
    <mergeCell ref="S97:T97"/>
    <mergeCell ref="U97:V97"/>
    <mergeCell ref="C98:L98"/>
    <mergeCell ref="M98:N98"/>
    <mergeCell ref="P98:Q98"/>
    <mergeCell ref="S98:T98"/>
    <mergeCell ref="U98:V98"/>
    <mergeCell ref="C99:L99"/>
    <mergeCell ref="M99:N99"/>
    <mergeCell ref="P99:Q99"/>
    <mergeCell ref="S99:T99"/>
    <mergeCell ref="U99:V99"/>
    <mergeCell ref="C100:L100"/>
    <mergeCell ref="M100:N100"/>
    <mergeCell ref="P100:Q100"/>
    <mergeCell ref="S100:T100"/>
    <mergeCell ref="U100:V100"/>
    <mergeCell ref="C101:L101"/>
    <mergeCell ref="M101:N101"/>
    <mergeCell ref="P101:Q101"/>
    <mergeCell ref="S101:T101"/>
    <mergeCell ref="U101:V101"/>
    <mergeCell ref="C102:L102"/>
    <mergeCell ref="M102:N102"/>
    <mergeCell ref="P102:Q102"/>
    <mergeCell ref="S102:T102"/>
    <mergeCell ref="U102:V102"/>
    <mergeCell ref="C103:L103"/>
    <mergeCell ref="M103:N103"/>
    <mergeCell ref="P103:Q103"/>
    <mergeCell ref="S103:T103"/>
    <mergeCell ref="U103:V103"/>
    <mergeCell ref="C104:L104"/>
    <mergeCell ref="M104:N104"/>
    <mergeCell ref="P104:Q104"/>
    <mergeCell ref="S104:T104"/>
    <mergeCell ref="U104:V104"/>
    <mergeCell ref="C105:L105"/>
    <mergeCell ref="M105:N105"/>
    <mergeCell ref="P105:Q105"/>
    <mergeCell ref="S105:T105"/>
    <mergeCell ref="U105:V105"/>
    <mergeCell ref="C106:L106"/>
    <mergeCell ref="M106:N106"/>
    <mergeCell ref="P106:Q106"/>
    <mergeCell ref="S106:T106"/>
    <mergeCell ref="U106:V106"/>
    <mergeCell ref="A109:V109"/>
    <mergeCell ref="C110:D110"/>
    <mergeCell ref="H110:K110"/>
    <mergeCell ref="L110:O110"/>
    <mergeCell ref="P110:R110"/>
    <mergeCell ref="T110:U110"/>
    <mergeCell ref="C111:D111"/>
    <mergeCell ref="H111:K111"/>
    <mergeCell ref="L111:O111"/>
    <mergeCell ref="P111:R111"/>
    <mergeCell ref="T111:U111"/>
    <mergeCell ref="C112:D112"/>
    <mergeCell ref="H112:K112"/>
    <mergeCell ref="L112:O112"/>
    <mergeCell ref="P112:R112"/>
    <mergeCell ref="T112:U112"/>
    <mergeCell ref="C113:D113"/>
    <mergeCell ref="H113:K113"/>
    <mergeCell ref="L113:O113"/>
    <mergeCell ref="P113:R113"/>
    <mergeCell ref="T113:U113"/>
    <mergeCell ref="C114:D114"/>
    <mergeCell ref="H114:K114"/>
    <mergeCell ref="L114:O114"/>
    <mergeCell ref="P114:R114"/>
    <mergeCell ref="T114:U114"/>
    <mergeCell ref="C115:D115"/>
    <mergeCell ref="H115:K115"/>
    <mergeCell ref="L115:O115"/>
    <mergeCell ref="P115:R115"/>
    <mergeCell ref="T115:U115"/>
    <mergeCell ref="C116:D116"/>
    <mergeCell ref="H116:K116"/>
    <mergeCell ref="L116:O116"/>
    <mergeCell ref="P116:R116"/>
    <mergeCell ref="T116:U116"/>
    <mergeCell ref="C117:D117"/>
    <mergeCell ref="H117:K117"/>
    <mergeCell ref="L117:O117"/>
    <mergeCell ref="P117:R117"/>
    <mergeCell ref="T117:U117"/>
    <mergeCell ref="C118:D118"/>
    <mergeCell ref="H118:K118"/>
    <mergeCell ref="L118:O118"/>
    <mergeCell ref="P118:R118"/>
    <mergeCell ref="T118:U118"/>
    <mergeCell ref="C119:D119"/>
    <mergeCell ref="H119:K119"/>
    <mergeCell ref="L119:O119"/>
    <mergeCell ref="P119:R119"/>
    <mergeCell ref="T119:U119"/>
    <mergeCell ref="C120:D120"/>
    <mergeCell ref="H120:K120"/>
    <mergeCell ref="L120:O120"/>
    <mergeCell ref="P120:R120"/>
    <mergeCell ref="T120:U120"/>
    <mergeCell ref="C121:D121"/>
    <mergeCell ref="H121:K121"/>
    <mergeCell ref="L121:O121"/>
    <mergeCell ref="P121:R121"/>
    <mergeCell ref="T121:U121"/>
    <mergeCell ref="C122:D122"/>
    <mergeCell ref="H122:K122"/>
    <mergeCell ref="L122:O122"/>
    <mergeCell ref="P122:R122"/>
    <mergeCell ref="T122:U122"/>
    <mergeCell ref="C123:D123"/>
    <mergeCell ref="H123:K123"/>
    <mergeCell ref="L123:O123"/>
    <mergeCell ref="P123:R123"/>
    <mergeCell ref="T123:U123"/>
    <mergeCell ref="C124:D124"/>
    <mergeCell ref="H124:K124"/>
    <mergeCell ref="L124:O124"/>
    <mergeCell ref="P124:R124"/>
    <mergeCell ref="T124:U124"/>
    <mergeCell ref="C125:D125"/>
    <mergeCell ref="H125:K125"/>
    <mergeCell ref="L125:O125"/>
    <mergeCell ref="P125:R125"/>
    <mergeCell ref="T125:U125"/>
    <mergeCell ref="C126:D126"/>
    <mergeCell ref="H126:K126"/>
    <mergeCell ref="L126:O126"/>
    <mergeCell ref="P126:R126"/>
    <mergeCell ref="T126:U126"/>
    <mergeCell ref="C127:D127"/>
    <mergeCell ref="H127:K127"/>
    <mergeCell ref="L127:O127"/>
    <mergeCell ref="P127:R127"/>
    <mergeCell ref="T127:U127"/>
    <mergeCell ref="C128:D128"/>
    <mergeCell ref="H128:K128"/>
    <mergeCell ref="L128:O128"/>
    <mergeCell ref="P128:R128"/>
    <mergeCell ref="T128:U128"/>
    <mergeCell ref="C129:D129"/>
    <mergeCell ref="H129:K129"/>
    <mergeCell ref="L129:O129"/>
    <mergeCell ref="P129:R129"/>
    <mergeCell ref="T129:U129"/>
    <mergeCell ref="C130:D130"/>
    <mergeCell ref="H130:K130"/>
    <mergeCell ref="L130:O130"/>
    <mergeCell ref="P130:R130"/>
    <mergeCell ref="T130:U130"/>
    <mergeCell ref="C131:D131"/>
    <mergeCell ref="H131:K131"/>
    <mergeCell ref="L131:O131"/>
    <mergeCell ref="P131:R131"/>
    <mergeCell ref="T131:U131"/>
    <mergeCell ref="C132:D132"/>
    <mergeCell ref="H132:K132"/>
    <mergeCell ref="L132:O132"/>
    <mergeCell ref="P132:R132"/>
    <mergeCell ref="T132:U132"/>
    <mergeCell ref="C133:D133"/>
    <mergeCell ref="H133:K133"/>
    <mergeCell ref="L133:O133"/>
    <mergeCell ref="P133:R133"/>
    <mergeCell ref="T133:U133"/>
    <mergeCell ref="C134:D134"/>
    <mergeCell ref="H134:K134"/>
    <mergeCell ref="L134:O134"/>
    <mergeCell ref="P134:R134"/>
    <mergeCell ref="T134:U134"/>
    <mergeCell ref="C135:D135"/>
    <mergeCell ref="H135:K135"/>
    <mergeCell ref="L135:O135"/>
    <mergeCell ref="P135:R135"/>
    <mergeCell ref="T135:U135"/>
    <mergeCell ref="C136:D136"/>
    <mergeCell ref="H136:K136"/>
    <mergeCell ref="L136:O136"/>
    <mergeCell ref="P136:R136"/>
    <mergeCell ref="T136:U136"/>
    <mergeCell ref="C137:D137"/>
    <mergeCell ref="H137:K137"/>
    <mergeCell ref="L137:O137"/>
    <mergeCell ref="P137:R137"/>
    <mergeCell ref="T137:U137"/>
    <mergeCell ref="C138:D138"/>
    <mergeCell ref="H138:K138"/>
    <mergeCell ref="L138:O138"/>
    <mergeCell ref="P138:R138"/>
    <mergeCell ref="T138:U138"/>
    <mergeCell ref="C139:D139"/>
    <mergeCell ref="H139:K139"/>
    <mergeCell ref="L139:O139"/>
    <mergeCell ref="P139:R139"/>
    <mergeCell ref="T139:U139"/>
    <mergeCell ref="C140:D140"/>
    <mergeCell ref="H140:K140"/>
    <mergeCell ref="L140:O140"/>
    <mergeCell ref="P140:R140"/>
    <mergeCell ref="T140:U140"/>
    <mergeCell ref="C141:D141"/>
    <mergeCell ref="H141:K141"/>
    <mergeCell ref="L141:O141"/>
    <mergeCell ref="P141:R141"/>
    <mergeCell ref="T141:U141"/>
    <mergeCell ref="C142:D142"/>
    <mergeCell ref="H142:K142"/>
    <mergeCell ref="L142:O142"/>
    <mergeCell ref="P142:R142"/>
    <mergeCell ref="T142:U142"/>
    <mergeCell ref="C143:D143"/>
    <mergeCell ref="H143:K143"/>
    <mergeCell ref="L143:O143"/>
    <mergeCell ref="P143:R143"/>
    <mergeCell ref="T143:U143"/>
    <mergeCell ref="C144:D144"/>
    <mergeCell ref="H144:K144"/>
    <mergeCell ref="L144:O144"/>
    <mergeCell ref="P144:R144"/>
    <mergeCell ref="T144:U144"/>
    <mergeCell ref="C145:D145"/>
    <mergeCell ref="H145:K145"/>
    <mergeCell ref="L145:O145"/>
    <mergeCell ref="P145:R145"/>
    <mergeCell ref="T145:U145"/>
    <mergeCell ref="C146:D146"/>
    <mergeCell ref="H146:K146"/>
    <mergeCell ref="L146:O146"/>
    <mergeCell ref="P146:R146"/>
    <mergeCell ref="T146:U146"/>
    <mergeCell ref="C147:D147"/>
    <mergeCell ref="H147:K147"/>
    <mergeCell ref="L147:O147"/>
    <mergeCell ref="P147:R147"/>
    <mergeCell ref="T147:U147"/>
    <mergeCell ref="C148:D148"/>
    <mergeCell ref="H148:K148"/>
    <mergeCell ref="L148:O148"/>
    <mergeCell ref="P148:R148"/>
    <mergeCell ref="T148:U148"/>
    <mergeCell ref="C149:D149"/>
    <mergeCell ref="H149:K149"/>
    <mergeCell ref="L149:O149"/>
    <mergeCell ref="P149:R149"/>
    <mergeCell ref="T149:U149"/>
    <mergeCell ref="C150:D150"/>
    <mergeCell ref="H150:K150"/>
    <mergeCell ref="L150:O150"/>
    <mergeCell ref="P150:R150"/>
    <mergeCell ref="T150:U150"/>
    <mergeCell ref="C151:D151"/>
    <mergeCell ref="H151:K151"/>
    <mergeCell ref="L151:O151"/>
    <mergeCell ref="P151:R151"/>
    <mergeCell ref="T151:U151"/>
    <mergeCell ref="C152:D152"/>
    <mergeCell ref="H152:K152"/>
    <mergeCell ref="L152:O152"/>
    <mergeCell ref="P152:R152"/>
    <mergeCell ref="T152:U152"/>
    <mergeCell ref="C153:D153"/>
    <mergeCell ref="H153:K153"/>
    <mergeCell ref="L153:O153"/>
    <mergeCell ref="P153:R153"/>
    <mergeCell ref="T153:U153"/>
    <mergeCell ref="C154:D154"/>
    <mergeCell ref="H154:K154"/>
    <mergeCell ref="L154:O154"/>
    <mergeCell ref="P154:R154"/>
    <mergeCell ref="T154:U154"/>
    <mergeCell ref="C155:D155"/>
    <mergeCell ref="H155:K155"/>
    <mergeCell ref="L155:O155"/>
    <mergeCell ref="P155:R155"/>
    <mergeCell ref="T155:U155"/>
    <mergeCell ref="C156:D156"/>
    <mergeCell ref="H156:K156"/>
    <mergeCell ref="L156:O156"/>
    <mergeCell ref="P156:R156"/>
    <mergeCell ref="T156:U156"/>
    <mergeCell ref="C157:D157"/>
    <mergeCell ref="H157:K157"/>
    <mergeCell ref="L157:O157"/>
    <mergeCell ref="P157:R157"/>
    <mergeCell ref="T157:U157"/>
    <mergeCell ref="C158:D158"/>
    <mergeCell ref="H158:K158"/>
    <mergeCell ref="L158:O158"/>
    <mergeCell ref="P158:R158"/>
    <mergeCell ref="T158:U158"/>
    <mergeCell ref="C159:D159"/>
    <mergeCell ref="H159:K159"/>
    <mergeCell ref="L159:O159"/>
    <mergeCell ref="P159:R159"/>
    <mergeCell ref="T159:U159"/>
    <mergeCell ref="C160:D160"/>
    <mergeCell ref="H160:K160"/>
    <mergeCell ref="L160:O160"/>
    <mergeCell ref="P160:R160"/>
    <mergeCell ref="T160:U160"/>
    <mergeCell ref="A162:V162"/>
    <mergeCell ref="C163:T163"/>
    <mergeCell ref="U163:V163"/>
    <mergeCell ref="C164:T164"/>
    <mergeCell ref="U164:V164"/>
    <mergeCell ref="C165:T165"/>
    <mergeCell ref="U165:V165"/>
    <mergeCell ref="C166:T166"/>
    <mergeCell ref="U166:V166"/>
    <mergeCell ref="C167:T167"/>
    <mergeCell ref="U167:V167"/>
  </mergeCells>
  <conditionalFormatting sqref="B27:V27">
    <cfRule type="expression" priority="2" aboveAverage="0" equalAverage="0" bottom="0" percent="0" rank="0" text="" dxfId="0">
      <formula>$C27="🚨 MUST DO"</formula>
    </cfRule>
    <cfRule type="expression" priority="3" aboveAverage="0" equalAverage="0" bottom="0" percent="0" rank="0" text="" dxfId="1">
      <formula>$C27="⏰ OVERDUE"</formula>
    </cfRule>
    <cfRule type="expression" priority="4" aboveAverage="0" equalAverage="0" bottom="0" percent="0" rank="0" text="" dxfId="2">
      <formula>$T27="🔄 SWAP ME"</formula>
    </cfRule>
  </conditionalFormatting>
  <conditionalFormatting sqref="B28:V28">
    <cfRule type="expression" priority="5" aboveAverage="0" equalAverage="0" bottom="0" percent="0" rank="0" text="" dxfId="0">
      <formula>$C28="🚨 MUST DO"</formula>
    </cfRule>
    <cfRule type="expression" priority="6" aboveAverage="0" equalAverage="0" bottom="0" percent="0" rank="0" text="" dxfId="1">
      <formula>$C28="⏰ OVERDUE"</formula>
    </cfRule>
    <cfRule type="expression" priority="7" aboveAverage="0" equalAverage="0" bottom="0" percent="0" rank="0" text="" dxfId="2">
      <formula>$T28="🔄 SWAP ME"</formula>
    </cfRule>
  </conditionalFormatting>
  <conditionalFormatting sqref="B29:V29">
    <cfRule type="expression" priority="8" aboveAverage="0" equalAverage="0" bottom="0" percent="0" rank="0" text="" dxfId="0">
      <formula>$C29="🚨 MUST DO"</formula>
    </cfRule>
    <cfRule type="expression" priority="9" aboveAverage="0" equalAverage="0" bottom="0" percent="0" rank="0" text="" dxfId="1">
      <formula>$C29="⏰ OVERDUE"</formula>
    </cfRule>
    <cfRule type="expression" priority="10" aboveAverage="0" equalAverage="0" bottom="0" percent="0" rank="0" text="" dxfId="2">
      <formula>$T29="🔄 SWAP ME"</formula>
    </cfRule>
  </conditionalFormatting>
  <conditionalFormatting sqref="B30:V30">
    <cfRule type="expression" priority="11" aboveAverage="0" equalAverage="0" bottom="0" percent="0" rank="0" text="" dxfId="0">
      <formula>$C30="🚨 MUST DO"</formula>
    </cfRule>
    <cfRule type="expression" priority="12" aboveAverage="0" equalAverage="0" bottom="0" percent="0" rank="0" text="" dxfId="1">
      <formula>$C30="⏰ OVERDUE"</formula>
    </cfRule>
    <cfRule type="expression" priority="13" aboveAverage="0" equalAverage="0" bottom="0" percent="0" rank="0" text="" dxfId="2">
      <formula>$T30="🔄 SWAP ME"</formula>
    </cfRule>
  </conditionalFormatting>
  <conditionalFormatting sqref="B31:V31">
    <cfRule type="expression" priority="14" aboveAverage="0" equalAverage="0" bottom="0" percent="0" rank="0" text="" dxfId="0">
      <formula>$C31="🚨 MUST DO"</formula>
    </cfRule>
    <cfRule type="expression" priority="15" aboveAverage="0" equalAverage="0" bottom="0" percent="0" rank="0" text="" dxfId="1">
      <formula>$C31="⏰ OVERDUE"</formula>
    </cfRule>
    <cfRule type="expression" priority="16" aboveAverage="0" equalAverage="0" bottom="0" percent="0" rank="0" text="" dxfId="2">
      <formula>$T31="🔄 SWAP ME"</formula>
    </cfRule>
  </conditionalFormatting>
  <conditionalFormatting sqref="B32:V32">
    <cfRule type="expression" priority="17" aboveAverage="0" equalAverage="0" bottom="0" percent="0" rank="0" text="" dxfId="0">
      <formula>$C32="🚨 MUST DO"</formula>
    </cfRule>
    <cfRule type="expression" priority="18" aboveAverage="0" equalAverage="0" bottom="0" percent="0" rank="0" text="" dxfId="1">
      <formula>$C32="⏰ OVERDUE"</formula>
    </cfRule>
    <cfRule type="expression" priority="19" aboveAverage="0" equalAverage="0" bottom="0" percent="0" rank="0" text="" dxfId="2">
      <formula>$T32="🔄 SWAP ME"</formula>
    </cfRule>
  </conditionalFormatting>
  <conditionalFormatting sqref="B33:V33">
    <cfRule type="expression" priority="20" aboveAverage="0" equalAverage="0" bottom="0" percent="0" rank="0" text="" dxfId="0">
      <formula>$C33="🚨 MUST DO"</formula>
    </cfRule>
    <cfRule type="expression" priority="21" aboveAverage="0" equalAverage="0" bottom="0" percent="0" rank="0" text="" dxfId="1">
      <formula>$C33="⏰ OVERDUE"</formula>
    </cfRule>
    <cfRule type="expression" priority="22" aboveAverage="0" equalAverage="0" bottom="0" percent="0" rank="0" text="" dxfId="2">
      <formula>$T33="🔄 SWAP ME"</formula>
    </cfRule>
  </conditionalFormatting>
  <conditionalFormatting sqref="B34:V34">
    <cfRule type="expression" priority="23" aboveAverage="0" equalAverage="0" bottom="0" percent="0" rank="0" text="" dxfId="0">
      <formula>$C34="🚨 MUST DO"</formula>
    </cfRule>
    <cfRule type="expression" priority="24" aboveAverage="0" equalAverage="0" bottom="0" percent="0" rank="0" text="" dxfId="1">
      <formula>$C34="⏰ OVERDUE"</formula>
    </cfRule>
    <cfRule type="expression" priority="25" aboveAverage="0" equalAverage="0" bottom="0" percent="0" rank="0" text="" dxfId="2">
      <formula>$T34="🔄 SWAP ME"</formula>
    </cfRule>
  </conditionalFormatting>
  <conditionalFormatting sqref="B35:V35">
    <cfRule type="expression" priority="26" aboveAverage="0" equalAverage="0" bottom="0" percent="0" rank="0" text="" dxfId="0">
      <formula>$C35="🚨 MUST DO"</formula>
    </cfRule>
    <cfRule type="expression" priority="27" aboveAverage="0" equalAverage="0" bottom="0" percent="0" rank="0" text="" dxfId="1">
      <formula>$C35="⏰ OVERDUE"</formula>
    </cfRule>
    <cfRule type="expression" priority="28" aboveAverage="0" equalAverage="0" bottom="0" percent="0" rank="0" text="" dxfId="2">
      <formula>$T35="🔄 SWAP ME"</formula>
    </cfRule>
  </conditionalFormatting>
  <conditionalFormatting sqref="B36:V36">
    <cfRule type="expression" priority="29" aboveAverage="0" equalAverage="0" bottom="0" percent="0" rank="0" text="" dxfId="0">
      <formula>$C36="🚨 MUST DO"</formula>
    </cfRule>
    <cfRule type="expression" priority="30" aboveAverage="0" equalAverage="0" bottom="0" percent="0" rank="0" text="" dxfId="1">
      <formula>$C36="⏰ OVERDUE"</formula>
    </cfRule>
    <cfRule type="expression" priority="31" aboveAverage="0" equalAverage="0" bottom="0" percent="0" rank="0" text="" dxfId="2">
      <formula>$T36="🔄 SWAP ME"</formula>
    </cfRule>
  </conditionalFormatting>
  <conditionalFormatting sqref="B37:V37">
    <cfRule type="expression" priority="32" aboveAverage="0" equalAverage="0" bottom="0" percent="0" rank="0" text="" dxfId="0">
      <formula>$C37="🚨 MUST DO"</formula>
    </cfRule>
    <cfRule type="expression" priority="33" aboveAverage="0" equalAverage="0" bottom="0" percent="0" rank="0" text="" dxfId="1">
      <formula>$C37="⏰ OVERDUE"</formula>
    </cfRule>
    <cfRule type="expression" priority="34" aboveAverage="0" equalAverage="0" bottom="0" percent="0" rank="0" text="" dxfId="2">
      <formula>$T37="🔄 SWAP ME"</formula>
    </cfRule>
  </conditionalFormatting>
  <conditionalFormatting sqref="B38:V38">
    <cfRule type="expression" priority="35" aboveAverage="0" equalAverage="0" bottom="0" percent="0" rank="0" text="" dxfId="0">
      <formula>$C38="🚨 MUST DO"</formula>
    </cfRule>
    <cfRule type="expression" priority="36" aboveAverage="0" equalAverage="0" bottom="0" percent="0" rank="0" text="" dxfId="1">
      <formula>$C38="⏰ OVERDUE"</formula>
    </cfRule>
    <cfRule type="expression" priority="37" aboveAverage="0" equalAverage="0" bottom="0" percent="0" rank="0" text="" dxfId="2">
      <formula>$T38="🔄 SWAP ME"</formula>
    </cfRule>
  </conditionalFormatting>
  <conditionalFormatting sqref="B39:V39">
    <cfRule type="expression" priority="38" aboveAverage="0" equalAverage="0" bottom="0" percent="0" rank="0" text="" dxfId="0">
      <formula>$C39="🚨 MUST DO"</formula>
    </cfRule>
    <cfRule type="expression" priority="39" aboveAverage="0" equalAverage="0" bottom="0" percent="0" rank="0" text="" dxfId="1">
      <formula>$C39="⏰ OVERDUE"</formula>
    </cfRule>
    <cfRule type="expression" priority="40" aboveAverage="0" equalAverage="0" bottom="0" percent="0" rank="0" text="" dxfId="2">
      <formula>$T39="🔄 SWAP ME"</formula>
    </cfRule>
  </conditionalFormatting>
  <conditionalFormatting sqref="B40:V40">
    <cfRule type="expression" priority="41" aboveAverage="0" equalAverage="0" bottom="0" percent="0" rank="0" text="" dxfId="0">
      <formula>$C40="🚨 MUST DO"</formula>
    </cfRule>
    <cfRule type="expression" priority="42" aboveAverage="0" equalAverage="0" bottom="0" percent="0" rank="0" text="" dxfId="1">
      <formula>$C40="⏰ OVERDUE"</formula>
    </cfRule>
    <cfRule type="expression" priority="43" aboveAverage="0" equalAverage="0" bottom="0" percent="0" rank="0" text="" dxfId="2">
      <formula>$T40="🔄 SWAP ME"</formula>
    </cfRule>
  </conditionalFormatting>
  <conditionalFormatting sqref="B41:V41">
    <cfRule type="expression" priority="44" aboveAverage="0" equalAverage="0" bottom="0" percent="0" rank="0" text="" dxfId="0">
      <formula>$C41="🚨 MUST DO"</formula>
    </cfRule>
    <cfRule type="expression" priority="45" aboveAverage="0" equalAverage="0" bottom="0" percent="0" rank="0" text="" dxfId="1">
      <formula>$C41="⏰ OVERDUE"</formula>
    </cfRule>
    <cfRule type="expression" priority="46" aboveAverage="0" equalAverage="0" bottom="0" percent="0" rank="0" text="" dxfId="2">
      <formula>$T41="🔄 SWAP ME"</formula>
    </cfRule>
  </conditionalFormatting>
  <conditionalFormatting sqref="B42:V42">
    <cfRule type="expression" priority="47" aboveAverage="0" equalAverage="0" bottom="0" percent="0" rank="0" text="" dxfId="0">
      <formula>$C42="🚨 MUST DO"</formula>
    </cfRule>
    <cfRule type="expression" priority="48" aboveAverage="0" equalAverage="0" bottom="0" percent="0" rank="0" text="" dxfId="1">
      <formula>$C42="⏰ OVERDUE"</formula>
    </cfRule>
    <cfRule type="expression" priority="49" aboveAverage="0" equalAverage="0" bottom="0" percent="0" rank="0" text="" dxfId="2">
      <formula>$T42="🔄 SWAP ME"</formula>
    </cfRule>
  </conditionalFormatting>
  <conditionalFormatting sqref="B43:V43">
    <cfRule type="expression" priority="50" aboveAverage="0" equalAverage="0" bottom="0" percent="0" rank="0" text="" dxfId="0">
      <formula>$C43="🚨 MUST DO"</formula>
    </cfRule>
    <cfRule type="expression" priority="51" aboveAverage="0" equalAverage="0" bottom="0" percent="0" rank="0" text="" dxfId="1">
      <formula>$C43="⏰ OVERDUE"</formula>
    </cfRule>
    <cfRule type="expression" priority="52" aboveAverage="0" equalAverage="0" bottom="0" percent="0" rank="0" text="" dxfId="2">
      <formula>$T43="🔄 SWAP ME"</formula>
    </cfRule>
  </conditionalFormatting>
  <conditionalFormatting sqref="B44:V44">
    <cfRule type="expression" priority="53" aboveAverage="0" equalAverage="0" bottom="0" percent="0" rank="0" text="" dxfId="0">
      <formula>$C44="🚨 MUST DO"</formula>
    </cfRule>
    <cfRule type="expression" priority="54" aboveAverage="0" equalAverage="0" bottom="0" percent="0" rank="0" text="" dxfId="1">
      <formula>$C44="⏰ OVERDUE"</formula>
    </cfRule>
    <cfRule type="expression" priority="55" aboveAverage="0" equalAverage="0" bottom="0" percent="0" rank="0" text="" dxfId="2">
      <formula>$T44="🔄 SWAP ME"</formula>
    </cfRule>
  </conditionalFormatting>
  <conditionalFormatting sqref="B45:V45">
    <cfRule type="expression" priority="56" aboveAverage="0" equalAverage="0" bottom="0" percent="0" rank="0" text="" dxfId="0">
      <formula>$C45="🚨 MUST DO"</formula>
    </cfRule>
    <cfRule type="expression" priority="57" aboveAverage="0" equalAverage="0" bottom="0" percent="0" rank="0" text="" dxfId="1">
      <formula>$C45="⏰ OVERDUE"</formula>
    </cfRule>
    <cfRule type="expression" priority="58" aboveAverage="0" equalAverage="0" bottom="0" percent="0" rank="0" text="" dxfId="2">
      <formula>$T45="🔄 SWAP ME"</formula>
    </cfRule>
  </conditionalFormatting>
  <conditionalFormatting sqref="B46:V46">
    <cfRule type="expression" priority="59" aboveAverage="0" equalAverage="0" bottom="0" percent="0" rank="0" text="" dxfId="0">
      <formula>$C46="🚨 MUST DO"</formula>
    </cfRule>
    <cfRule type="expression" priority="60" aboveAverage="0" equalAverage="0" bottom="0" percent="0" rank="0" text="" dxfId="1">
      <formula>$C46="⏰ OVERDUE"</formula>
    </cfRule>
    <cfRule type="expression" priority="61" aboveAverage="0" equalAverage="0" bottom="0" percent="0" rank="0" text="" dxfId="2">
      <formula>$T46="🔄 SWAP ME"</formula>
    </cfRule>
  </conditionalFormatting>
  <conditionalFormatting sqref="B47:V47">
    <cfRule type="expression" priority="62" aboveAverage="0" equalAverage="0" bottom="0" percent="0" rank="0" text="" dxfId="0">
      <formula>$C47="🚨 MUST DO"</formula>
    </cfRule>
    <cfRule type="expression" priority="63" aboveAverage="0" equalAverage="0" bottom="0" percent="0" rank="0" text="" dxfId="1">
      <formula>$C47="⏰ OVERDUE"</formula>
    </cfRule>
    <cfRule type="expression" priority="64" aboveAverage="0" equalAverage="0" bottom="0" percent="0" rank="0" text="" dxfId="2">
      <formula>$T47="🔄 SWAP ME"</formula>
    </cfRule>
  </conditionalFormatting>
  <conditionalFormatting sqref="B48:V48">
    <cfRule type="expression" priority="65" aboveAverage="0" equalAverage="0" bottom="0" percent="0" rank="0" text="" dxfId="0">
      <formula>$C48="🚨 MUST DO"</formula>
    </cfRule>
    <cfRule type="expression" priority="66" aboveAverage="0" equalAverage="0" bottom="0" percent="0" rank="0" text="" dxfId="1">
      <formula>$C48="⏰ OVERDUE"</formula>
    </cfRule>
    <cfRule type="expression" priority="67" aboveAverage="0" equalAverage="0" bottom="0" percent="0" rank="0" text="" dxfId="2">
      <formula>$T48="🔄 SWAP ME"</formula>
    </cfRule>
  </conditionalFormatting>
  <conditionalFormatting sqref="B49:V49">
    <cfRule type="expression" priority="68" aboveAverage="0" equalAverage="0" bottom="0" percent="0" rank="0" text="" dxfId="0">
      <formula>$C49="🚨 MUST DO"</formula>
    </cfRule>
    <cfRule type="expression" priority="69" aboveAverage="0" equalAverage="0" bottom="0" percent="0" rank="0" text="" dxfId="1">
      <formula>$C49="⏰ OVERDUE"</formula>
    </cfRule>
    <cfRule type="expression" priority="70" aboveAverage="0" equalAverage="0" bottom="0" percent="0" rank="0" text="" dxfId="2">
      <formula>$T49="🔄 SWAP ME"</formula>
    </cfRule>
  </conditionalFormatting>
  <conditionalFormatting sqref="B50:V50">
    <cfRule type="expression" priority="71" aboveAverage="0" equalAverage="0" bottom="0" percent="0" rank="0" text="" dxfId="0">
      <formula>$C50="🚨 MUST DO"</formula>
    </cfRule>
    <cfRule type="expression" priority="72" aboveAverage="0" equalAverage="0" bottom="0" percent="0" rank="0" text="" dxfId="1">
      <formula>$C50="⏰ OVERDUE"</formula>
    </cfRule>
    <cfRule type="expression" priority="73" aboveAverage="0" equalAverage="0" bottom="0" percent="0" rank="0" text="" dxfId="2">
      <formula>$T50="🔄 SWAP ME"</formula>
    </cfRule>
  </conditionalFormatting>
  <conditionalFormatting sqref="B51:V51">
    <cfRule type="expression" priority="74" aboveAverage="0" equalAverage="0" bottom="0" percent="0" rank="0" text="" dxfId="0">
      <formula>$C51="🚨 MUST DO"</formula>
    </cfRule>
    <cfRule type="expression" priority="75" aboveAverage="0" equalAverage="0" bottom="0" percent="0" rank="0" text="" dxfId="1">
      <formula>$C51="⏰ OVERDUE"</formula>
    </cfRule>
    <cfRule type="expression" priority="76" aboveAverage="0" equalAverage="0" bottom="0" percent="0" rank="0" text="" dxfId="2">
      <formula>$T51="🔄 SWAP ME"</formula>
    </cfRule>
  </conditionalFormatting>
  <conditionalFormatting sqref="B52:V52">
    <cfRule type="expression" priority="77" aboveAverage="0" equalAverage="0" bottom="0" percent="0" rank="0" text="" dxfId="0">
      <formula>$C52="🚨 MUST DO"</formula>
    </cfRule>
    <cfRule type="expression" priority="78" aboveAverage="0" equalAverage="0" bottom="0" percent="0" rank="0" text="" dxfId="1">
      <formula>$C52="⏰ OVERDUE"</formula>
    </cfRule>
    <cfRule type="expression" priority="79" aboveAverage="0" equalAverage="0" bottom="0" percent="0" rank="0" text="" dxfId="2">
      <formula>$T52="🔄 SWAP ME"</formula>
    </cfRule>
  </conditionalFormatting>
  <conditionalFormatting sqref="B53:V53">
    <cfRule type="expression" priority="80" aboveAverage="0" equalAverage="0" bottom="0" percent="0" rank="0" text="" dxfId="0">
      <formula>$C53="🚨 MUST DO"</formula>
    </cfRule>
    <cfRule type="expression" priority="81" aboveAverage="0" equalAverage="0" bottom="0" percent="0" rank="0" text="" dxfId="1">
      <formula>$C53="⏰ OVERDUE"</formula>
    </cfRule>
    <cfRule type="expression" priority="82" aboveAverage="0" equalAverage="0" bottom="0" percent="0" rank="0" text="" dxfId="2">
      <formula>$T53="🔄 SWAP ME"</formula>
    </cfRule>
  </conditionalFormatting>
  <conditionalFormatting sqref="B54:V54">
    <cfRule type="expression" priority="83" aboveAverage="0" equalAverage="0" bottom="0" percent="0" rank="0" text="" dxfId="0">
      <formula>$C54="🚨 MUST DO"</formula>
    </cfRule>
    <cfRule type="expression" priority="84" aboveAverage="0" equalAverage="0" bottom="0" percent="0" rank="0" text="" dxfId="1">
      <formula>$C54="⏰ OVERDUE"</formula>
    </cfRule>
    <cfRule type="expression" priority="85" aboveAverage="0" equalAverage="0" bottom="0" percent="0" rank="0" text="" dxfId="2">
      <formula>$T54="🔄 SWAP ME"</formula>
    </cfRule>
  </conditionalFormatting>
  <conditionalFormatting sqref="B55:V55">
    <cfRule type="expression" priority="86" aboveAverage="0" equalAverage="0" bottom="0" percent="0" rank="0" text="" dxfId="0">
      <formula>$C55="🚨 MUST DO"</formula>
    </cfRule>
    <cfRule type="expression" priority="87" aboveAverage="0" equalAverage="0" bottom="0" percent="0" rank="0" text="" dxfId="1">
      <formula>$C55="⏰ OVERDUE"</formula>
    </cfRule>
    <cfRule type="expression" priority="88" aboveAverage="0" equalAverage="0" bottom="0" percent="0" rank="0" text="" dxfId="2">
      <formula>$T55="🔄 SWAP ME"</formula>
    </cfRule>
  </conditionalFormatting>
  <conditionalFormatting sqref="B56:V56">
    <cfRule type="expression" priority="89" aboveAverage="0" equalAverage="0" bottom="0" percent="0" rank="0" text="" dxfId="0">
      <formula>$C56="🚨 MUST DO"</formula>
    </cfRule>
    <cfRule type="expression" priority="90" aboveAverage="0" equalAverage="0" bottom="0" percent="0" rank="0" text="" dxfId="1">
      <formula>$C56="⏰ OVERDUE"</formula>
    </cfRule>
    <cfRule type="expression" priority="91" aboveAverage="0" equalAverage="0" bottom="0" percent="0" rank="0" text="" dxfId="2">
      <formula>$T56="🔄 SWAP ME"</formula>
    </cfRule>
  </conditionalFormatting>
  <conditionalFormatting sqref="B57:V57">
    <cfRule type="expression" priority="92" aboveAverage="0" equalAverage="0" bottom="0" percent="0" rank="0" text="" dxfId="0">
      <formula>$C57="🚨 MUST DO"</formula>
    </cfRule>
    <cfRule type="expression" priority="93" aboveAverage="0" equalAverage="0" bottom="0" percent="0" rank="0" text="" dxfId="1">
      <formula>$C57="⏰ OVERDUE"</formula>
    </cfRule>
    <cfRule type="expression" priority="94" aboveAverage="0" equalAverage="0" bottom="0" percent="0" rank="0" text="" dxfId="2">
      <formula>$T57="🔄 SWAP ME"</formula>
    </cfRule>
  </conditionalFormatting>
  <conditionalFormatting sqref="B58:V58">
    <cfRule type="expression" priority="95" aboveAverage="0" equalAverage="0" bottom="0" percent="0" rank="0" text="" dxfId="0">
      <formula>$C58="🚨 MUST DO"</formula>
    </cfRule>
    <cfRule type="expression" priority="96" aboveAverage="0" equalAverage="0" bottom="0" percent="0" rank="0" text="" dxfId="1">
      <formula>$C58="⏰ OVERDUE"</formula>
    </cfRule>
    <cfRule type="expression" priority="97" aboveAverage="0" equalAverage="0" bottom="0" percent="0" rank="0" text="" dxfId="2">
      <formula>$T58="🔄 SWAP ME"</formula>
    </cfRule>
  </conditionalFormatting>
  <conditionalFormatting sqref="B59:V59">
    <cfRule type="expression" priority="98" aboveAverage="0" equalAverage="0" bottom="0" percent="0" rank="0" text="" dxfId="0">
      <formula>$C59="🚨 MUST DO"</formula>
    </cfRule>
    <cfRule type="expression" priority="99" aboveAverage="0" equalAverage="0" bottom="0" percent="0" rank="0" text="" dxfId="1">
      <formula>$C59="⏰ OVERDUE"</formula>
    </cfRule>
    <cfRule type="expression" priority="100" aboveAverage="0" equalAverage="0" bottom="0" percent="0" rank="0" text="" dxfId="2">
      <formula>$T59="🔄 SWAP ME"</formula>
    </cfRule>
  </conditionalFormatting>
  <conditionalFormatting sqref="B60:V60">
    <cfRule type="expression" priority="101" aboveAverage="0" equalAverage="0" bottom="0" percent="0" rank="0" text="" dxfId="0">
      <formula>$C60="🚨 MUST DO"</formula>
    </cfRule>
    <cfRule type="expression" priority="102" aboveAverage="0" equalAverage="0" bottom="0" percent="0" rank="0" text="" dxfId="1">
      <formula>$C60="⏰ OVERDUE"</formula>
    </cfRule>
    <cfRule type="expression" priority="103" aboveAverage="0" equalAverage="0" bottom="0" percent="0" rank="0" text="" dxfId="2">
      <formula>$T60="🔄 SWAP ME"</formula>
    </cfRule>
  </conditionalFormatting>
  <conditionalFormatting sqref="B61:V61">
    <cfRule type="expression" priority="104" aboveAverage="0" equalAverage="0" bottom="0" percent="0" rank="0" text="" dxfId="0">
      <formula>$C61="🚨 MUST DO"</formula>
    </cfRule>
    <cfRule type="expression" priority="105" aboveAverage="0" equalAverage="0" bottom="0" percent="0" rank="0" text="" dxfId="1">
      <formula>$C61="⏰ OVERDUE"</formula>
    </cfRule>
    <cfRule type="expression" priority="106" aboveAverage="0" equalAverage="0" bottom="0" percent="0" rank="0" text="" dxfId="2">
      <formula>$T61="🔄 SWAP ME"</formula>
    </cfRule>
  </conditionalFormatting>
  <conditionalFormatting sqref="B62:V62">
    <cfRule type="expression" priority="107" aboveAverage="0" equalAverage="0" bottom="0" percent="0" rank="0" text="" dxfId="0">
      <formula>$C62="🚨 MUST DO"</formula>
    </cfRule>
    <cfRule type="expression" priority="108" aboveAverage="0" equalAverage="0" bottom="0" percent="0" rank="0" text="" dxfId="1">
      <formula>$C62="⏰ OVERDUE"</formula>
    </cfRule>
    <cfRule type="expression" priority="109" aboveAverage="0" equalAverage="0" bottom="0" percent="0" rank="0" text="" dxfId="2">
      <formula>$T62="🔄 SWAP ME"</formula>
    </cfRule>
  </conditionalFormatting>
  <conditionalFormatting sqref="B63:V63">
    <cfRule type="expression" priority="110" aboveAverage="0" equalAverage="0" bottom="0" percent="0" rank="0" text="" dxfId="0">
      <formula>$C63="🚨 MUST DO"</formula>
    </cfRule>
    <cfRule type="expression" priority="111" aboveAverage="0" equalAverage="0" bottom="0" percent="0" rank="0" text="" dxfId="1">
      <formula>$C63="⏰ OVERDUE"</formula>
    </cfRule>
    <cfRule type="expression" priority="112" aboveAverage="0" equalAverage="0" bottom="0" percent="0" rank="0" text="" dxfId="2">
      <formula>$T63="🔄 SWAP ME"</formula>
    </cfRule>
  </conditionalFormatting>
  <conditionalFormatting sqref="B64:V64">
    <cfRule type="expression" priority="113" aboveAverage="0" equalAverage="0" bottom="0" percent="0" rank="0" text="" dxfId="0">
      <formula>$C64="🚨 MUST DO"</formula>
    </cfRule>
    <cfRule type="expression" priority="114" aboveAverage="0" equalAverage="0" bottom="0" percent="0" rank="0" text="" dxfId="1">
      <formula>$C64="⏰ OVERDUE"</formula>
    </cfRule>
    <cfRule type="expression" priority="115" aboveAverage="0" equalAverage="0" bottom="0" percent="0" rank="0" text="" dxfId="2">
      <formula>$T64="🔄 SWAP ME"</formula>
    </cfRule>
  </conditionalFormatting>
  <conditionalFormatting sqref="B65:V65">
    <cfRule type="expression" priority="116" aboveAverage="0" equalAverage="0" bottom="0" percent="0" rank="0" text="" dxfId="0">
      <formula>$C65="🚨 MUST DO"</formula>
    </cfRule>
    <cfRule type="expression" priority="117" aboveAverage="0" equalAverage="0" bottom="0" percent="0" rank="0" text="" dxfId="1">
      <formula>$C65="⏰ OVERDUE"</formula>
    </cfRule>
    <cfRule type="expression" priority="118" aboveAverage="0" equalAverage="0" bottom="0" percent="0" rank="0" text="" dxfId="2">
      <formula>$T65="🔄 SWAP ME"</formula>
    </cfRule>
  </conditionalFormatting>
  <conditionalFormatting sqref="B66:V66">
    <cfRule type="expression" priority="119" aboveAverage="0" equalAverage="0" bottom="0" percent="0" rank="0" text="" dxfId="0">
      <formula>$C66="🚨 MUST DO"</formula>
    </cfRule>
    <cfRule type="expression" priority="120" aboveAverage="0" equalAverage="0" bottom="0" percent="0" rank="0" text="" dxfId="1">
      <formula>$C66="⏰ OVERDUE"</formula>
    </cfRule>
    <cfRule type="expression" priority="121" aboveAverage="0" equalAverage="0" bottom="0" percent="0" rank="0" text="" dxfId="2">
      <formula>$T66="🔄 SWAP ME"</formula>
    </cfRule>
  </conditionalFormatting>
  <conditionalFormatting sqref="S111:S160">
    <cfRule type="colorScale" priority="122">
      <colorScale>
        <cfvo type="num" val="0"/>
        <cfvo type="num" val="2"/>
        <cfvo type="num" val="3"/>
        <color rgb="FF82E0AA"/>
        <color rgb="FFF9E79F"/>
        <color rgb="FFF1948A"/>
      </colorScale>
    </cfRule>
  </conditionalFormatting>
  <dataValidations count="4">
    <dataValidation allowBlank="false" errorStyle="stop" operator="between" showDropDown="false" showErrorMessage="false" showInputMessage="false" sqref="E6:E17" type="list">
      <formula1>"✅ ON,❌ OFF"</formula1>
      <formula2>0</formula2>
    </dataValidation>
    <dataValidation allowBlank="false" errorStyle="stop" operator="between" showDropDown="false" showErrorMessage="false" showInputMessage="false" sqref="C14:D14" type="list">
      <formula1>"Option 1 — Same Month Only,Option 2 — Current+Next Week"</formula1>
      <formula2>0</formula2>
    </dataValidation>
    <dataValidation allowBlank="false" errorStyle="stop" operator="between" showDropDown="false" showErrorMessage="false" showInputMessage="false" sqref="T27:T66" type="list">
      <formula1>"— Keep,🔄 SWAP ME"</formula1>
      <formula2>0</formula2>
    </dataValidation>
    <dataValidation allowBlank="true" errorStyle="stop" operator="between" showDropDown="false" showErrorMessage="false" showInputMessage="false" sqref="P111:P160" type="list">
      <formula1>"Low energy today,Office overtime,More time needed on prev topic,Moving to next week,Confidence too low,Already covered,Other"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A4A"/>
    <pageSetUpPr fitToPage="false"/>
  </sheetPr>
  <dimension ref="A1:L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3" min="3" style="1" width="7"/>
    <col collapsed="false" customWidth="true" hidden="false" outlineLevel="0" max="4" min="4" style="1" width="8"/>
    <col collapsed="false" customWidth="true" hidden="false" outlineLevel="0" max="5" min="5" style="1" width="30"/>
    <col collapsed="false" customWidth="true" hidden="false" outlineLevel="0" max="6" min="6" style="1" width="8"/>
    <col collapsed="false" customWidth="true" hidden="false" outlineLevel="0" max="7" min="7" style="1" width="12"/>
    <col collapsed="false" customWidth="true" hidden="false" outlineLevel="0" max="11" min="8" style="1" width="8"/>
    <col collapsed="false" customWidth="true" hidden="false" outlineLevel="0" max="12" min="12" style="1" width="40"/>
  </cols>
  <sheetData>
    <row r="1" customFormat="false" ht="21.75" hidden="false" customHeight="true" outlineLevel="0" collapsed="false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0" hidden="false" customHeight="true" outlineLevel="0" collapsed="false">
      <c r="B2" s="104" t="s">
        <v>65</v>
      </c>
      <c r="C2" s="104" t="s">
        <v>111</v>
      </c>
      <c r="D2" s="104" t="s">
        <v>68</v>
      </c>
      <c r="E2" s="104" t="s">
        <v>112</v>
      </c>
      <c r="F2" s="104" t="s">
        <v>44</v>
      </c>
      <c r="G2" s="104" t="s">
        <v>50</v>
      </c>
      <c r="H2" s="104" t="s">
        <v>113</v>
      </c>
      <c r="I2" s="5" t="s">
        <v>114</v>
      </c>
      <c r="J2" s="5" t="s">
        <v>115</v>
      </c>
      <c r="K2" s="5" t="s">
        <v>116</v>
      </c>
      <c r="L2" s="104" t="s">
        <v>117</v>
      </c>
    </row>
    <row r="3" customFormat="false" ht="18" hidden="false" customHeight="true" outlineLevel="0" collapsed="false">
      <c r="B3" s="105" t="n">
        <v>46111</v>
      </c>
      <c r="C3" s="106" t="n">
        <v>1</v>
      </c>
      <c r="D3" s="106" t="s">
        <v>118</v>
      </c>
      <c r="E3" s="107" t="s">
        <v>119</v>
      </c>
      <c r="F3" s="107" t="s">
        <v>120</v>
      </c>
      <c r="G3" s="108" t="s">
        <v>121</v>
      </c>
      <c r="H3" s="109" t="n">
        <v>3</v>
      </c>
      <c r="I3" s="106" t="n">
        <v>4</v>
      </c>
      <c r="J3" s="106" t="n">
        <v>15</v>
      </c>
      <c r="K3" s="106"/>
      <c r="L3" s="110" t="s">
        <v>122</v>
      </c>
    </row>
    <row r="4" customFormat="false" ht="18" hidden="false" customHeight="true" outlineLevel="0" collapsed="false">
      <c r="B4" s="111" t="n">
        <v>46112</v>
      </c>
      <c r="C4" s="112" t="n">
        <v>1</v>
      </c>
      <c r="D4" s="112" t="s">
        <v>123</v>
      </c>
      <c r="E4" s="113" t="s">
        <v>124</v>
      </c>
      <c r="F4" s="113" t="s">
        <v>120</v>
      </c>
      <c r="G4" s="108" t="s">
        <v>121</v>
      </c>
      <c r="H4" s="114" t="n">
        <v>2.5</v>
      </c>
      <c r="I4" s="112" t="n">
        <v>3</v>
      </c>
      <c r="J4" s="112" t="n">
        <v>0</v>
      </c>
      <c r="K4" s="112"/>
      <c r="L4" s="115" t="s">
        <v>125</v>
      </c>
    </row>
    <row r="5" customFormat="false" ht="18" hidden="false" customHeight="true" outlineLevel="0" collapsed="false">
      <c r="B5" s="105" t="n">
        <v>46113</v>
      </c>
      <c r="C5" s="106" t="n">
        <v>1</v>
      </c>
      <c r="D5" s="106" t="s">
        <v>126</v>
      </c>
      <c r="E5" s="107" t="s">
        <v>127</v>
      </c>
      <c r="F5" s="107" t="s">
        <v>120</v>
      </c>
      <c r="G5" s="116" t="s">
        <v>128</v>
      </c>
      <c r="H5" s="109" t="n">
        <v>1.5</v>
      </c>
      <c r="I5" s="106" t="n">
        <v>3</v>
      </c>
      <c r="J5" s="106" t="n">
        <v>8</v>
      </c>
      <c r="K5" s="106"/>
      <c r="L5" s="110" t="s">
        <v>129</v>
      </c>
    </row>
    <row r="6" customFormat="false" ht="18" hidden="false" customHeight="true" outlineLevel="0" collapsed="false">
      <c r="B6" s="111" t="n">
        <v>46114</v>
      </c>
      <c r="C6" s="112" t="n">
        <v>1</v>
      </c>
      <c r="D6" s="112" t="s">
        <v>130</v>
      </c>
      <c r="E6" s="113" t="s">
        <v>131</v>
      </c>
      <c r="F6" s="113" t="s">
        <v>120</v>
      </c>
      <c r="G6" s="108" t="s">
        <v>121</v>
      </c>
      <c r="H6" s="114" t="n">
        <v>2</v>
      </c>
      <c r="I6" s="112" t="n">
        <v>4</v>
      </c>
      <c r="J6" s="112" t="n">
        <v>0</v>
      </c>
      <c r="K6" s="112"/>
      <c r="L6" s="115" t="s">
        <v>132</v>
      </c>
    </row>
    <row r="7" customFormat="false" ht="18" hidden="false" customHeight="true" outlineLevel="0" collapsed="false">
      <c r="B7" s="105" t="n">
        <v>46115</v>
      </c>
      <c r="C7" s="106" t="n">
        <v>1</v>
      </c>
      <c r="D7" s="106" t="s">
        <v>133</v>
      </c>
      <c r="E7" s="107" t="s">
        <v>134</v>
      </c>
      <c r="F7" s="107" t="s">
        <v>120</v>
      </c>
      <c r="G7" s="108" t="s">
        <v>121</v>
      </c>
      <c r="H7" s="109" t="n">
        <v>1.5</v>
      </c>
      <c r="I7" s="106" t="n">
        <v>4</v>
      </c>
      <c r="J7" s="106" t="n">
        <v>7</v>
      </c>
      <c r="K7" s="106"/>
      <c r="L7" s="110" t="s">
        <v>135</v>
      </c>
    </row>
    <row r="8" customFormat="false" ht="18" hidden="false" customHeight="true" outlineLevel="0" collapsed="false">
      <c r="B8" s="117"/>
      <c r="C8" s="118"/>
      <c r="D8" s="118"/>
      <c r="E8" s="119"/>
      <c r="F8" s="119"/>
      <c r="G8" s="118"/>
      <c r="H8" s="118"/>
      <c r="I8" s="118"/>
      <c r="J8" s="118"/>
      <c r="K8" s="118"/>
      <c r="L8" s="119"/>
    </row>
    <row r="9" customFormat="false" ht="18" hidden="false" customHeight="true" outlineLevel="0" collapsed="false">
      <c r="B9" s="120"/>
      <c r="C9" s="121"/>
      <c r="D9" s="121"/>
      <c r="E9" s="122"/>
      <c r="F9" s="122"/>
      <c r="G9" s="121"/>
      <c r="H9" s="121"/>
      <c r="I9" s="121"/>
      <c r="J9" s="121"/>
      <c r="K9" s="121"/>
      <c r="L9" s="122"/>
    </row>
    <row r="10" customFormat="false" ht="18" hidden="false" customHeight="true" outlineLevel="0" collapsed="false">
      <c r="B10" s="117"/>
      <c r="C10" s="118"/>
      <c r="D10" s="118"/>
      <c r="E10" s="119"/>
      <c r="F10" s="119"/>
      <c r="G10" s="118"/>
      <c r="H10" s="118"/>
      <c r="I10" s="118"/>
      <c r="J10" s="118"/>
      <c r="K10" s="118"/>
      <c r="L10" s="119"/>
    </row>
    <row r="11" customFormat="false" ht="18" hidden="false" customHeight="true" outlineLevel="0" collapsed="false">
      <c r="B11" s="120"/>
      <c r="C11" s="121"/>
      <c r="D11" s="121"/>
      <c r="E11" s="122"/>
      <c r="F11" s="122"/>
      <c r="G11" s="121"/>
      <c r="H11" s="121"/>
      <c r="I11" s="121"/>
      <c r="J11" s="121"/>
      <c r="K11" s="121"/>
      <c r="L11" s="122"/>
    </row>
    <row r="12" customFormat="false" ht="18" hidden="false" customHeight="true" outlineLevel="0" collapsed="false">
      <c r="B12" s="117"/>
      <c r="C12" s="118"/>
      <c r="D12" s="118"/>
      <c r="E12" s="119"/>
      <c r="F12" s="119"/>
      <c r="G12" s="118"/>
      <c r="H12" s="118"/>
      <c r="I12" s="118"/>
      <c r="J12" s="118"/>
      <c r="K12" s="118"/>
      <c r="L12" s="119"/>
    </row>
    <row r="13" customFormat="false" ht="18" hidden="false" customHeight="true" outlineLevel="0" collapsed="false">
      <c r="B13" s="120"/>
      <c r="C13" s="121"/>
      <c r="D13" s="121"/>
      <c r="E13" s="122"/>
      <c r="F13" s="122"/>
      <c r="G13" s="121"/>
      <c r="H13" s="121"/>
      <c r="I13" s="121"/>
      <c r="J13" s="121"/>
      <c r="K13" s="121"/>
      <c r="L13" s="122"/>
    </row>
    <row r="14" customFormat="false" ht="18" hidden="false" customHeight="true" outlineLevel="0" collapsed="false">
      <c r="B14" s="117"/>
      <c r="C14" s="118"/>
      <c r="D14" s="118"/>
      <c r="E14" s="119"/>
      <c r="F14" s="119"/>
      <c r="G14" s="118"/>
      <c r="H14" s="118"/>
      <c r="I14" s="118"/>
      <c r="J14" s="118"/>
      <c r="K14" s="118"/>
      <c r="L14" s="119"/>
    </row>
    <row r="15" customFormat="false" ht="18" hidden="false" customHeight="true" outlineLevel="0" collapsed="false">
      <c r="B15" s="120"/>
      <c r="C15" s="121"/>
      <c r="D15" s="121"/>
      <c r="E15" s="122"/>
      <c r="F15" s="122"/>
      <c r="G15" s="121"/>
      <c r="H15" s="121"/>
      <c r="I15" s="121"/>
      <c r="J15" s="121"/>
      <c r="K15" s="121"/>
      <c r="L15" s="122"/>
    </row>
    <row r="16" customFormat="false" ht="18" hidden="false" customHeight="true" outlineLevel="0" collapsed="false">
      <c r="B16" s="117"/>
      <c r="C16" s="118"/>
      <c r="D16" s="118"/>
      <c r="E16" s="119"/>
      <c r="F16" s="119"/>
      <c r="G16" s="118"/>
      <c r="H16" s="118"/>
      <c r="I16" s="118"/>
      <c r="J16" s="118"/>
      <c r="K16" s="118"/>
      <c r="L16" s="119"/>
    </row>
    <row r="17" customFormat="false" ht="18" hidden="false" customHeight="true" outlineLevel="0" collapsed="false">
      <c r="B17" s="120"/>
      <c r="C17" s="121"/>
      <c r="D17" s="121"/>
      <c r="E17" s="122"/>
      <c r="F17" s="122"/>
      <c r="G17" s="121"/>
      <c r="H17" s="121"/>
      <c r="I17" s="121"/>
      <c r="J17" s="121"/>
      <c r="K17" s="121"/>
      <c r="L17" s="122"/>
    </row>
    <row r="18" customFormat="false" ht="18" hidden="false" customHeight="true" outlineLevel="0" collapsed="false">
      <c r="B18" s="117"/>
      <c r="C18" s="118"/>
      <c r="D18" s="118"/>
      <c r="E18" s="119"/>
      <c r="F18" s="119"/>
      <c r="G18" s="118"/>
      <c r="H18" s="118"/>
      <c r="I18" s="118"/>
      <c r="J18" s="118"/>
      <c r="K18" s="118"/>
      <c r="L18" s="119"/>
    </row>
    <row r="19" customFormat="false" ht="18" hidden="false" customHeight="true" outlineLevel="0" collapsed="false">
      <c r="B19" s="120"/>
      <c r="C19" s="121"/>
      <c r="D19" s="121"/>
      <c r="E19" s="122"/>
      <c r="F19" s="122"/>
      <c r="G19" s="121"/>
      <c r="H19" s="121"/>
      <c r="I19" s="121"/>
      <c r="J19" s="121"/>
      <c r="K19" s="121"/>
      <c r="L19" s="122"/>
    </row>
    <row r="20" customFormat="false" ht="18" hidden="false" customHeight="true" outlineLevel="0" collapsed="false">
      <c r="B20" s="117"/>
      <c r="C20" s="118"/>
      <c r="D20" s="118"/>
      <c r="E20" s="119"/>
      <c r="F20" s="119"/>
      <c r="G20" s="118"/>
      <c r="H20" s="118"/>
      <c r="I20" s="118"/>
      <c r="J20" s="118"/>
      <c r="K20" s="118"/>
      <c r="L20" s="119"/>
    </row>
    <row r="21" customFormat="false" ht="18" hidden="false" customHeight="true" outlineLevel="0" collapsed="false">
      <c r="B21" s="120"/>
      <c r="C21" s="121"/>
      <c r="D21" s="121"/>
      <c r="E21" s="122"/>
      <c r="F21" s="122"/>
      <c r="G21" s="121"/>
      <c r="H21" s="121"/>
      <c r="I21" s="121"/>
      <c r="J21" s="121"/>
      <c r="K21" s="121"/>
      <c r="L21" s="122"/>
    </row>
    <row r="22" customFormat="false" ht="18" hidden="false" customHeight="true" outlineLevel="0" collapsed="false">
      <c r="B22" s="117"/>
      <c r="C22" s="118"/>
      <c r="D22" s="118"/>
      <c r="E22" s="119"/>
      <c r="F22" s="119"/>
      <c r="G22" s="118"/>
      <c r="H22" s="118"/>
      <c r="I22" s="118"/>
      <c r="J22" s="118"/>
      <c r="K22" s="118"/>
      <c r="L22" s="119"/>
    </row>
    <row r="23" customFormat="false" ht="18" hidden="false" customHeight="true" outlineLevel="0" collapsed="false">
      <c r="B23" s="120"/>
      <c r="C23" s="121"/>
      <c r="D23" s="121"/>
      <c r="E23" s="122"/>
      <c r="F23" s="122"/>
      <c r="G23" s="121"/>
      <c r="H23" s="121"/>
      <c r="I23" s="121"/>
      <c r="J23" s="121"/>
      <c r="K23" s="121"/>
      <c r="L23" s="122"/>
    </row>
    <row r="24" customFormat="false" ht="18" hidden="false" customHeight="true" outlineLevel="0" collapsed="false">
      <c r="B24" s="117"/>
      <c r="C24" s="118"/>
      <c r="D24" s="118"/>
      <c r="E24" s="119"/>
      <c r="F24" s="119"/>
      <c r="G24" s="118"/>
      <c r="H24" s="118"/>
      <c r="I24" s="118"/>
      <c r="J24" s="118"/>
      <c r="K24" s="118"/>
      <c r="L24" s="119"/>
    </row>
    <row r="25" customFormat="false" ht="18" hidden="false" customHeight="true" outlineLevel="0" collapsed="false">
      <c r="B25" s="120"/>
      <c r="C25" s="121"/>
      <c r="D25" s="121"/>
      <c r="E25" s="122"/>
      <c r="F25" s="122"/>
      <c r="G25" s="121"/>
      <c r="H25" s="121"/>
      <c r="I25" s="121"/>
      <c r="J25" s="121"/>
      <c r="K25" s="121"/>
      <c r="L25" s="122"/>
    </row>
    <row r="26" customFormat="false" ht="18" hidden="false" customHeight="true" outlineLevel="0" collapsed="false">
      <c r="B26" s="117"/>
      <c r="C26" s="118"/>
      <c r="D26" s="118"/>
      <c r="E26" s="119"/>
      <c r="F26" s="119"/>
      <c r="G26" s="118"/>
      <c r="H26" s="118"/>
      <c r="I26" s="118"/>
      <c r="J26" s="118"/>
      <c r="K26" s="118"/>
      <c r="L26" s="119"/>
    </row>
    <row r="27" customFormat="false" ht="18" hidden="false" customHeight="true" outlineLevel="0" collapsed="false">
      <c r="B27" s="120"/>
      <c r="C27" s="121"/>
      <c r="D27" s="121"/>
      <c r="E27" s="122"/>
      <c r="F27" s="122"/>
      <c r="G27" s="121"/>
      <c r="H27" s="121"/>
      <c r="I27" s="121"/>
      <c r="J27" s="121"/>
      <c r="K27" s="121"/>
      <c r="L27" s="122"/>
    </row>
    <row r="28" customFormat="false" ht="18" hidden="false" customHeight="true" outlineLevel="0" collapsed="false">
      <c r="B28" s="117"/>
      <c r="C28" s="118"/>
      <c r="D28" s="118"/>
      <c r="E28" s="119"/>
      <c r="F28" s="119"/>
      <c r="G28" s="118"/>
      <c r="H28" s="118"/>
      <c r="I28" s="118"/>
      <c r="J28" s="118"/>
      <c r="K28" s="118"/>
      <c r="L28" s="119"/>
    </row>
    <row r="29" customFormat="false" ht="18" hidden="false" customHeight="true" outlineLevel="0" collapsed="false">
      <c r="B29" s="120"/>
      <c r="C29" s="121"/>
      <c r="D29" s="121"/>
      <c r="E29" s="122"/>
      <c r="F29" s="122"/>
      <c r="G29" s="121"/>
      <c r="H29" s="121"/>
      <c r="I29" s="121"/>
      <c r="J29" s="121"/>
      <c r="K29" s="121"/>
      <c r="L29" s="122"/>
    </row>
    <row r="30" customFormat="false" ht="18" hidden="false" customHeight="true" outlineLevel="0" collapsed="false">
      <c r="B30" s="117"/>
      <c r="C30" s="118"/>
      <c r="D30" s="118"/>
      <c r="E30" s="119"/>
      <c r="F30" s="119"/>
      <c r="G30" s="118"/>
      <c r="H30" s="118"/>
      <c r="I30" s="118"/>
      <c r="J30" s="118"/>
      <c r="K30" s="118"/>
      <c r="L30" s="119"/>
    </row>
    <row r="31" customFormat="false" ht="18" hidden="false" customHeight="true" outlineLevel="0" collapsed="false">
      <c r="B31" s="120"/>
      <c r="C31" s="121"/>
      <c r="D31" s="121"/>
      <c r="E31" s="122"/>
      <c r="F31" s="122"/>
      <c r="G31" s="121"/>
      <c r="H31" s="121"/>
      <c r="I31" s="121"/>
      <c r="J31" s="121"/>
      <c r="K31" s="121"/>
      <c r="L31" s="122"/>
    </row>
    <row r="32" customFormat="false" ht="18" hidden="false" customHeight="true" outlineLevel="0" collapsed="false">
      <c r="B32" s="117"/>
      <c r="C32" s="118"/>
      <c r="D32" s="118"/>
      <c r="E32" s="119"/>
      <c r="F32" s="119"/>
      <c r="G32" s="118"/>
      <c r="H32" s="118"/>
      <c r="I32" s="118"/>
      <c r="J32" s="118"/>
      <c r="K32" s="118"/>
      <c r="L32" s="119"/>
    </row>
    <row r="33" customFormat="false" ht="18" hidden="false" customHeight="true" outlineLevel="0" collapsed="false">
      <c r="B33" s="120"/>
      <c r="C33" s="121"/>
      <c r="D33" s="121"/>
      <c r="E33" s="122"/>
      <c r="F33" s="122"/>
      <c r="G33" s="121"/>
      <c r="H33" s="121"/>
      <c r="I33" s="121"/>
      <c r="J33" s="121"/>
      <c r="K33" s="121"/>
      <c r="L33" s="122"/>
    </row>
    <row r="34" customFormat="false" ht="18" hidden="false" customHeight="true" outlineLevel="0" collapsed="false">
      <c r="B34" s="117"/>
      <c r="C34" s="118"/>
      <c r="D34" s="118"/>
      <c r="E34" s="119"/>
      <c r="F34" s="119"/>
      <c r="G34" s="118"/>
      <c r="H34" s="118"/>
      <c r="I34" s="118"/>
      <c r="J34" s="118"/>
      <c r="K34" s="118"/>
      <c r="L34" s="119"/>
    </row>
    <row r="35" customFormat="false" ht="18" hidden="false" customHeight="true" outlineLevel="0" collapsed="false">
      <c r="B35" s="120"/>
      <c r="C35" s="121"/>
      <c r="D35" s="121"/>
      <c r="E35" s="122"/>
      <c r="F35" s="122"/>
      <c r="G35" s="121"/>
      <c r="H35" s="121"/>
      <c r="I35" s="121"/>
      <c r="J35" s="121"/>
      <c r="K35" s="121"/>
      <c r="L35" s="122"/>
    </row>
    <row r="36" customFormat="false" ht="18" hidden="false" customHeight="true" outlineLevel="0" collapsed="false">
      <c r="B36" s="117"/>
      <c r="C36" s="118"/>
      <c r="D36" s="118"/>
      <c r="E36" s="119"/>
      <c r="F36" s="119"/>
      <c r="G36" s="118"/>
      <c r="H36" s="118"/>
      <c r="I36" s="118"/>
      <c r="J36" s="118"/>
      <c r="K36" s="118"/>
      <c r="L36" s="119"/>
    </row>
    <row r="37" customFormat="false" ht="18" hidden="false" customHeight="true" outlineLevel="0" collapsed="false">
      <c r="B37" s="120"/>
      <c r="C37" s="121"/>
      <c r="D37" s="121"/>
      <c r="E37" s="122"/>
      <c r="F37" s="122"/>
      <c r="G37" s="121"/>
      <c r="H37" s="121"/>
      <c r="I37" s="121"/>
      <c r="J37" s="121"/>
      <c r="K37" s="121"/>
      <c r="L37" s="122"/>
    </row>
    <row r="38" customFormat="false" ht="18" hidden="false" customHeight="true" outlineLevel="0" collapsed="false">
      <c r="B38" s="117"/>
      <c r="C38" s="118"/>
      <c r="D38" s="118"/>
      <c r="E38" s="119"/>
      <c r="F38" s="119"/>
      <c r="G38" s="118"/>
      <c r="H38" s="118"/>
      <c r="I38" s="118"/>
      <c r="J38" s="118"/>
      <c r="K38" s="118"/>
      <c r="L38" s="119"/>
    </row>
    <row r="39" customFormat="false" ht="18" hidden="false" customHeight="true" outlineLevel="0" collapsed="false">
      <c r="B39" s="120"/>
      <c r="C39" s="121"/>
      <c r="D39" s="121"/>
      <c r="E39" s="122"/>
      <c r="F39" s="122"/>
      <c r="G39" s="121"/>
      <c r="H39" s="121"/>
      <c r="I39" s="121"/>
      <c r="J39" s="121"/>
      <c r="K39" s="121"/>
      <c r="L39" s="122"/>
    </row>
    <row r="40" customFormat="false" ht="18" hidden="false" customHeight="true" outlineLevel="0" collapsed="false">
      <c r="B40" s="117"/>
      <c r="C40" s="118"/>
      <c r="D40" s="118"/>
      <c r="E40" s="119"/>
      <c r="F40" s="119"/>
      <c r="G40" s="118"/>
      <c r="H40" s="118"/>
      <c r="I40" s="118"/>
      <c r="J40" s="118"/>
      <c r="K40" s="118"/>
      <c r="L40" s="119"/>
    </row>
    <row r="41" customFormat="false" ht="18" hidden="false" customHeight="true" outlineLevel="0" collapsed="false">
      <c r="B41" s="120"/>
      <c r="C41" s="121"/>
      <c r="D41" s="121"/>
      <c r="E41" s="122"/>
      <c r="F41" s="122"/>
      <c r="G41" s="121"/>
      <c r="H41" s="121"/>
      <c r="I41" s="121"/>
      <c r="J41" s="121"/>
      <c r="K41" s="121"/>
      <c r="L41" s="122"/>
    </row>
    <row r="42" customFormat="false" ht="18" hidden="false" customHeight="true" outlineLevel="0" collapsed="false">
      <c r="B42" s="117"/>
      <c r="C42" s="118"/>
      <c r="D42" s="118"/>
      <c r="E42" s="119"/>
      <c r="F42" s="119"/>
      <c r="G42" s="118"/>
      <c r="H42" s="118"/>
      <c r="I42" s="118"/>
      <c r="J42" s="118"/>
      <c r="K42" s="118"/>
      <c r="L42" s="119"/>
    </row>
    <row r="43" customFormat="false" ht="18" hidden="false" customHeight="true" outlineLevel="0" collapsed="false">
      <c r="B43" s="120"/>
      <c r="C43" s="121"/>
      <c r="D43" s="121"/>
      <c r="E43" s="122"/>
      <c r="F43" s="122"/>
      <c r="G43" s="121"/>
      <c r="H43" s="121"/>
      <c r="I43" s="121"/>
      <c r="J43" s="121"/>
      <c r="K43" s="121"/>
      <c r="L43" s="122"/>
    </row>
    <row r="44" customFormat="false" ht="18" hidden="false" customHeight="true" outlineLevel="0" collapsed="false">
      <c r="B44" s="117"/>
      <c r="C44" s="118"/>
      <c r="D44" s="118"/>
      <c r="E44" s="119"/>
      <c r="F44" s="119"/>
      <c r="G44" s="118"/>
      <c r="H44" s="118"/>
      <c r="I44" s="118"/>
      <c r="J44" s="118"/>
      <c r="K44" s="118"/>
      <c r="L44" s="119"/>
    </row>
    <row r="45" customFormat="false" ht="18" hidden="false" customHeight="true" outlineLevel="0" collapsed="false">
      <c r="B45" s="120"/>
      <c r="C45" s="121"/>
      <c r="D45" s="121"/>
      <c r="E45" s="122"/>
      <c r="F45" s="122"/>
      <c r="G45" s="121"/>
      <c r="H45" s="121"/>
      <c r="I45" s="121"/>
      <c r="J45" s="121"/>
      <c r="K45" s="121"/>
      <c r="L45" s="122"/>
    </row>
    <row r="46" customFormat="false" ht="18" hidden="false" customHeight="true" outlineLevel="0" collapsed="false">
      <c r="B46" s="117"/>
      <c r="C46" s="118"/>
      <c r="D46" s="118"/>
      <c r="E46" s="119"/>
      <c r="F46" s="119"/>
      <c r="G46" s="118"/>
      <c r="H46" s="118"/>
      <c r="I46" s="118"/>
      <c r="J46" s="118"/>
      <c r="K46" s="118"/>
      <c r="L46" s="119"/>
    </row>
    <row r="47" customFormat="false" ht="18" hidden="false" customHeight="true" outlineLevel="0" collapsed="false">
      <c r="B47" s="120"/>
      <c r="C47" s="121"/>
      <c r="D47" s="121"/>
      <c r="E47" s="122"/>
      <c r="F47" s="122"/>
      <c r="G47" s="121"/>
      <c r="H47" s="121"/>
      <c r="I47" s="121"/>
      <c r="J47" s="121"/>
      <c r="K47" s="121"/>
      <c r="L47" s="122"/>
    </row>
    <row r="48" customFormat="false" ht="18" hidden="false" customHeight="true" outlineLevel="0" collapsed="false">
      <c r="B48" s="117"/>
      <c r="C48" s="118"/>
      <c r="D48" s="118"/>
      <c r="E48" s="119"/>
      <c r="F48" s="119"/>
      <c r="G48" s="118"/>
      <c r="H48" s="118"/>
      <c r="I48" s="118"/>
      <c r="J48" s="118"/>
      <c r="K48" s="118"/>
      <c r="L48" s="119"/>
    </row>
    <row r="49" customFormat="false" ht="18" hidden="false" customHeight="true" outlineLevel="0" collapsed="false">
      <c r="B49" s="120"/>
      <c r="C49" s="121"/>
      <c r="D49" s="121"/>
      <c r="E49" s="122"/>
      <c r="F49" s="122"/>
      <c r="G49" s="121"/>
      <c r="H49" s="121"/>
      <c r="I49" s="121"/>
      <c r="J49" s="121"/>
      <c r="K49" s="121"/>
      <c r="L49" s="122"/>
    </row>
    <row r="50" customFormat="false" ht="18" hidden="false" customHeight="true" outlineLevel="0" collapsed="false">
      <c r="B50" s="117"/>
      <c r="C50" s="118"/>
      <c r="D50" s="118"/>
      <c r="E50" s="119"/>
      <c r="F50" s="119"/>
      <c r="G50" s="118"/>
      <c r="H50" s="118"/>
      <c r="I50" s="118"/>
      <c r="J50" s="118"/>
      <c r="K50" s="118"/>
      <c r="L50" s="119"/>
    </row>
    <row r="51" customFormat="false" ht="18" hidden="false" customHeight="true" outlineLevel="0" collapsed="false">
      <c r="B51" s="120"/>
      <c r="C51" s="121"/>
      <c r="D51" s="121"/>
      <c r="E51" s="122"/>
      <c r="F51" s="122"/>
      <c r="G51" s="121"/>
      <c r="H51" s="121"/>
      <c r="I51" s="121"/>
      <c r="J51" s="121"/>
      <c r="K51" s="121"/>
      <c r="L51" s="122"/>
    </row>
    <row r="52" customFormat="false" ht="18" hidden="false" customHeight="true" outlineLevel="0" collapsed="false">
      <c r="B52" s="117"/>
      <c r="C52" s="118"/>
      <c r="D52" s="118"/>
      <c r="E52" s="119"/>
      <c r="F52" s="119"/>
      <c r="G52" s="118"/>
      <c r="H52" s="118"/>
      <c r="I52" s="118"/>
      <c r="J52" s="118"/>
      <c r="K52" s="118"/>
      <c r="L52" s="119"/>
    </row>
    <row r="53" customFormat="false" ht="18" hidden="false" customHeight="true" outlineLevel="0" collapsed="false">
      <c r="B53" s="120"/>
      <c r="C53" s="121"/>
      <c r="D53" s="121"/>
      <c r="E53" s="122"/>
      <c r="F53" s="122"/>
      <c r="G53" s="121"/>
      <c r="H53" s="121"/>
      <c r="I53" s="121"/>
      <c r="J53" s="121"/>
      <c r="K53" s="121"/>
      <c r="L53" s="122"/>
    </row>
    <row r="54" customFormat="false" ht="18" hidden="false" customHeight="true" outlineLevel="0" collapsed="false">
      <c r="B54" s="117"/>
      <c r="C54" s="118"/>
      <c r="D54" s="118"/>
      <c r="E54" s="119"/>
      <c r="F54" s="119"/>
      <c r="G54" s="118"/>
      <c r="H54" s="118"/>
      <c r="I54" s="118"/>
      <c r="J54" s="118"/>
      <c r="K54" s="118"/>
      <c r="L54" s="119"/>
    </row>
    <row r="55" customFormat="false" ht="18" hidden="false" customHeight="true" outlineLevel="0" collapsed="false">
      <c r="B55" s="120"/>
      <c r="C55" s="121"/>
      <c r="D55" s="121"/>
      <c r="E55" s="122"/>
      <c r="F55" s="122"/>
      <c r="G55" s="121"/>
      <c r="H55" s="121"/>
      <c r="I55" s="121"/>
      <c r="J55" s="121"/>
      <c r="K55" s="121"/>
      <c r="L55" s="122"/>
    </row>
    <row r="56" customFormat="false" ht="18" hidden="false" customHeight="true" outlineLevel="0" collapsed="false">
      <c r="B56" s="117"/>
      <c r="C56" s="118"/>
      <c r="D56" s="118"/>
      <c r="E56" s="119"/>
      <c r="F56" s="119"/>
      <c r="G56" s="118"/>
      <c r="H56" s="118"/>
      <c r="I56" s="118"/>
      <c r="J56" s="118"/>
      <c r="K56" s="118"/>
      <c r="L56" s="119"/>
    </row>
    <row r="57" customFormat="false" ht="18" hidden="false" customHeight="true" outlineLevel="0" collapsed="false">
      <c r="B57" s="120"/>
      <c r="C57" s="121"/>
      <c r="D57" s="121"/>
      <c r="E57" s="122"/>
      <c r="F57" s="122"/>
      <c r="G57" s="121"/>
      <c r="H57" s="121"/>
      <c r="I57" s="121"/>
      <c r="J57" s="121"/>
      <c r="K57" s="121"/>
      <c r="L57" s="122"/>
    </row>
    <row r="58" customFormat="false" ht="18" hidden="false" customHeight="true" outlineLevel="0" collapsed="false">
      <c r="B58" s="117"/>
      <c r="C58" s="118"/>
      <c r="D58" s="118"/>
      <c r="E58" s="119"/>
      <c r="F58" s="119"/>
      <c r="G58" s="118"/>
      <c r="H58" s="118"/>
      <c r="I58" s="118"/>
      <c r="J58" s="118"/>
      <c r="K58" s="118"/>
      <c r="L58" s="119"/>
    </row>
    <row r="59" customFormat="false" ht="18" hidden="false" customHeight="true" outlineLevel="0" collapsed="false">
      <c r="B59" s="120"/>
      <c r="C59" s="121"/>
      <c r="D59" s="121"/>
      <c r="E59" s="122"/>
      <c r="F59" s="122"/>
      <c r="G59" s="121"/>
      <c r="H59" s="121"/>
      <c r="I59" s="121"/>
      <c r="J59" s="121"/>
      <c r="K59" s="121"/>
      <c r="L59" s="122"/>
    </row>
    <row r="60" customFormat="false" ht="18" hidden="false" customHeight="true" outlineLevel="0" collapsed="false">
      <c r="B60" s="117"/>
      <c r="C60" s="118"/>
      <c r="D60" s="118"/>
      <c r="E60" s="119"/>
      <c r="F60" s="119"/>
      <c r="G60" s="118"/>
      <c r="H60" s="118"/>
      <c r="I60" s="118"/>
      <c r="J60" s="118"/>
      <c r="K60" s="118"/>
      <c r="L60" s="119"/>
    </row>
    <row r="61" customFormat="false" ht="18" hidden="false" customHeight="true" outlineLevel="0" collapsed="false">
      <c r="B61" s="120"/>
      <c r="C61" s="121"/>
      <c r="D61" s="121"/>
      <c r="E61" s="122"/>
      <c r="F61" s="122"/>
      <c r="G61" s="121"/>
      <c r="H61" s="121"/>
      <c r="I61" s="121"/>
      <c r="J61" s="121"/>
      <c r="K61" s="121"/>
      <c r="L61" s="122"/>
    </row>
    <row r="62" customFormat="false" ht="18" hidden="false" customHeight="true" outlineLevel="0" collapsed="false">
      <c r="B62" s="117"/>
      <c r="C62" s="118"/>
      <c r="D62" s="118"/>
      <c r="E62" s="119"/>
      <c r="F62" s="119"/>
      <c r="G62" s="118"/>
      <c r="H62" s="118"/>
      <c r="I62" s="118"/>
      <c r="J62" s="118"/>
      <c r="K62" s="118"/>
      <c r="L62" s="119"/>
    </row>
    <row r="63" customFormat="false" ht="18" hidden="false" customHeight="true" outlineLevel="0" collapsed="false">
      <c r="B63" s="120"/>
      <c r="C63" s="121"/>
      <c r="D63" s="121"/>
      <c r="E63" s="122"/>
      <c r="F63" s="122"/>
      <c r="G63" s="121"/>
      <c r="H63" s="121"/>
      <c r="I63" s="121"/>
      <c r="J63" s="121"/>
      <c r="K63" s="121"/>
      <c r="L63" s="122"/>
    </row>
    <row r="64" customFormat="false" ht="18" hidden="false" customHeight="true" outlineLevel="0" collapsed="false">
      <c r="B64" s="117"/>
      <c r="C64" s="118"/>
      <c r="D64" s="118"/>
      <c r="E64" s="119"/>
      <c r="F64" s="119"/>
      <c r="G64" s="118"/>
      <c r="H64" s="118"/>
      <c r="I64" s="118"/>
      <c r="J64" s="118"/>
      <c r="K64" s="118"/>
      <c r="L64" s="119"/>
    </row>
    <row r="65" customFormat="false" ht="18" hidden="false" customHeight="true" outlineLevel="0" collapsed="false">
      <c r="B65" s="120"/>
      <c r="C65" s="121"/>
      <c r="D65" s="121"/>
      <c r="E65" s="122"/>
      <c r="F65" s="122"/>
      <c r="G65" s="121"/>
      <c r="H65" s="121"/>
      <c r="I65" s="121"/>
      <c r="J65" s="121"/>
      <c r="K65" s="121"/>
      <c r="L65" s="122"/>
    </row>
    <row r="66" customFormat="false" ht="18" hidden="false" customHeight="true" outlineLevel="0" collapsed="false">
      <c r="B66" s="117"/>
      <c r="C66" s="118"/>
      <c r="D66" s="118"/>
      <c r="E66" s="119"/>
      <c r="F66" s="119"/>
      <c r="G66" s="118"/>
      <c r="H66" s="118"/>
      <c r="I66" s="118"/>
      <c r="J66" s="118"/>
      <c r="K66" s="118"/>
      <c r="L66" s="119"/>
    </row>
    <row r="67" customFormat="false" ht="18" hidden="false" customHeight="true" outlineLevel="0" collapsed="false">
      <c r="B67" s="120"/>
      <c r="C67" s="121"/>
      <c r="D67" s="121"/>
      <c r="E67" s="122"/>
      <c r="F67" s="122"/>
      <c r="G67" s="121"/>
      <c r="H67" s="121"/>
      <c r="I67" s="121"/>
      <c r="J67" s="121"/>
      <c r="K67" s="121"/>
      <c r="L67" s="122"/>
    </row>
    <row r="68" customFormat="false" ht="18" hidden="false" customHeight="true" outlineLevel="0" collapsed="false">
      <c r="B68" s="117"/>
      <c r="C68" s="118"/>
      <c r="D68" s="118"/>
      <c r="E68" s="119"/>
      <c r="F68" s="119"/>
      <c r="G68" s="118"/>
      <c r="H68" s="118"/>
      <c r="I68" s="118"/>
      <c r="J68" s="118"/>
      <c r="K68" s="118"/>
      <c r="L68" s="119"/>
    </row>
    <row r="69" customFormat="false" ht="18" hidden="false" customHeight="true" outlineLevel="0" collapsed="false">
      <c r="B69" s="120"/>
      <c r="C69" s="121"/>
      <c r="D69" s="121"/>
      <c r="E69" s="122"/>
      <c r="F69" s="122"/>
      <c r="G69" s="121"/>
      <c r="H69" s="121"/>
      <c r="I69" s="121"/>
      <c r="J69" s="121"/>
      <c r="K69" s="121"/>
      <c r="L69" s="122"/>
    </row>
    <row r="70" customFormat="false" ht="18" hidden="false" customHeight="true" outlineLevel="0" collapsed="false">
      <c r="B70" s="117"/>
      <c r="C70" s="118"/>
      <c r="D70" s="118"/>
      <c r="E70" s="119"/>
      <c r="F70" s="119"/>
      <c r="G70" s="118"/>
      <c r="H70" s="118"/>
      <c r="I70" s="118"/>
      <c r="J70" s="118"/>
      <c r="K70" s="118"/>
      <c r="L70" s="119"/>
    </row>
    <row r="71" customFormat="false" ht="18" hidden="false" customHeight="true" outlineLevel="0" collapsed="false">
      <c r="B71" s="120"/>
      <c r="C71" s="121"/>
      <c r="D71" s="121"/>
      <c r="E71" s="122"/>
      <c r="F71" s="122"/>
      <c r="G71" s="121"/>
      <c r="H71" s="121"/>
      <c r="I71" s="121"/>
      <c r="J71" s="121"/>
      <c r="K71" s="121"/>
      <c r="L71" s="122"/>
    </row>
    <row r="72" customFormat="false" ht="18" hidden="false" customHeight="true" outlineLevel="0" collapsed="false">
      <c r="B72" s="117"/>
      <c r="C72" s="118"/>
      <c r="D72" s="118"/>
      <c r="E72" s="119"/>
      <c r="F72" s="119"/>
      <c r="G72" s="118"/>
      <c r="H72" s="118"/>
      <c r="I72" s="118"/>
      <c r="J72" s="118"/>
      <c r="K72" s="118"/>
      <c r="L72" s="119"/>
    </row>
    <row r="73" customFormat="false" ht="18" hidden="false" customHeight="true" outlineLevel="0" collapsed="false">
      <c r="B73" s="120"/>
      <c r="C73" s="121"/>
      <c r="D73" s="121"/>
      <c r="E73" s="122"/>
      <c r="F73" s="122"/>
      <c r="G73" s="121"/>
      <c r="H73" s="121"/>
      <c r="I73" s="121"/>
      <c r="J73" s="121"/>
      <c r="K73" s="121"/>
      <c r="L73" s="122"/>
    </row>
    <row r="74" customFormat="false" ht="18" hidden="false" customHeight="true" outlineLevel="0" collapsed="false">
      <c r="B74" s="117"/>
      <c r="C74" s="118"/>
      <c r="D74" s="118"/>
      <c r="E74" s="119"/>
      <c r="F74" s="119"/>
      <c r="G74" s="118"/>
      <c r="H74" s="118"/>
      <c r="I74" s="118"/>
      <c r="J74" s="118"/>
      <c r="K74" s="118"/>
      <c r="L74" s="119"/>
    </row>
    <row r="75" customFormat="false" ht="18" hidden="false" customHeight="true" outlineLevel="0" collapsed="false">
      <c r="B75" s="120"/>
      <c r="C75" s="121"/>
      <c r="D75" s="121"/>
      <c r="E75" s="122"/>
      <c r="F75" s="122"/>
      <c r="G75" s="121"/>
      <c r="H75" s="121"/>
      <c r="I75" s="121"/>
      <c r="J75" s="121"/>
      <c r="K75" s="121"/>
      <c r="L75" s="122"/>
    </row>
    <row r="76" customFormat="false" ht="18" hidden="false" customHeight="true" outlineLevel="0" collapsed="false">
      <c r="B76" s="117"/>
      <c r="C76" s="118"/>
      <c r="D76" s="118"/>
      <c r="E76" s="119"/>
      <c r="F76" s="119"/>
      <c r="G76" s="118"/>
      <c r="H76" s="118"/>
      <c r="I76" s="118"/>
      <c r="J76" s="118"/>
      <c r="K76" s="118"/>
      <c r="L76" s="119"/>
    </row>
    <row r="77" customFormat="false" ht="18" hidden="false" customHeight="true" outlineLevel="0" collapsed="false">
      <c r="B77" s="120"/>
      <c r="C77" s="121"/>
      <c r="D77" s="121"/>
      <c r="E77" s="122"/>
      <c r="F77" s="122"/>
      <c r="G77" s="121"/>
      <c r="H77" s="121"/>
      <c r="I77" s="121"/>
      <c r="J77" s="121"/>
      <c r="K77" s="121"/>
      <c r="L77" s="122"/>
    </row>
    <row r="78" customFormat="false" ht="18" hidden="false" customHeight="true" outlineLevel="0" collapsed="false">
      <c r="B78" s="117"/>
      <c r="C78" s="118"/>
      <c r="D78" s="118"/>
      <c r="E78" s="119"/>
      <c r="F78" s="119"/>
      <c r="G78" s="118"/>
      <c r="H78" s="118"/>
      <c r="I78" s="118"/>
      <c r="J78" s="118"/>
      <c r="K78" s="118"/>
      <c r="L78" s="119"/>
    </row>
    <row r="79" customFormat="false" ht="18" hidden="false" customHeight="true" outlineLevel="0" collapsed="false">
      <c r="B79" s="120"/>
      <c r="C79" s="121"/>
      <c r="D79" s="121"/>
      <c r="E79" s="122"/>
      <c r="F79" s="122"/>
      <c r="G79" s="121"/>
      <c r="H79" s="121"/>
      <c r="I79" s="121"/>
      <c r="J79" s="121"/>
      <c r="K79" s="121"/>
      <c r="L79" s="122"/>
    </row>
    <row r="80" customFormat="false" ht="18" hidden="false" customHeight="true" outlineLevel="0" collapsed="false">
      <c r="B80" s="117"/>
      <c r="C80" s="118"/>
      <c r="D80" s="118"/>
      <c r="E80" s="119"/>
      <c r="F80" s="119"/>
      <c r="G80" s="118"/>
      <c r="H80" s="118"/>
      <c r="I80" s="118"/>
      <c r="J80" s="118"/>
      <c r="K80" s="118"/>
      <c r="L80" s="119"/>
    </row>
    <row r="81" customFormat="false" ht="18" hidden="false" customHeight="true" outlineLevel="0" collapsed="false">
      <c r="B81" s="120"/>
      <c r="C81" s="121"/>
      <c r="D81" s="121"/>
      <c r="E81" s="122"/>
      <c r="F81" s="122"/>
      <c r="G81" s="121"/>
      <c r="H81" s="121"/>
      <c r="I81" s="121"/>
      <c r="J81" s="121"/>
      <c r="K81" s="121"/>
      <c r="L81" s="122"/>
    </row>
    <row r="82" customFormat="false" ht="18" hidden="false" customHeight="true" outlineLevel="0" collapsed="false">
      <c r="B82" s="117"/>
      <c r="C82" s="118"/>
      <c r="D82" s="118"/>
      <c r="E82" s="119"/>
      <c r="F82" s="119"/>
      <c r="G82" s="118"/>
      <c r="H82" s="118"/>
      <c r="I82" s="118"/>
      <c r="J82" s="118"/>
      <c r="K82" s="118"/>
      <c r="L82" s="119"/>
    </row>
    <row r="83" customFormat="false" ht="18" hidden="false" customHeight="true" outlineLevel="0" collapsed="false">
      <c r="B83" s="120"/>
      <c r="C83" s="121"/>
      <c r="D83" s="121"/>
      <c r="E83" s="122"/>
      <c r="F83" s="122"/>
      <c r="G83" s="121"/>
      <c r="H83" s="121"/>
      <c r="I83" s="121"/>
      <c r="J83" s="121"/>
      <c r="K83" s="121"/>
      <c r="L83" s="122"/>
    </row>
    <row r="84" customFormat="false" ht="18" hidden="false" customHeight="true" outlineLevel="0" collapsed="false">
      <c r="B84" s="117"/>
      <c r="C84" s="118"/>
      <c r="D84" s="118"/>
      <c r="E84" s="119"/>
      <c r="F84" s="119"/>
      <c r="G84" s="118"/>
      <c r="H84" s="118"/>
      <c r="I84" s="118"/>
      <c r="J84" s="118"/>
      <c r="K84" s="118"/>
      <c r="L84" s="119"/>
    </row>
    <row r="85" customFormat="false" ht="18" hidden="false" customHeight="true" outlineLevel="0" collapsed="false">
      <c r="B85" s="120"/>
      <c r="C85" s="121"/>
      <c r="D85" s="121"/>
      <c r="E85" s="122"/>
      <c r="F85" s="122"/>
      <c r="G85" s="121"/>
      <c r="H85" s="121"/>
      <c r="I85" s="121"/>
      <c r="J85" s="121"/>
      <c r="K85" s="121"/>
      <c r="L85" s="122"/>
    </row>
    <row r="86" customFormat="false" ht="18" hidden="false" customHeight="true" outlineLevel="0" collapsed="false">
      <c r="B86" s="117"/>
      <c r="C86" s="118"/>
      <c r="D86" s="118"/>
      <c r="E86" s="119"/>
      <c r="F86" s="119"/>
      <c r="G86" s="118"/>
      <c r="H86" s="118"/>
      <c r="I86" s="118"/>
      <c r="J86" s="118"/>
      <c r="K86" s="118"/>
      <c r="L86" s="119"/>
    </row>
    <row r="87" customFormat="false" ht="18" hidden="false" customHeight="true" outlineLevel="0" collapsed="false">
      <c r="B87" s="120"/>
      <c r="C87" s="121"/>
      <c r="D87" s="121"/>
      <c r="E87" s="122"/>
      <c r="F87" s="122"/>
      <c r="G87" s="121"/>
      <c r="H87" s="121"/>
      <c r="I87" s="121"/>
      <c r="J87" s="121"/>
      <c r="K87" s="121"/>
      <c r="L87" s="122"/>
    </row>
    <row r="88" customFormat="false" ht="18" hidden="false" customHeight="true" outlineLevel="0" collapsed="false">
      <c r="B88" s="117"/>
      <c r="C88" s="118"/>
      <c r="D88" s="118"/>
      <c r="E88" s="119"/>
      <c r="F88" s="119"/>
      <c r="G88" s="118"/>
      <c r="H88" s="118"/>
      <c r="I88" s="118"/>
      <c r="J88" s="118"/>
      <c r="K88" s="118"/>
      <c r="L88" s="119"/>
    </row>
    <row r="89" customFormat="false" ht="18" hidden="false" customHeight="true" outlineLevel="0" collapsed="false">
      <c r="B89" s="120"/>
      <c r="C89" s="121"/>
      <c r="D89" s="121"/>
      <c r="E89" s="122"/>
      <c r="F89" s="122"/>
      <c r="G89" s="121"/>
      <c r="H89" s="121"/>
      <c r="I89" s="121"/>
      <c r="J89" s="121"/>
      <c r="K89" s="121"/>
      <c r="L89" s="122"/>
    </row>
    <row r="90" customFormat="false" ht="18" hidden="false" customHeight="true" outlineLevel="0" collapsed="false">
      <c r="B90" s="117"/>
      <c r="C90" s="118"/>
      <c r="D90" s="118"/>
      <c r="E90" s="119"/>
      <c r="F90" s="119"/>
      <c r="G90" s="118"/>
      <c r="H90" s="118"/>
      <c r="I90" s="118"/>
      <c r="J90" s="118"/>
      <c r="K90" s="118"/>
      <c r="L90" s="119"/>
    </row>
    <row r="91" customFormat="false" ht="18" hidden="false" customHeight="true" outlineLevel="0" collapsed="false">
      <c r="B91" s="120"/>
      <c r="C91" s="121"/>
      <c r="D91" s="121"/>
      <c r="E91" s="122"/>
      <c r="F91" s="122"/>
      <c r="G91" s="121"/>
      <c r="H91" s="121"/>
      <c r="I91" s="121"/>
      <c r="J91" s="121"/>
      <c r="K91" s="121"/>
      <c r="L91" s="122"/>
    </row>
    <row r="92" customFormat="false" ht="18" hidden="false" customHeight="true" outlineLevel="0" collapsed="false">
      <c r="B92" s="117"/>
      <c r="C92" s="118"/>
      <c r="D92" s="118"/>
      <c r="E92" s="119"/>
      <c r="F92" s="119"/>
      <c r="G92" s="118"/>
      <c r="H92" s="118"/>
      <c r="I92" s="118"/>
      <c r="J92" s="118"/>
      <c r="K92" s="118"/>
      <c r="L92" s="119"/>
    </row>
    <row r="93" customFormat="false" ht="18" hidden="false" customHeight="true" outlineLevel="0" collapsed="false">
      <c r="B93" s="120"/>
      <c r="C93" s="121"/>
      <c r="D93" s="121"/>
      <c r="E93" s="122"/>
      <c r="F93" s="122"/>
      <c r="G93" s="121"/>
      <c r="H93" s="121"/>
      <c r="I93" s="121"/>
      <c r="J93" s="121"/>
      <c r="K93" s="121"/>
      <c r="L93" s="122"/>
    </row>
    <row r="94" customFormat="false" ht="18" hidden="false" customHeight="true" outlineLevel="0" collapsed="false">
      <c r="B94" s="117"/>
      <c r="C94" s="118"/>
      <c r="D94" s="118"/>
      <c r="E94" s="119"/>
      <c r="F94" s="119"/>
      <c r="G94" s="118"/>
      <c r="H94" s="118"/>
      <c r="I94" s="118"/>
      <c r="J94" s="118"/>
      <c r="K94" s="118"/>
      <c r="L94" s="119"/>
    </row>
    <row r="95" customFormat="false" ht="18" hidden="false" customHeight="true" outlineLevel="0" collapsed="false">
      <c r="B95" s="120"/>
      <c r="C95" s="121"/>
      <c r="D95" s="121"/>
      <c r="E95" s="122"/>
      <c r="F95" s="122"/>
      <c r="G95" s="121"/>
      <c r="H95" s="121"/>
      <c r="I95" s="121"/>
      <c r="J95" s="121"/>
      <c r="K95" s="121"/>
      <c r="L95" s="122"/>
    </row>
    <row r="96" customFormat="false" ht="18" hidden="false" customHeight="true" outlineLevel="0" collapsed="false">
      <c r="B96" s="117"/>
      <c r="C96" s="118"/>
      <c r="D96" s="118"/>
      <c r="E96" s="119"/>
      <c r="F96" s="119"/>
      <c r="G96" s="118"/>
      <c r="H96" s="118"/>
      <c r="I96" s="118"/>
      <c r="J96" s="118"/>
      <c r="K96" s="118"/>
      <c r="L96" s="119"/>
    </row>
    <row r="97" customFormat="false" ht="18" hidden="false" customHeight="true" outlineLevel="0" collapsed="false">
      <c r="B97" s="120"/>
      <c r="C97" s="121"/>
      <c r="D97" s="121"/>
      <c r="E97" s="122"/>
      <c r="F97" s="122"/>
      <c r="G97" s="121"/>
      <c r="H97" s="121"/>
      <c r="I97" s="121"/>
      <c r="J97" s="121"/>
      <c r="K97" s="121"/>
      <c r="L97" s="122"/>
    </row>
    <row r="98" customFormat="false" ht="18" hidden="false" customHeight="true" outlineLevel="0" collapsed="false">
      <c r="B98" s="117"/>
      <c r="C98" s="118"/>
      <c r="D98" s="118"/>
      <c r="E98" s="119"/>
      <c r="F98" s="119"/>
      <c r="G98" s="118"/>
      <c r="H98" s="118"/>
      <c r="I98" s="118"/>
      <c r="J98" s="118"/>
      <c r="K98" s="118"/>
      <c r="L98" s="119"/>
    </row>
    <row r="99" customFormat="false" ht="18" hidden="false" customHeight="true" outlineLevel="0" collapsed="false">
      <c r="B99" s="120"/>
      <c r="C99" s="121"/>
      <c r="D99" s="121"/>
      <c r="E99" s="122"/>
      <c r="F99" s="122"/>
      <c r="G99" s="121"/>
      <c r="H99" s="121"/>
      <c r="I99" s="121"/>
      <c r="J99" s="121"/>
      <c r="K99" s="121"/>
      <c r="L99" s="122"/>
    </row>
    <row r="100" customFormat="false" ht="18" hidden="false" customHeight="true" outlineLevel="0" collapsed="false">
      <c r="B100" s="117"/>
      <c r="C100" s="118"/>
      <c r="D100" s="118"/>
      <c r="E100" s="119"/>
      <c r="F100" s="119"/>
      <c r="G100" s="118"/>
      <c r="H100" s="118"/>
      <c r="I100" s="118"/>
      <c r="J100" s="118"/>
      <c r="K100" s="118"/>
      <c r="L100" s="119"/>
    </row>
    <row r="101" customFormat="false" ht="18" hidden="false" customHeight="true" outlineLevel="0" collapsed="false">
      <c r="B101" s="120"/>
      <c r="C101" s="121"/>
      <c r="D101" s="121"/>
      <c r="E101" s="122"/>
      <c r="F101" s="122"/>
      <c r="G101" s="121"/>
      <c r="H101" s="121"/>
      <c r="I101" s="121"/>
      <c r="J101" s="121"/>
      <c r="K101" s="121"/>
      <c r="L101" s="122"/>
    </row>
    <row r="102" customFormat="false" ht="18" hidden="false" customHeight="true" outlineLevel="0" collapsed="false">
      <c r="B102" s="117"/>
      <c r="C102" s="118"/>
      <c r="D102" s="118"/>
      <c r="E102" s="119"/>
      <c r="F102" s="119"/>
      <c r="G102" s="118"/>
      <c r="H102" s="118"/>
      <c r="I102" s="118"/>
      <c r="J102" s="118"/>
      <c r="K102" s="118"/>
      <c r="L102" s="119"/>
    </row>
    <row r="103" customFormat="false" ht="18" hidden="false" customHeight="true" outlineLevel="0" collapsed="false">
      <c r="B103" s="120"/>
      <c r="C103" s="121"/>
      <c r="D103" s="121"/>
      <c r="E103" s="122"/>
      <c r="F103" s="122"/>
      <c r="G103" s="121"/>
      <c r="H103" s="121"/>
      <c r="I103" s="121"/>
      <c r="J103" s="121"/>
      <c r="K103" s="121"/>
      <c r="L103" s="122"/>
    </row>
    <row r="104" customFormat="false" ht="18" hidden="false" customHeight="true" outlineLevel="0" collapsed="false">
      <c r="B104" s="117"/>
      <c r="C104" s="118"/>
      <c r="D104" s="118"/>
      <c r="E104" s="119"/>
      <c r="F104" s="119"/>
      <c r="G104" s="118"/>
      <c r="H104" s="118"/>
      <c r="I104" s="118"/>
      <c r="J104" s="118"/>
      <c r="K104" s="118"/>
      <c r="L104" s="119"/>
    </row>
    <row r="105" customFormat="false" ht="18" hidden="false" customHeight="true" outlineLevel="0" collapsed="false">
      <c r="B105" s="120"/>
      <c r="C105" s="121"/>
      <c r="D105" s="121"/>
      <c r="E105" s="122"/>
      <c r="F105" s="122"/>
      <c r="G105" s="121"/>
      <c r="H105" s="121"/>
      <c r="I105" s="121"/>
      <c r="J105" s="121"/>
      <c r="K105" s="121"/>
      <c r="L105" s="122"/>
    </row>
    <row r="106" customFormat="false" ht="18" hidden="false" customHeight="true" outlineLevel="0" collapsed="false">
      <c r="B106" s="117"/>
      <c r="C106" s="118"/>
      <c r="D106" s="118"/>
      <c r="E106" s="119"/>
      <c r="F106" s="119"/>
      <c r="G106" s="118"/>
      <c r="H106" s="118"/>
      <c r="I106" s="118"/>
      <c r="J106" s="118"/>
      <c r="K106" s="118"/>
      <c r="L106" s="119"/>
    </row>
    <row r="107" customFormat="false" ht="18" hidden="false" customHeight="true" outlineLevel="0" collapsed="false">
      <c r="B107" s="120"/>
      <c r="C107" s="121"/>
      <c r="D107" s="121"/>
      <c r="E107" s="122"/>
      <c r="F107" s="122"/>
      <c r="G107" s="121"/>
      <c r="H107" s="121"/>
      <c r="I107" s="121"/>
      <c r="J107" s="121"/>
      <c r="K107" s="121"/>
      <c r="L107" s="122"/>
    </row>
    <row r="108" customFormat="false" ht="18" hidden="false" customHeight="true" outlineLevel="0" collapsed="false">
      <c r="B108" s="117"/>
      <c r="C108" s="118"/>
      <c r="D108" s="118"/>
      <c r="E108" s="119"/>
      <c r="F108" s="119"/>
      <c r="G108" s="118"/>
      <c r="H108" s="118"/>
      <c r="I108" s="118"/>
      <c r="J108" s="118"/>
      <c r="K108" s="118"/>
      <c r="L108" s="119"/>
    </row>
    <row r="109" customFormat="false" ht="18" hidden="false" customHeight="true" outlineLevel="0" collapsed="false">
      <c r="B109" s="120"/>
      <c r="C109" s="121"/>
      <c r="D109" s="121"/>
      <c r="E109" s="122"/>
      <c r="F109" s="122"/>
      <c r="G109" s="121"/>
      <c r="H109" s="121"/>
      <c r="I109" s="121"/>
      <c r="J109" s="121"/>
      <c r="K109" s="121"/>
      <c r="L109" s="122"/>
    </row>
    <row r="110" customFormat="false" ht="18" hidden="false" customHeight="true" outlineLevel="0" collapsed="false">
      <c r="B110" s="117"/>
      <c r="C110" s="118"/>
      <c r="D110" s="118"/>
      <c r="E110" s="119"/>
      <c r="F110" s="119"/>
      <c r="G110" s="118"/>
      <c r="H110" s="118"/>
      <c r="I110" s="118"/>
      <c r="J110" s="118"/>
      <c r="K110" s="118"/>
      <c r="L110" s="119"/>
    </row>
    <row r="111" customFormat="false" ht="18" hidden="false" customHeight="true" outlineLevel="0" collapsed="false">
      <c r="B111" s="120"/>
      <c r="C111" s="121"/>
      <c r="D111" s="121"/>
      <c r="E111" s="122"/>
      <c r="F111" s="122"/>
      <c r="G111" s="121"/>
      <c r="H111" s="121"/>
      <c r="I111" s="121"/>
      <c r="J111" s="121"/>
      <c r="K111" s="121"/>
      <c r="L111" s="122"/>
    </row>
    <row r="112" customFormat="false" ht="18" hidden="false" customHeight="true" outlineLevel="0" collapsed="false">
      <c r="B112" s="117"/>
      <c r="C112" s="118"/>
      <c r="D112" s="118"/>
      <c r="E112" s="119"/>
      <c r="F112" s="119"/>
      <c r="G112" s="118"/>
      <c r="H112" s="118"/>
      <c r="I112" s="118"/>
      <c r="J112" s="118"/>
      <c r="K112" s="118"/>
      <c r="L112" s="119"/>
    </row>
    <row r="113" customFormat="false" ht="18" hidden="false" customHeight="true" outlineLevel="0" collapsed="false">
      <c r="B113" s="120"/>
      <c r="C113" s="121"/>
      <c r="D113" s="121"/>
      <c r="E113" s="122"/>
      <c r="F113" s="122"/>
      <c r="G113" s="121"/>
      <c r="H113" s="121"/>
      <c r="I113" s="121"/>
      <c r="J113" s="121"/>
      <c r="K113" s="121"/>
      <c r="L113" s="122"/>
    </row>
    <row r="114" customFormat="false" ht="18" hidden="false" customHeight="true" outlineLevel="0" collapsed="false">
      <c r="B114" s="117"/>
      <c r="C114" s="118"/>
      <c r="D114" s="118"/>
      <c r="E114" s="119"/>
      <c r="F114" s="119"/>
      <c r="G114" s="118"/>
      <c r="H114" s="118"/>
      <c r="I114" s="118"/>
      <c r="J114" s="118"/>
      <c r="K114" s="118"/>
      <c r="L114" s="119"/>
    </row>
    <row r="115" customFormat="false" ht="18" hidden="false" customHeight="true" outlineLevel="0" collapsed="false">
      <c r="B115" s="120"/>
      <c r="C115" s="121"/>
      <c r="D115" s="121"/>
      <c r="E115" s="122"/>
      <c r="F115" s="122"/>
      <c r="G115" s="121"/>
      <c r="H115" s="121"/>
      <c r="I115" s="121"/>
      <c r="J115" s="121"/>
      <c r="K115" s="121"/>
      <c r="L115" s="122"/>
    </row>
    <row r="116" customFormat="false" ht="18" hidden="false" customHeight="true" outlineLevel="0" collapsed="false">
      <c r="B116" s="117"/>
      <c r="C116" s="118"/>
      <c r="D116" s="118"/>
      <c r="E116" s="119"/>
      <c r="F116" s="119"/>
      <c r="G116" s="118"/>
      <c r="H116" s="118"/>
      <c r="I116" s="118"/>
      <c r="J116" s="118"/>
      <c r="K116" s="118"/>
      <c r="L116" s="119"/>
    </row>
    <row r="117" customFormat="false" ht="18" hidden="false" customHeight="true" outlineLevel="0" collapsed="false">
      <c r="B117" s="120"/>
      <c r="C117" s="121"/>
      <c r="D117" s="121"/>
      <c r="E117" s="122"/>
      <c r="F117" s="122"/>
      <c r="G117" s="121"/>
      <c r="H117" s="121"/>
      <c r="I117" s="121"/>
      <c r="J117" s="121"/>
      <c r="K117" s="121"/>
      <c r="L117" s="122"/>
    </row>
    <row r="118" customFormat="false" ht="18" hidden="false" customHeight="true" outlineLevel="0" collapsed="false">
      <c r="B118" s="117"/>
      <c r="C118" s="118"/>
      <c r="D118" s="118"/>
      <c r="E118" s="119"/>
      <c r="F118" s="119"/>
      <c r="G118" s="118"/>
      <c r="H118" s="118"/>
      <c r="I118" s="118"/>
      <c r="J118" s="118"/>
      <c r="K118" s="118"/>
      <c r="L118" s="119"/>
    </row>
    <row r="119" customFormat="false" ht="18" hidden="false" customHeight="true" outlineLevel="0" collapsed="false">
      <c r="B119" s="120"/>
      <c r="C119" s="121"/>
      <c r="D119" s="121"/>
      <c r="E119" s="122"/>
      <c r="F119" s="122"/>
      <c r="G119" s="121"/>
      <c r="H119" s="121"/>
      <c r="I119" s="121"/>
      <c r="J119" s="121"/>
      <c r="K119" s="121"/>
      <c r="L119" s="122"/>
    </row>
    <row r="120" customFormat="false" ht="18" hidden="false" customHeight="true" outlineLevel="0" collapsed="false">
      <c r="B120" s="117"/>
      <c r="C120" s="118"/>
      <c r="D120" s="118"/>
      <c r="E120" s="119"/>
      <c r="F120" s="119"/>
      <c r="G120" s="118"/>
      <c r="H120" s="118"/>
      <c r="I120" s="118"/>
      <c r="J120" s="118"/>
      <c r="K120" s="118"/>
      <c r="L120" s="119"/>
    </row>
    <row r="121" customFormat="false" ht="18" hidden="false" customHeight="true" outlineLevel="0" collapsed="false">
      <c r="B121" s="120"/>
      <c r="C121" s="121"/>
      <c r="D121" s="121"/>
      <c r="E121" s="122"/>
      <c r="F121" s="122"/>
      <c r="G121" s="121"/>
      <c r="H121" s="121"/>
      <c r="I121" s="121"/>
      <c r="J121" s="121"/>
      <c r="K121" s="121"/>
      <c r="L121" s="122"/>
    </row>
    <row r="122" customFormat="false" ht="18" hidden="false" customHeight="true" outlineLevel="0" collapsed="false">
      <c r="B122" s="117"/>
      <c r="C122" s="118"/>
      <c r="D122" s="118"/>
      <c r="E122" s="119"/>
      <c r="F122" s="119"/>
      <c r="G122" s="118"/>
      <c r="H122" s="118"/>
      <c r="I122" s="118"/>
      <c r="J122" s="118"/>
      <c r="K122" s="118"/>
      <c r="L122" s="119"/>
    </row>
    <row r="123" customFormat="false" ht="18" hidden="false" customHeight="true" outlineLevel="0" collapsed="false">
      <c r="B123" s="120"/>
      <c r="C123" s="121"/>
      <c r="D123" s="121"/>
      <c r="E123" s="122"/>
      <c r="F123" s="122"/>
      <c r="G123" s="121"/>
      <c r="H123" s="121"/>
      <c r="I123" s="121"/>
      <c r="J123" s="121"/>
      <c r="K123" s="121"/>
      <c r="L123" s="122"/>
    </row>
    <row r="124" customFormat="false" ht="18" hidden="false" customHeight="true" outlineLevel="0" collapsed="false">
      <c r="B124" s="117"/>
      <c r="C124" s="118"/>
      <c r="D124" s="118"/>
      <c r="E124" s="119"/>
      <c r="F124" s="119"/>
      <c r="G124" s="118"/>
      <c r="H124" s="118"/>
      <c r="I124" s="118"/>
      <c r="J124" s="118"/>
      <c r="K124" s="118"/>
      <c r="L124" s="119"/>
    </row>
    <row r="125" customFormat="false" ht="18" hidden="false" customHeight="true" outlineLevel="0" collapsed="false">
      <c r="B125" s="120"/>
      <c r="C125" s="121"/>
      <c r="D125" s="121"/>
      <c r="E125" s="122"/>
      <c r="F125" s="122"/>
      <c r="G125" s="121"/>
      <c r="H125" s="121"/>
      <c r="I125" s="121"/>
      <c r="J125" s="121"/>
      <c r="K125" s="121"/>
      <c r="L125" s="122"/>
    </row>
    <row r="126" customFormat="false" ht="18" hidden="false" customHeight="true" outlineLevel="0" collapsed="false">
      <c r="B126" s="117"/>
      <c r="C126" s="118"/>
      <c r="D126" s="118"/>
      <c r="E126" s="119"/>
      <c r="F126" s="119"/>
      <c r="G126" s="118"/>
      <c r="H126" s="118"/>
      <c r="I126" s="118"/>
      <c r="J126" s="118"/>
      <c r="K126" s="118"/>
      <c r="L126" s="119"/>
    </row>
    <row r="127" customFormat="false" ht="18" hidden="false" customHeight="true" outlineLevel="0" collapsed="false">
      <c r="B127" s="120"/>
      <c r="C127" s="121"/>
      <c r="D127" s="121"/>
      <c r="E127" s="122"/>
      <c r="F127" s="122"/>
      <c r="G127" s="121"/>
      <c r="H127" s="121"/>
      <c r="I127" s="121"/>
      <c r="J127" s="121"/>
      <c r="K127" s="121"/>
      <c r="L127" s="122"/>
    </row>
    <row r="128" customFormat="false" ht="18" hidden="false" customHeight="true" outlineLevel="0" collapsed="false">
      <c r="B128" s="117"/>
      <c r="C128" s="118"/>
      <c r="D128" s="118"/>
      <c r="E128" s="119"/>
      <c r="F128" s="119"/>
      <c r="G128" s="118"/>
      <c r="H128" s="118"/>
      <c r="I128" s="118"/>
      <c r="J128" s="118"/>
      <c r="K128" s="118"/>
      <c r="L128" s="119"/>
    </row>
    <row r="129" customFormat="false" ht="18" hidden="false" customHeight="true" outlineLevel="0" collapsed="false">
      <c r="B129" s="120"/>
      <c r="C129" s="121"/>
      <c r="D129" s="121"/>
      <c r="E129" s="122"/>
      <c r="F129" s="122"/>
      <c r="G129" s="121"/>
      <c r="H129" s="121"/>
      <c r="I129" s="121"/>
      <c r="J129" s="121"/>
      <c r="K129" s="121"/>
      <c r="L129" s="122"/>
    </row>
    <row r="130" customFormat="false" ht="18" hidden="false" customHeight="true" outlineLevel="0" collapsed="false">
      <c r="B130" s="117"/>
      <c r="C130" s="118"/>
      <c r="D130" s="118"/>
      <c r="E130" s="119"/>
      <c r="F130" s="119"/>
      <c r="G130" s="118"/>
      <c r="H130" s="118"/>
      <c r="I130" s="118"/>
      <c r="J130" s="118"/>
      <c r="K130" s="118"/>
      <c r="L130" s="119"/>
    </row>
    <row r="131" customFormat="false" ht="18" hidden="false" customHeight="true" outlineLevel="0" collapsed="false">
      <c r="B131" s="120"/>
      <c r="C131" s="121"/>
      <c r="D131" s="121"/>
      <c r="E131" s="122"/>
      <c r="F131" s="122"/>
      <c r="G131" s="121"/>
      <c r="H131" s="121"/>
      <c r="I131" s="121"/>
      <c r="J131" s="121"/>
      <c r="K131" s="121"/>
      <c r="L131" s="122"/>
    </row>
    <row r="132" customFormat="false" ht="18" hidden="false" customHeight="true" outlineLevel="0" collapsed="false">
      <c r="B132" s="117"/>
      <c r="C132" s="118"/>
      <c r="D132" s="118"/>
      <c r="E132" s="119"/>
      <c r="F132" s="119"/>
      <c r="G132" s="118"/>
      <c r="H132" s="118"/>
      <c r="I132" s="118"/>
      <c r="J132" s="118"/>
      <c r="K132" s="118"/>
      <c r="L132" s="119"/>
    </row>
    <row r="133" customFormat="false" ht="18" hidden="false" customHeight="true" outlineLevel="0" collapsed="false">
      <c r="B133" s="120"/>
      <c r="C133" s="121"/>
      <c r="D133" s="121"/>
      <c r="E133" s="122"/>
      <c r="F133" s="122"/>
      <c r="G133" s="121"/>
      <c r="H133" s="121"/>
      <c r="I133" s="121"/>
      <c r="J133" s="121"/>
      <c r="K133" s="121"/>
      <c r="L133" s="122"/>
    </row>
    <row r="134" customFormat="false" ht="18" hidden="false" customHeight="true" outlineLevel="0" collapsed="false">
      <c r="B134" s="117"/>
      <c r="C134" s="118"/>
      <c r="D134" s="118"/>
      <c r="E134" s="119"/>
      <c r="F134" s="119"/>
      <c r="G134" s="118"/>
      <c r="H134" s="118"/>
      <c r="I134" s="118"/>
      <c r="J134" s="118"/>
      <c r="K134" s="118"/>
      <c r="L134" s="119"/>
    </row>
    <row r="135" customFormat="false" ht="18" hidden="false" customHeight="true" outlineLevel="0" collapsed="false">
      <c r="B135" s="120"/>
      <c r="C135" s="121"/>
      <c r="D135" s="121"/>
      <c r="E135" s="122"/>
      <c r="F135" s="122"/>
      <c r="G135" s="121"/>
      <c r="H135" s="121"/>
      <c r="I135" s="121"/>
      <c r="J135" s="121"/>
      <c r="K135" s="121"/>
      <c r="L135" s="122"/>
    </row>
    <row r="136" customFormat="false" ht="18" hidden="false" customHeight="true" outlineLevel="0" collapsed="false">
      <c r="B136" s="117"/>
      <c r="C136" s="118"/>
      <c r="D136" s="118"/>
      <c r="E136" s="119"/>
      <c r="F136" s="119"/>
      <c r="G136" s="118"/>
      <c r="H136" s="118"/>
      <c r="I136" s="118"/>
      <c r="J136" s="118"/>
      <c r="K136" s="118"/>
      <c r="L136" s="119"/>
    </row>
    <row r="137" customFormat="false" ht="18" hidden="false" customHeight="true" outlineLevel="0" collapsed="false">
      <c r="B137" s="120"/>
      <c r="C137" s="121"/>
      <c r="D137" s="121"/>
      <c r="E137" s="122"/>
      <c r="F137" s="122"/>
      <c r="G137" s="121"/>
      <c r="H137" s="121"/>
      <c r="I137" s="121"/>
      <c r="J137" s="121"/>
      <c r="K137" s="121"/>
      <c r="L137" s="122"/>
    </row>
    <row r="138" customFormat="false" ht="18" hidden="false" customHeight="true" outlineLevel="0" collapsed="false">
      <c r="B138" s="117"/>
      <c r="C138" s="118"/>
      <c r="D138" s="118"/>
      <c r="E138" s="119"/>
      <c r="F138" s="119"/>
      <c r="G138" s="118"/>
      <c r="H138" s="118"/>
      <c r="I138" s="118"/>
      <c r="J138" s="118"/>
      <c r="K138" s="118"/>
      <c r="L138" s="119"/>
    </row>
    <row r="139" customFormat="false" ht="18" hidden="false" customHeight="true" outlineLevel="0" collapsed="false">
      <c r="B139" s="120"/>
      <c r="C139" s="121"/>
      <c r="D139" s="121"/>
      <c r="E139" s="122"/>
      <c r="F139" s="122"/>
      <c r="G139" s="121"/>
      <c r="H139" s="121"/>
      <c r="I139" s="121"/>
      <c r="J139" s="121"/>
      <c r="K139" s="121"/>
      <c r="L139" s="122"/>
    </row>
    <row r="140" customFormat="false" ht="18" hidden="false" customHeight="true" outlineLevel="0" collapsed="false">
      <c r="B140" s="117"/>
      <c r="C140" s="118"/>
      <c r="D140" s="118"/>
      <c r="E140" s="119"/>
      <c r="F140" s="119"/>
      <c r="G140" s="118"/>
      <c r="H140" s="118"/>
      <c r="I140" s="118"/>
      <c r="J140" s="118"/>
      <c r="K140" s="118"/>
      <c r="L140" s="119"/>
    </row>
    <row r="141" customFormat="false" ht="18" hidden="false" customHeight="true" outlineLevel="0" collapsed="false">
      <c r="B141" s="120"/>
      <c r="C141" s="121"/>
      <c r="D141" s="121"/>
      <c r="E141" s="122"/>
      <c r="F141" s="122"/>
      <c r="G141" s="121"/>
      <c r="H141" s="121"/>
      <c r="I141" s="121"/>
      <c r="J141" s="121"/>
      <c r="K141" s="121"/>
      <c r="L141" s="122"/>
    </row>
    <row r="142" customFormat="false" ht="18" hidden="false" customHeight="true" outlineLevel="0" collapsed="false">
      <c r="B142" s="117"/>
      <c r="C142" s="118"/>
      <c r="D142" s="118"/>
      <c r="E142" s="119"/>
      <c r="F142" s="119"/>
      <c r="G142" s="118"/>
      <c r="H142" s="118"/>
      <c r="I142" s="118"/>
      <c r="J142" s="118"/>
      <c r="K142" s="118"/>
      <c r="L142" s="119"/>
    </row>
    <row r="143" customFormat="false" ht="18" hidden="false" customHeight="true" outlineLevel="0" collapsed="false">
      <c r="B143" s="120"/>
      <c r="C143" s="121"/>
      <c r="D143" s="121"/>
      <c r="E143" s="122"/>
      <c r="F143" s="122"/>
      <c r="G143" s="121"/>
      <c r="H143" s="121"/>
      <c r="I143" s="121"/>
      <c r="J143" s="121"/>
      <c r="K143" s="121"/>
      <c r="L143" s="122"/>
    </row>
    <row r="144" customFormat="false" ht="18" hidden="false" customHeight="true" outlineLevel="0" collapsed="false">
      <c r="B144" s="117"/>
      <c r="C144" s="118"/>
      <c r="D144" s="118"/>
      <c r="E144" s="119"/>
      <c r="F144" s="119"/>
      <c r="G144" s="118"/>
      <c r="H144" s="118"/>
      <c r="I144" s="118"/>
      <c r="J144" s="118"/>
      <c r="K144" s="118"/>
      <c r="L144" s="119"/>
    </row>
    <row r="145" customFormat="false" ht="18" hidden="false" customHeight="true" outlineLevel="0" collapsed="false">
      <c r="B145" s="120"/>
      <c r="C145" s="121"/>
      <c r="D145" s="121"/>
      <c r="E145" s="122"/>
      <c r="F145" s="122"/>
      <c r="G145" s="121"/>
      <c r="H145" s="121"/>
      <c r="I145" s="121"/>
      <c r="J145" s="121"/>
      <c r="K145" s="121"/>
      <c r="L145" s="122"/>
    </row>
    <row r="146" customFormat="false" ht="18" hidden="false" customHeight="true" outlineLevel="0" collapsed="false">
      <c r="B146" s="117"/>
      <c r="C146" s="118"/>
      <c r="D146" s="118"/>
      <c r="E146" s="119"/>
      <c r="F146" s="119"/>
      <c r="G146" s="118"/>
      <c r="H146" s="118"/>
      <c r="I146" s="118"/>
      <c r="J146" s="118"/>
      <c r="K146" s="118"/>
      <c r="L146" s="119"/>
    </row>
    <row r="147" customFormat="false" ht="18" hidden="false" customHeight="true" outlineLevel="0" collapsed="false">
      <c r="B147" s="120"/>
      <c r="C147" s="121"/>
      <c r="D147" s="121"/>
      <c r="E147" s="122"/>
      <c r="F147" s="122"/>
      <c r="G147" s="121"/>
      <c r="H147" s="121"/>
      <c r="I147" s="121"/>
      <c r="J147" s="121"/>
      <c r="K147" s="121"/>
      <c r="L147" s="122"/>
    </row>
    <row r="148" customFormat="false" ht="18" hidden="false" customHeight="true" outlineLevel="0" collapsed="false">
      <c r="B148" s="117"/>
      <c r="C148" s="118"/>
      <c r="D148" s="118"/>
      <c r="E148" s="119"/>
      <c r="F148" s="119"/>
      <c r="G148" s="118"/>
      <c r="H148" s="118"/>
      <c r="I148" s="118"/>
      <c r="J148" s="118"/>
      <c r="K148" s="118"/>
      <c r="L148" s="119"/>
    </row>
    <row r="149" customFormat="false" ht="18" hidden="false" customHeight="true" outlineLevel="0" collapsed="false">
      <c r="B149" s="120"/>
      <c r="C149" s="121"/>
      <c r="D149" s="121"/>
      <c r="E149" s="122"/>
      <c r="F149" s="122"/>
      <c r="G149" s="121"/>
      <c r="H149" s="121"/>
      <c r="I149" s="121"/>
      <c r="J149" s="121"/>
      <c r="K149" s="121"/>
      <c r="L149" s="122"/>
    </row>
    <row r="150" customFormat="false" ht="18" hidden="false" customHeight="true" outlineLevel="0" collapsed="false">
      <c r="B150" s="117"/>
      <c r="C150" s="118"/>
      <c r="D150" s="118"/>
      <c r="E150" s="119"/>
      <c r="F150" s="119"/>
      <c r="G150" s="118"/>
      <c r="H150" s="118"/>
      <c r="I150" s="118"/>
      <c r="J150" s="118"/>
      <c r="K150" s="118"/>
      <c r="L150" s="119"/>
    </row>
    <row r="151" customFormat="false" ht="18" hidden="false" customHeight="true" outlineLevel="0" collapsed="false">
      <c r="B151" s="120"/>
      <c r="C151" s="121"/>
      <c r="D151" s="121"/>
      <c r="E151" s="122"/>
      <c r="F151" s="122"/>
      <c r="G151" s="121"/>
      <c r="H151" s="121"/>
      <c r="I151" s="121"/>
      <c r="J151" s="121"/>
      <c r="K151" s="121"/>
      <c r="L151" s="122"/>
    </row>
    <row r="152" customFormat="false" ht="18" hidden="false" customHeight="true" outlineLevel="0" collapsed="false">
      <c r="B152" s="117"/>
      <c r="C152" s="118"/>
      <c r="D152" s="118"/>
      <c r="E152" s="119"/>
      <c r="F152" s="119"/>
      <c r="G152" s="118"/>
      <c r="H152" s="118"/>
      <c r="I152" s="118"/>
      <c r="J152" s="118"/>
      <c r="K152" s="118"/>
      <c r="L152" s="119"/>
    </row>
    <row r="153" customFormat="false" ht="18" hidden="false" customHeight="true" outlineLevel="0" collapsed="false">
      <c r="B153" s="120"/>
      <c r="C153" s="121"/>
      <c r="D153" s="121"/>
      <c r="E153" s="122"/>
      <c r="F153" s="122"/>
      <c r="G153" s="121"/>
      <c r="H153" s="121"/>
      <c r="I153" s="121"/>
      <c r="J153" s="121"/>
      <c r="K153" s="121"/>
      <c r="L153" s="122"/>
    </row>
    <row r="154" customFormat="false" ht="18" hidden="false" customHeight="true" outlineLevel="0" collapsed="false">
      <c r="B154" s="117"/>
      <c r="C154" s="118"/>
      <c r="D154" s="118"/>
      <c r="E154" s="119"/>
      <c r="F154" s="119"/>
      <c r="G154" s="118"/>
      <c r="H154" s="118"/>
      <c r="I154" s="118"/>
      <c r="J154" s="118"/>
      <c r="K154" s="118"/>
      <c r="L154" s="119"/>
    </row>
    <row r="155" customFormat="false" ht="18" hidden="false" customHeight="true" outlineLevel="0" collapsed="false">
      <c r="B155" s="120"/>
      <c r="C155" s="121"/>
      <c r="D155" s="121"/>
      <c r="E155" s="122"/>
      <c r="F155" s="122"/>
      <c r="G155" s="121"/>
      <c r="H155" s="121"/>
      <c r="I155" s="121"/>
      <c r="J155" s="121"/>
      <c r="K155" s="121"/>
      <c r="L155" s="122"/>
    </row>
    <row r="156" customFormat="false" ht="18" hidden="false" customHeight="true" outlineLevel="0" collapsed="false">
      <c r="B156" s="117"/>
      <c r="C156" s="118"/>
      <c r="D156" s="118"/>
      <c r="E156" s="119"/>
      <c r="F156" s="119"/>
      <c r="G156" s="118"/>
      <c r="H156" s="118"/>
      <c r="I156" s="118"/>
      <c r="J156" s="118"/>
      <c r="K156" s="118"/>
      <c r="L156" s="119"/>
    </row>
    <row r="157" customFormat="false" ht="18" hidden="false" customHeight="true" outlineLevel="0" collapsed="false">
      <c r="B157" s="120"/>
      <c r="C157" s="121"/>
      <c r="D157" s="121"/>
      <c r="E157" s="122"/>
      <c r="F157" s="122"/>
      <c r="G157" s="121"/>
      <c r="H157" s="121"/>
      <c r="I157" s="121"/>
      <c r="J157" s="121"/>
      <c r="K157" s="121"/>
      <c r="L157" s="122"/>
    </row>
    <row r="158" customFormat="false" ht="18" hidden="false" customHeight="true" outlineLevel="0" collapsed="false">
      <c r="B158" s="117"/>
      <c r="C158" s="118"/>
      <c r="D158" s="118"/>
      <c r="E158" s="119"/>
      <c r="F158" s="119"/>
      <c r="G158" s="118"/>
      <c r="H158" s="118"/>
      <c r="I158" s="118"/>
      <c r="J158" s="118"/>
      <c r="K158" s="118"/>
      <c r="L158" s="119"/>
    </row>
    <row r="159" customFormat="false" ht="18" hidden="false" customHeight="true" outlineLevel="0" collapsed="false">
      <c r="B159" s="120"/>
      <c r="C159" s="121"/>
      <c r="D159" s="121"/>
      <c r="E159" s="122"/>
      <c r="F159" s="122"/>
      <c r="G159" s="121"/>
      <c r="H159" s="121"/>
      <c r="I159" s="121"/>
      <c r="J159" s="121"/>
      <c r="K159" s="121"/>
      <c r="L159" s="122"/>
    </row>
    <row r="160" customFormat="false" ht="18" hidden="false" customHeight="true" outlineLevel="0" collapsed="false">
      <c r="B160" s="117"/>
      <c r="C160" s="118"/>
      <c r="D160" s="118"/>
      <c r="E160" s="119"/>
      <c r="F160" s="119"/>
      <c r="G160" s="118"/>
      <c r="H160" s="118"/>
      <c r="I160" s="118"/>
      <c r="J160" s="118"/>
      <c r="K160" s="118"/>
      <c r="L160" s="119"/>
    </row>
    <row r="161" customFormat="false" ht="18" hidden="false" customHeight="true" outlineLevel="0" collapsed="false">
      <c r="B161" s="120"/>
      <c r="C161" s="121"/>
      <c r="D161" s="121"/>
      <c r="E161" s="122"/>
      <c r="F161" s="122"/>
      <c r="G161" s="121"/>
      <c r="H161" s="121"/>
      <c r="I161" s="121"/>
      <c r="J161" s="121"/>
      <c r="K161" s="121"/>
      <c r="L161" s="122"/>
    </row>
    <row r="162" customFormat="false" ht="18" hidden="false" customHeight="true" outlineLevel="0" collapsed="false">
      <c r="B162" s="117"/>
      <c r="C162" s="118"/>
      <c r="D162" s="118"/>
      <c r="E162" s="119"/>
      <c r="F162" s="119"/>
      <c r="G162" s="118"/>
      <c r="H162" s="118"/>
      <c r="I162" s="118"/>
      <c r="J162" s="118"/>
      <c r="K162" s="118"/>
      <c r="L162" s="119"/>
    </row>
    <row r="163" customFormat="false" ht="18" hidden="false" customHeight="true" outlineLevel="0" collapsed="false">
      <c r="B163" s="120"/>
      <c r="C163" s="121"/>
      <c r="D163" s="121"/>
      <c r="E163" s="122"/>
      <c r="F163" s="122"/>
      <c r="G163" s="121"/>
      <c r="H163" s="121"/>
      <c r="I163" s="121"/>
      <c r="J163" s="121"/>
      <c r="K163" s="121"/>
      <c r="L163" s="122"/>
    </row>
    <row r="164" customFormat="false" ht="18" hidden="false" customHeight="true" outlineLevel="0" collapsed="false">
      <c r="B164" s="117"/>
      <c r="C164" s="118"/>
      <c r="D164" s="118"/>
      <c r="E164" s="119"/>
      <c r="F164" s="119"/>
      <c r="G164" s="118"/>
      <c r="H164" s="118"/>
      <c r="I164" s="118"/>
      <c r="J164" s="118"/>
      <c r="K164" s="118"/>
      <c r="L164" s="119"/>
    </row>
    <row r="165" customFormat="false" ht="18" hidden="false" customHeight="true" outlineLevel="0" collapsed="false">
      <c r="B165" s="120"/>
      <c r="C165" s="121"/>
      <c r="D165" s="121"/>
      <c r="E165" s="122"/>
      <c r="F165" s="122"/>
      <c r="G165" s="121"/>
      <c r="H165" s="121"/>
      <c r="I165" s="121"/>
      <c r="J165" s="121"/>
      <c r="K165" s="121"/>
      <c r="L165" s="122"/>
    </row>
    <row r="166" customFormat="false" ht="18" hidden="false" customHeight="true" outlineLevel="0" collapsed="false">
      <c r="B166" s="117"/>
      <c r="C166" s="118"/>
      <c r="D166" s="118"/>
      <c r="E166" s="119"/>
      <c r="F166" s="119"/>
      <c r="G166" s="118"/>
      <c r="H166" s="118"/>
      <c r="I166" s="118"/>
      <c r="J166" s="118"/>
      <c r="K166" s="118"/>
      <c r="L166" s="119"/>
    </row>
    <row r="167" customFormat="false" ht="18" hidden="false" customHeight="true" outlineLevel="0" collapsed="false">
      <c r="B167" s="120"/>
      <c r="C167" s="121"/>
      <c r="D167" s="121"/>
      <c r="E167" s="122"/>
      <c r="F167" s="122"/>
      <c r="G167" s="121"/>
      <c r="H167" s="121"/>
      <c r="I167" s="121"/>
      <c r="J167" s="121"/>
      <c r="K167" s="121"/>
      <c r="L167" s="122"/>
    </row>
    <row r="168" customFormat="false" ht="18" hidden="false" customHeight="true" outlineLevel="0" collapsed="false">
      <c r="B168" s="117"/>
      <c r="C168" s="118"/>
      <c r="D168" s="118"/>
      <c r="E168" s="119"/>
      <c r="F168" s="119"/>
      <c r="G168" s="118"/>
      <c r="H168" s="118"/>
      <c r="I168" s="118"/>
      <c r="J168" s="118"/>
      <c r="K168" s="118"/>
      <c r="L168" s="119"/>
    </row>
    <row r="169" customFormat="false" ht="18" hidden="false" customHeight="true" outlineLevel="0" collapsed="false">
      <c r="B169" s="120"/>
      <c r="C169" s="121"/>
      <c r="D169" s="121"/>
      <c r="E169" s="122"/>
      <c r="F169" s="122"/>
      <c r="G169" s="121"/>
      <c r="H169" s="121"/>
      <c r="I169" s="121"/>
      <c r="J169" s="121"/>
      <c r="K169" s="121"/>
      <c r="L169" s="122"/>
    </row>
    <row r="170" customFormat="false" ht="18" hidden="false" customHeight="true" outlineLevel="0" collapsed="false">
      <c r="B170" s="117"/>
      <c r="C170" s="118"/>
      <c r="D170" s="118"/>
      <c r="E170" s="119"/>
      <c r="F170" s="119"/>
      <c r="G170" s="118"/>
      <c r="H170" s="118"/>
      <c r="I170" s="118"/>
      <c r="J170" s="118"/>
      <c r="K170" s="118"/>
      <c r="L170" s="119"/>
    </row>
    <row r="171" customFormat="false" ht="18" hidden="false" customHeight="true" outlineLevel="0" collapsed="false">
      <c r="B171" s="120"/>
      <c r="C171" s="121"/>
      <c r="D171" s="121"/>
      <c r="E171" s="122"/>
      <c r="F171" s="122"/>
      <c r="G171" s="121"/>
      <c r="H171" s="121"/>
      <c r="I171" s="121"/>
      <c r="J171" s="121"/>
      <c r="K171" s="121"/>
      <c r="L171" s="122"/>
    </row>
    <row r="172" customFormat="false" ht="18" hidden="false" customHeight="true" outlineLevel="0" collapsed="false">
      <c r="B172" s="117"/>
      <c r="C172" s="118"/>
      <c r="D172" s="118"/>
      <c r="E172" s="119"/>
      <c r="F172" s="119"/>
      <c r="G172" s="118"/>
      <c r="H172" s="118"/>
      <c r="I172" s="118"/>
      <c r="J172" s="118"/>
      <c r="K172" s="118"/>
      <c r="L172" s="119"/>
    </row>
    <row r="173" customFormat="false" ht="18" hidden="false" customHeight="true" outlineLevel="0" collapsed="false">
      <c r="B173" s="120"/>
      <c r="C173" s="121"/>
      <c r="D173" s="121"/>
      <c r="E173" s="122"/>
      <c r="F173" s="122"/>
      <c r="G173" s="121"/>
      <c r="H173" s="121"/>
      <c r="I173" s="121"/>
      <c r="J173" s="121"/>
      <c r="K173" s="121"/>
      <c r="L173" s="122"/>
    </row>
    <row r="174" customFormat="false" ht="18" hidden="false" customHeight="true" outlineLevel="0" collapsed="false">
      <c r="B174" s="117"/>
      <c r="C174" s="118"/>
      <c r="D174" s="118"/>
      <c r="E174" s="119"/>
      <c r="F174" s="119"/>
      <c r="G174" s="118"/>
      <c r="H174" s="118"/>
      <c r="I174" s="118"/>
      <c r="J174" s="118"/>
      <c r="K174" s="118"/>
      <c r="L174" s="119"/>
    </row>
    <row r="175" customFormat="false" ht="18" hidden="false" customHeight="true" outlineLevel="0" collapsed="false">
      <c r="B175" s="120"/>
      <c r="C175" s="121"/>
      <c r="D175" s="121"/>
      <c r="E175" s="122"/>
      <c r="F175" s="122"/>
      <c r="G175" s="121"/>
      <c r="H175" s="121"/>
      <c r="I175" s="121"/>
      <c r="J175" s="121"/>
      <c r="K175" s="121"/>
      <c r="L175" s="122"/>
    </row>
    <row r="176" customFormat="false" ht="18" hidden="false" customHeight="true" outlineLevel="0" collapsed="false">
      <c r="B176" s="117"/>
      <c r="C176" s="118"/>
      <c r="D176" s="118"/>
      <c r="E176" s="119"/>
      <c r="F176" s="119"/>
      <c r="G176" s="118"/>
      <c r="H176" s="118"/>
      <c r="I176" s="118"/>
      <c r="J176" s="118"/>
      <c r="K176" s="118"/>
      <c r="L176" s="119"/>
    </row>
    <row r="177" customFormat="false" ht="18" hidden="false" customHeight="true" outlineLevel="0" collapsed="false">
      <c r="B177" s="120"/>
      <c r="C177" s="121"/>
      <c r="D177" s="121"/>
      <c r="E177" s="122"/>
      <c r="F177" s="122"/>
      <c r="G177" s="121"/>
      <c r="H177" s="121"/>
      <c r="I177" s="121"/>
      <c r="J177" s="121"/>
      <c r="K177" s="121"/>
      <c r="L177" s="122"/>
    </row>
    <row r="178" customFormat="false" ht="18" hidden="false" customHeight="true" outlineLevel="0" collapsed="false">
      <c r="B178" s="117"/>
      <c r="C178" s="118"/>
      <c r="D178" s="118"/>
      <c r="E178" s="119"/>
      <c r="F178" s="119"/>
      <c r="G178" s="118"/>
      <c r="H178" s="118"/>
      <c r="I178" s="118"/>
      <c r="J178" s="118"/>
      <c r="K178" s="118"/>
      <c r="L178" s="119"/>
    </row>
    <row r="179" customFormat="false" ht="18" hidden="false" customHeight="true" outlineLevel="0" collapsed="false">
      <c r="B179" s="120"/>
      <c r="C179" s="121"/>
      <c r="D179" s="121"/>
      <c r="E179" s="122"/>
      <c r="F179" s="122"/>
      <c r="G179" s="121"/>
      <c r="H179" s="121"/>
      <c r="I179" s="121"/>
      <c r="J179" s="121"/>
      <c r="K179" s="121"/>
      <c r="L179" s="122"/>
    </row>
    <row r="180" customFormat="false" ht="18" hidden="false" customHeight="true" outlineLevel="0" collapsed="false">
      <c r="B180" s="117"/>
      <c r="C180" s="118"/>
      <c r="D180" s="118"/>
      <c r="E180" s="119"/>
      <c r="F180" s="119"/>
      <c r="G180" s="118"/>
      <c r="H180" s="118"/>
      <c r="I180" s="118"/>
      <c r="J180" s="118"/>
      <c r="K180" s="118"/>
      <c r="L180" s="119"/>
    </row>
    <row r="181" customFormat="false" ht="18" hidden="false" customHeight="true" outlineLevel="0" collapsed="false">
      <c r="B181" s="120"/>
      <c r="C181" s="121"/>
      <c r="D181" s="121"/>
      <c r="E181" s="122"/>
      <c r="F181" s="122"/>
      <c r="G181" s="121"/>
      <c r="H181" s="121"/>
      <c r="I181" s="121"/>
      <c r="J181" s="121"/>
      <c r="K181" s="121"/>
      <c r="L181" s="122"/>
    </row>
    <row r="182" customFormat="false" ht="18" hidden="false" customHeight="true" outlineLevel="0" collapsed="false">
      <c r="B182" s="117"/>
      <c r="C182" s="118"/>
      <c r="D182" s="118"/>
      <c r="E182" s="119"/>
      <c r="F182" s="119"/>
      <c r="G182" s="118"/>
      <c r="H182" s="118"/>
      <c r="I182" s="118"/>
      <c r="J182" s="118"/>
      <c r="K182" s="118"/>
      <c r="L182" s="119"/>
    </row>
    <row r="183" customFormat="false" ht="18" hidden="false" customHeight="true" outlineLevel="0" collapsed="false">
      <c r="B183" s="120"/>
      <c r="C183" s="121"/>
      <c r="D183" s="121"/>
      <c r="E183" s="122"/>
      <c r="F183" s="122"/>
      <c r="G183" s="121"/>
      <c r="H183" s="121"/>
      <c r="I183" s="121"/>
      <c r="J183" s="121"/>
      <c r="K183" s="121"/>
      <c r="L183" s="122"/>
    </row>
    <row r="184" customFormat="false" ht="18" hidden="false" customHeight="true" outlineLevel="0" collapsed="false">
      <c r="B184" s="117"/>
      <c r="C184" s="118"/>
      <c r="D184" s="118"/>
      <c r="E184" s="119"/>
      <c r="F184" s="119"/>
      <c r="G184" s="118"/>
      <c r="H184" s="118"/>
      <c r="I184" s="118"/>
      <c r="J184" s="118"/>
      <c r="K184" s="118"/>
      <c r="L184" s="119"/>
    </row>
    <row r="185" customFormat="false" ht="18" hidden="false" customHeight="true" outlineLevel="0" collapsed="false">
      <c r="B185" s="120"/>
      <c r="C185" s="121"/>
      <c r="D185" s="121"/>
      <c r="E185" s="122"/>
      <c r="F185" s="122"/>
      <c r="G185" s="121"/>
      <c r="H185" s="121"/>
      <c r="I185" s="121"/>
      <c r="J185" s="121"/>
      <c r="K185" s="121"/>
      <c r="L185" s="122"/>
    </row>
    <row r="186" customFormat="false" ht="18" hidden="false" customHeight="true" outlineLevel="0" collapsed="false">
      <c r="B186" s="117"/>
      <c r="C186" s="118"/>
      <c r="D186" s="118"/>
      <c r="E186" s="119"/>
      <c r="F186" s="119"/>
      <c r="G186" s="118"/>
      <c r="H186" s="118"/>
      <c r="I186" s="118"/>
      <c r="J186" s="118"/>
      <c r="K186" s="118"/>
      <c r="L186" s="119"/>
    </row>
    <row r="187" customFormat="false" ht="18" hidden="false" customHeight="true" outlineLevel="0" collapsed="false">
      <c r="B187" s="120"/>
      <c r="C187" s="121"/>
      <c r="D187" s="121"/>
      <c r="E187" s="122"/>
      <c r="F187" s="122"/>
      <c r="G187" s="121"/>
      <c r="H187" s="121"/>
      <c r="I187" s="121"/>
      <c r="J187" s="121"/>
      <c r="K187" s="121"/>
      <c r="L187" s="122"/>
    </row>
    <row r="188" customFormat="false" ht="18" hidden="false" customHeight="true" outlineLevel="0" collapsed="false">
      <c r="B188" s="117"/>
      <c r="C188" s="118"/>
      <c r="D188" s="118"/>
      <c r="E188" s="119"/>
      <c r="F188" s="119"/>
      <c r="G188" s="118"/>
      <c r="H188" s="118"/>
      <c r="I188" s="118"/>
      <c r="J188" s="118"/>
      <c r="K188" s="118"/>
      <c r="L188" s="119"/>
    </row>
    <row r="189" customFormat="false" ht="18" hidden="false" customHeight="true" outlineLevel="0" collapsed="false">
      <c r="B189" s="120"/>
      <c r="C189" s="121"/>
      <c r="D189" s="121"/>
      <c r="E189" s="122"/>
      <c r="F189" s="122"/>
      <c r="G189" s="121"/>
      <c r="H189" s="121"/>
      <c r="I189" s="121"/>
      <c r="J189" s="121"/>
      <c r="K189" s="121"/>
      <c r="L189" s="122"/>
    </row>
    <row r="190" customFormat="false" ht="18" hidden="false" customHeight="true" outlineLevel="0" collapsed="false">
      <c r="B190" s="117"/>
      <c r="C190" s="118"/>
      <c r="D190" s="118"/>
      <c r="E190" s="119"/>
      <c r="F190" s="119"/>
      <c r="G190" s="118"/>
      <c r="H190" s="118"/>
      <c r="I190" s="118"/>
      <c r="J190" s="118"/>
      <c r="K190" s="118"/>
      <c r="L190" s="119"/>
    </row>
    <row r="191" customFormat="false" ht="18" hidden="false" customHeight="true" outlineLevel="0" collapsed="false">
      <c r="B191" s="120"/>
      <c r="C191" s="121"/>
      <c r="D191" s="121"/>
      <c r="E191" s="122"/>
      <c r="F191" s="122"/>
      <c r="G191" s="121"/>
      <c r="H191" s="121"/>
      <c r="I191" s="121"/>
      <c r="J191" s="121"/>
      <c r="K191" s="121"/>
      <c r="L191" s="122"/>
    </row>
    <row r="192" customFormat="false" ht="18" hidden="false" customHeight="true" outlineLevel="0" collapsed="false">
      <c r="B192" s="117"/>
      <c r="C192" s="118"/>
      <c r="D192" s="118"/>
      <c r="E192" s="119"/>
      <c r="F192" s="119"/>
      <c r="G192" s="118"/>
      <c r="H192" s="118"/>
      <c r="I192" s="118"/>
      <c r="J192" s="118"/>
      <c r="K192" s="118"/>
      <c r="L192" s="119"/>
    </row>
    <row r="193" customFormat="false" ht="18" hidden="false" customHeight="true" outlineLevel="0" collapsed="false">
      <c r="B193" s="120"/>
      <c r="C193" s="121"/>
      <c r="D193" s="121"/>
      <c r="E193" s="122"/>
      <c r="F193" s="122"/>
      <c r="G193" s="121"/>
      <c r="H193" s="121"/>
      <c r="I193" s="121"/>
      <c r="J193" s="121"/>
      <c r="K193" s="121"/>
      <c r="L193" s="122"/>
    </row>
    <row r="194" customFormat="false" ht="18" hidden="false" customHeight="true" outlineLevel="0" collapsed="false">
      <c r="B194" s="117"/>
      <c r="C194" s="118"/>
      <c r="D194" s="118"/>
      <c r="E194" s="119"/>
      <c r="F194" s="119"/>
      <c r="G194" s="118"/>
      <c r="H194" s="118"/>
      <c r="I194" s="118"/>
      <c r="J194" s="118"/>
      <c r="K194" s="118"/>
      <c r="L194" s="119"/>
    </row>
    <row r="195" customFormat="false" ht="18" hidden="false" customHeight="true" outlineLevel="0" collapsed="false">
      <c r="B195" s="120"/>
      <c r="C195" s="121"/>
      <c r="D195" s="121"/>
      <c r="E195" s="122"/>
      <c r="F195" s="122"/>
      <c r="G195" s="121"/>
      <c r="H195" s="121"/>
      <c r="I195" s="121"/>
      <c r="J195" s="121"/>
      <c r="K195" s="121"/>
      <c r="L195" s="122"/>
    </row>
    <row r="196" customFormat="false" ht="18" hidden="false" customHeight="true" outlineLevel="0" collapsed="false">
      <c r="B196" s="117"/>
      <c r="C196" s="118"/>
      <c r="D196" s="118"/>
      <c r="E196" s="119"/>
      <c r="F196" s="119"/>
      <c r="G196" s="118"/>
      <c r="H196" s="118"/>
      <c r="I196" s="118"/>
      <c r="J196" s="118"/>
      <c r="K196" s="118"/>
      <c r="L196" s="119"/>
    </row>
    <row r="197" customFormat="false" ht="18" hidden="false" customHeight="true" outlineLevel="0" collapsed="false">
      <c r="B197" s="120"/>
      <c r="C197" s="121"/>
      <c r="D197" s="121"/>
      <c r="E197" s="122"/>
      <c r="F197" s="122"/>
      <c r="G197" s="121"/>
      <c r="H197" s="121"/>
      <c r="I197" s="121"/>
      <c r="J197" s="121"/>
      <c r="K197" s="121"/>
      <c r="L197" s="122"/>
    </row>
    <row r="198" customFormat="false" ht="18" hidden="false" customHeight="true" outlineLevel="0" collapsed="false">
      <c r="B198" s="117"/>
      <c r="C198" s="118"/>
      <c r="D198" s="118"/>
      <c r="E198" s="119"/>
      <c r="F198" s="119"/>
      <c r="G198" s="118"/>
      <c r="H198" s="118"/>
      <c r="I198" s="118"/>
      <c r="J198" s="118"/>
      <c r="K198" s="118"/>
      <c r="L198" s="119"/>
    </row>
    <row r="199" customFormat="false" ht="18" hidden="false" customHeight="true" outlineLevel="0" collapsed="false">
      <c r="B199" s="120"/>
      <c r="C199" s="121"/>
      <c r="D199" s="121"/>
      <c r="E199" s="122"/>
      <c r="F199" s="122"/>
      <c r="G199" s="121"/>
      <c r="H199" s="121"/>
      <c r="I199" s="121"/>
      <c r="J199" s="121"/>
      <c r="K199" s="121"/>
      <c r="L199" s="122"/>
    </row>
    <row r="200" customFormat="false" ht="18" hidden="false" customHeight="true" outlineLevel="0" collapsed="false">
      <c r="B200" s="117"/>
      <c r="C200" s="118"/>
      <c r="D200" s="118"/>
      <c r="E200" s="119"/>
      <c r="F200" s="119"/>
      <c r="G200" s="118"/>
      <c r="H200" s="118"/>
      <c r="I200" s="118"/>
      <c r="J200" s="118"/>
      <c r="K200" s="118"/>
      <c r="L200" s="119"/>
    </row>
  </sheetData>
  <mergeCells count="1">
    <mergeCell ref="A1:L1"/>
  </mergeCells>
  <conditionalFormatting sqref="G3:G500">
    <cfRule type="cellIs" priority="2" operator="equal" aboveAverage="0" equalAverage="0" bottom="0" percent="0" rank="0" text="" dxfId="3">
      <formula>"✅ Done"</formula>
    </cfRule>
    <cfRule type="cellIs" priority="3" operator="equal" aboveAverage="0" equalAverage="0" bottom="0" percent="0" rank="0" text="" dxfId="4">
      <formula>"❌ Missed"</formula>
    </cfRule>
    <cfRule type="cellIs" priority="4" operator="equal" aboveAverage="0" equalAverage="0" bottom="0" percent="0" rank="0" text="" dxfId="5">
      <formula>"🔄 Partial"</formula>
    </cfRule>
  </conditionalFormatting>
  <conditionalFormatting sqref="I3:I500">
    <cfRule type="colorScale" priority="5">
      <colorScale>
        <cfvo type="num" val="1"/>
        <cfvo type="num" val="3"/>
        <cfvo type="num" val="5"/>
        <color rgb="FFF1948A"/>
        <color rgb="FFF9E79F"/>
        <color rgb="FF82E0AA"/>
      </colorScale>
    </cfRule>
  </conditionalFormatting>
  <dataValidations count="3">
    <dataValidation allowBlank="true" errorStyle="stop" operator="between" showDropDown="false" showErrorMessage="false" showInputMessage="false" sqref="G3:G500" type="list">
      <formula1>"✅ Done,🔄 Partial,❌ Missed,⏸ Skipped"</formula1>
      <formula2>0</formula2>
    </dataValidation>
    <dataValidation allowBlank="true" errorStyle="stop" operator="between" showDropDown="false" showErrorMessage="false" showInputMessage="false" sqref="F3:F500" type="list">
      <formula1>"M1 - Python/SQL,M2 - Spark,M3 - Kafka,M4 - Cloud,M5 - SysDesign,M6 - Interview,M7 - LLM,M8 - Agents,M9 - LLMOps"</formula1>
      <formula2>0</formula2>
    </dataValidation>
    <dataValidation allowBlank="true" errorStyle="stop" operator="between" showDropDown="false" showErrorMessage="false" showInputMessage="false" sqref="I3:I50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7D0A"/>
    <pageSetUpPr fitToPage="false"/>
  </sheetPr>
  <dimension ref="A1:J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4" min="4" style="1" width="20"/>
    <col collapsed="false" customWidth="true" hidden="false" outlineLevel="0" max="6" min="5" style="1" width="28"/>
    <col collapsed="false" customWidth="true" hidden="false" outlineLevel="0" max="8" min="7" style="1" width="20"/>
    <col collapsed="false" customWidth="true" hidden="false" outlineLevel="0" max="9" min="9" style="1" width="12"/>
    <col collapsed="false" customWidth="true" hidden="false" outlineLevel="0" max="10" min="10" style="1" width="16"/>
  </cols>
  <sheetData>
    <row r="1" customFormat="false" ht="21.75" hidden="false" customHeight="true" outlineLevel="0" collapsed="false">
      <c r="A1" s="2" t="s">
        <v>136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7.75" hidden="false" customHeight="true" outlineLevel="0" collapsed="false">
      <c r="B2" s="123" t="s">
        <v>137</v>
      </c>
      <c r="C2" s="123" t="s">
        <v>65</v>
      </c>
      <c r="D2" s="123" t="s">
        <v>138</v>
      </c>
      <c r="E2" s="123" t="s">
        <v>139</v>
      </c>
      <c r="F2" s="123" t="s">
        <v>140</v>
      </c>
      <c r="G2" s="123" t="s">
        <v>141</v>
      </c>
      <c r="H2" s="123" t="s">
        <v>142</v>
      </c>
      <c r="I2" s="123" t="s">
        <v>143</v>
      </c>
      <c r="J2" s="123" t="s">
        <v>144</v>
      </c>
    </row>
    <row r="3" customFormat="false" ht="21.75" hidden="false" customHeight="true" outlineLevel="0" collapsed="false">
      <c r="B3" s="94" t="s">
        <v>145</v>
      </c>
      <c r="C3" s="124" t="n">
        <v>46117</v>
      </c>
      <c r="D3" s="110"/>
      <c r="E3" s="110"/>
      <c r="F3" s="110"/>
      <c r="G3" s="125" t="n">
        <f aca="false">IFERROR(COUNTIFS('📝 Daily Log'!C$3:C$500,1,'📝 Daily Log'!G$3:G$500,"✅ Done")/COUNTIF('📝 Daily Log'!C$3:C$500,1),"")</f>
        <v>0.8</v>
      </c>
      <c r="H3" s="109" t="n">
        <f aca="false">IFERROR(AVERAGEIF('📝 Daily Log'!C$3:C$500,1,'📝 Daily Log'!I$3:I$500),"")</f>
        <v>3.6</v>
      </c>
      <c r="I3" s="106" t="n">
        <f aca="false">IFERROR(SUMIF('📝 Daily Log'!C$3:C$500,1,'📝 Daily Log'!J$3:J$500),"")</f>
        <v>30</v>
      </c>
      <c r="J3" s="110"/>
    </row>
    <row r="4" customFormat="false" ht="21.75" hidden="false" customHeight="true" outlineLevel="0" collapsed="false">
      <c r="B4" s="91" t="s">
        <v>146</v>
      </c>
      <c r="C4" s="126" t="n">
        <v>46124</v>
      </c>
      <c r="D4" s="115"/>
      <c r="E4" s="115"/>
      <c r="F4" s="115"/>
      <c r="G4" s="127" t="str">
        <f aca="false">IFERROR(COUNTIFS('📝 Daily Log'!C$3:C$500,2,'📝 Daily Log'!G$3:G$500,"✅ Done")/COUNTIF('📝 Daily Log'!C$3:C$500,2),"")</f>
        <v/>
      </c>
      <c r="H4" s="114" t="str">
        <f aca="false">IFERROR(AVERAGEIF('📝 Daily Log'!C$3:C$500,2,'📝 Daily Log'!I$3:I$500),"")</f>
        <v/>
      </c>
      <c r="I4" s="112" t="n">
        <f aca="false">IFERROR(SUMIF('📝 Daily Log'!C$3:C$500,2,'📝 Daily Log'!J$3:J$500),"")</f>
        <v>0</v>
      </c>
      <c r="J4" s="115"/>
    </row>
    <row r="5" customFormat="false" ht="21.75" hidden="false" customHeight="true" outlineLevel="0" collapsed="false">
      <c r="B5" s="94" t="s">
        <v>147</v>
      </c>
      <c r="C5" s="124" t="n">
        <v>46131</v>
      </c>
      <c r="D5" s="110"/>
      <c r="E5" s="110"/>
      <c r="F5" s="110"/>
      <c r="G5" s="125" t="str">
        <f aca="false">IFERROR(COUNTIFS('📝 Daily Log'!C$3:C$500,3,'📝 Daily Log'!G$3:G$500,"✅ Done")/COUNTIF('📝 Daily Log'!C$3:C$500,3),"")</f>
        <v/>
      </c>
      <c r="H5" s="109" t="str">
        <f aca="false">IFERROR(AVERAGEIF('📝 Daily Log'!C$3:C$500,3,'📝 Daily Log'!I$3:I$500),"")</f>
        <v/>
      </c>
      <c r="I5" s="106" t="n">
        <f aca="false">IFERROR(SUMIF('📝 Daily Log'!C$3:C$500,3,'📝 Daily Log'!J$3:J$500),"")</f>
        <v>0</v>
      </c>
      <c r="J5" s="110"/>
    </row>
    <row r="6" customFormat="false" ht="21.75" hidden="false" customHeight="true" outlineLevel="0" collapsed="false">
      <c r="B6" s="91" t="s">
        <v>148</v>
      </c>
      <c r="C6" s="126" t="n">
        <v>46138</v>
      </c>
      <c r="D6" s="115"/>
      <c r="E6" s="115"/>
      <c r="F6" s="115"/>
      <c r="G6" s="127" t="str">
        <f aca="false">IFERROR(COUNTIFS('📝 Daily Log'!C$3:C$500,4,'📝 Daily Log'!G$3:G$500,"✅ Done")/COUNTIF('📝 Daily Log'!C$3:C$500,4),"")</f>
        <v/>
      </c>
      <c r="H6" s="114" t="str">
        <f aca="false">IFERROR(AVERAGEIF('📝 Daily Log'!C$3:C$500,4,'📝 Daily Log'!I$3:I$500),"")</f>
        <v/>
      </c>
      <c r="I6" s="112" t="n">
        <f aca="false">IFERROR(SUMIF('📝 Daily Log'!C$3:C$500,4,'📝 Daily Log'!J$3:J$500),"")</f>
        <v>0</v>
      </c>
      <c r="J6" s="115"/>
    </row>
    <row r="7" customFormat="false" ht="21.75" hidden="false" customHeight="true" outlineLevel="0" collapsed="false">
      <c r="B7" s="94" t="s">
        <v>149</v>
      </c>
      <c r="C7" s="124" t="n">
        <v>46145</v>
      </c>
      <c r="D7" s="110"/>
      <c r="E7" s="110"/>
      <c r="F7" s="110"/>
      <c r="G7" s="125" t="str">
        <f aca="false">IFERROR(COUNTIFS('📝 Daily Log'!C$3:C$500,5,'📝 Daily Log'!G$3:G$500,"✅ Done")/COUNTIF('📝 Daily Log'!C$3:C$500,5),"")</f>
        <v/>
      </c>
      <c r="H7" s="109" t="str">
        <f aca="false">IFERROR(AVERAGEIF('📝 Daily Log'!C$3:C$500,5,'📝 Daily Log'!I$3:I$500),"")</f>
        <v/>
      </c>
      <c r="I7" s="106" t="n">
        <f aca="false">IFERROR(SUMIF('📝 Daily Log'!C$3:C$500,5,'📝 Daily Log'!J$3:J$500),"")</f>
        <v>0</v>
      </c>
      <c r="J7" s="110"/>
    </row>
    <row r="8" customFormat="false" ht="21.75" hidden="false" customHeight="true" outlineLevel="0" collapsed="false">
      <c r="B8" s="91" t="s">
        <v>150</v>
      </c>
      <c r="C8" s="126" t="n">
        <v>46152</v>
      </c>
      <c r="D8" s="115"/>
      <c r="E8" s="115"/>
      <c r="F8" s="115"/>
      <c r="G8" s="127" t="str">
        <f aca="false">IFERROR(COUNTIFS('📝 Daily Log'!C$3:C$500,6,'📝 Daily Log'!G$3:G$500,"✅ Done")/COUNTIF('📝 Daily Log'!C$3:C$500,6),"")</f>
        <v/>
      </c>
      <c r="H8" s="114" t="str">
        <f aca="false">IFERROR(AVERAGEIF('📝 Daily Log'!C$3:C$500,6,'📝 Daily Log'!I$3:I$500),"")</f>
        <v/>
      </c>
      <c r="I8" s="112" t="n">
        <f aca="false">IFERROR(SUMIF('📝 Daily Log'!C$3:C$500,6,'📝 Daily Log'!J$3:J$500),"")</f>
        <v>0</v>
      </c>
      <c r="J8" s="115"/>
    </row>
    <row r="9" customFormat="false" ht="21.75" hidden="false" customHeight="true" outlineLevel="0" collapsed="false">
      <c r="B9" s="94" t="s">
        <v>151</v>
      </c>
      <c r="C9" s="124" t="n">
        <v>46159</v>
      </c>
      <c r="D9" s="110"/>
      <c r="E9" s="110"/>
      <c r="F9" s="110"/>
      <c r="G9" s="125" t="str">
        <f aca="false">IFERROR(COUNTIFS('📝 Daily Log'!C$3:C$500,7,'📝 Daily Log'!G$3:G$500,"✅ Done")/COUNTIF('📝 Daily Log'!C$3:C$500,7),"")</f>
        <v/>
      </c>
      <c r="H9" s="109" t="str">
        <f aca="false">IFERROR(AVERAGEIF('📝 Daily Log'!C$3:C$500,7,'📝 Daily Log'!I$3:I$500),"")</f>
        <v/>
      </c>
      <c r="I9" s="106" t="n">
        <f aca="false">IFERROR(SUMIF('📝 Daily Log'!C$3:C$500,7,'📝 Daily Log'!J$3:J$500),"")</f>
        <v>0</v>
      </c>
      <c r="J9" s="110"/>
    </row>
    <row r="10" customFormat="false" ht="21.75" hidden="false" customHeight="true" outlineLevel="0" collapsed="false">
      <c r="B10" s="91" t="s">
        <v>152</v>
      </c>
      <c r="C10" s="126" t="n">
        <v>46166</v>
      </c>
      <c r="D10" s="115"/>
      <c r="E10" s="115"/>
      <c r="F10" s="115"/>
      <c r="G10" s="127" t="str">
        <f aca="false">IFERROR(COUNTIFS('📝 Daily Log'!C$3:C$500,8,'📝 Daily Log'!G$3:G$500,"✅ Done")/COUNTIF('📝 Daily Log'!C$3:C$500,8),"")</f>
        <v/>
      </c>
      <c r="H10" s="114" t="str">
        <f aca="false">IFERROR(AVERAGEIF('📝 Daily Log'!C$3:C$500,8,'📝 Daily Log'!I$3:I$500),"")</f>
        <v/>
      </c>
      <c r="I10" s="112" t="n">
        <f aca="false">IFERROR(SUMIF('📝 Daily Log'!C$3:C$500,8,'📝 Daily Log'!J$3:J$500),"")</f>
        <v>0</v>
      </c>
      <c r="J10" s="115"/>
    </row>
    <row r="11" customFormat="false" ht="21.75" hidden="false" customHeight="true" outlineLevel="0" collapsed="false">
      <c r="B11" s="94" t="s">
        <v>153</v>
      </c>
      <c r="C11" s="124" t="n">
        <v>46173</v>
      </c>
      <c r="D11" s="110"/>
      <c r="E11" s="110"/>
      <c r="F11" s="110"/>
      <c r="G11" s="125" t="str">
        <f aca="false">IFERROR(COUNTIFS('📝 Daily Log'!C$3:C$500,9,'📝 Daily Log'!G$3:G$500,"✅ Done")/COUNTIF('📝 Daily Log'!C$3:C$500,9),"")</f>
        <v/>
      </c>
      <c r="H11" s="109" t="str">
        <f aca="false">IFERROR(AVERAGEIF('📝 Daily Log'!C$3:C$500,9,'📝 Daily Log'!I$3:I$500),"")</f>
        <v/>
      </c>
      <c r="I11" s="106" t="n">
        <f aca="false">IFERROR(SUMIF('📝 Daily Log'!C$3:C$500,9,'📝 Daily Log'!J$3:J$500),"")</f>
        <v>0</v>
      </c>
      <c r="J11" s="110"/>
    </row>
    <row r="12" customFormat="false" ht="21.75" hidden="false" customHeight="true" outlineLevel="0" collapsed="false">
      <c r="B12" s="91" t="s">
        <v>154</v>
      </c>
      <c r="C12" s="126" t="n">
        <v>46180</v>
      </c>
      <c r="D12" s="115"/>
      <c r="E12" s="115"/>
      <c r="F12" s="115"/>
      <c r="G12" s="127" t="str">
        <f aca="false">IFERROR(COUNTIFS('📝 Daily Log'!C$3:C$500,10,'📝 Daily Log'!G$3:G$500,"✅ Done")/COUNTIF('📝 Daily Log'!C$3:C$500,10),"")</f>
        <v/>
      </c>
      <c r="H12" s="114" t="str">
        <f aca="false">IFERROR(AVERAGEIF('📝 Daily Log'!C$3:C$500,10,'📝 Daily Log'!I$3:I$500),"")</f>
        <v/>
      </c>
      <c r="I12" s="112" t="n">
        <f aca="false">IFERROR(SUMIF('📝 Daily Log'!C$3:C$500,10,'📝 Daily Log'!J$3:J$500),"")</f>
        <v>0</v>
      </c>
      <c r="J12" s="115"/>
    </row>
    <row r="13" customFormat="false" ht="21.75" hidden="false" customHeight="true" outlineLevel="0" collapsed="false">
      <c r="B13" s="94" t="s">
        <v>155</v>
      </c>
      <c r="C13" s="124" t="n">
        <v>46187</v>
      </c>
      <c r="D13" s="110"/>
      <c r="E13" s="110"/>
      <c r="F13" s="110"/>
      <c r="G13" s="125" t="str">
        <f aca="false">IFERROR(COUNTIFS('📝 Daily Log'!C$3:C$500,11,'📝 Daily Log'!G$3:G$500,"✅ Done")/COUNTIF('📝 Daily Log'!C$3:C$500,11),"")</f>
        <v/>
      </c>
      <c r="H13" s="109" t="str">
        <f aca="false">IFERROR(AVERAGEIF('📝 Daily Log'!C$3:C$500,11,'📝 Daily Log'!I$3:I$500),"")</f>
        <v/>
      </c>
      <c r="I13" s="106" t="n">
        <f aca="false">IFERROR(SUMIF('📝 Daily Log'!C$3:C$500,11,'📝 Daily Log'!J$3:J$500),"")</f>
        <v>0</v>
      </c>
      <c r="J13" s="110"/>
    </row>
    <row r="14" customFormat="false" ht="21.75" hidden="false" customHeight="true" outlineLevel="0" collapsed="false">
      <c r="B14" s="91" t="s">
        <v>156</v>
      </c>
      <c r="C14" s="126" t="n">
        <v>46194</v>
      </c>
      <c r="D14" s="115"/>
      <c r="E14" s="115"/>
      <c r="F14" s="115"/>
      <c r="G14" s="127" t="str">
        <f aca="false">IFERROR(COUNTIFS('📝 Daily Log'!C$3:C$500,12,'📝 Daily Log'!G$3:G$500,"✅ Done")/COUNTIF('📝 Daily Log'!C$3:C$500,12),"")</f>
        <v/>
      </c>
      <c r="H14" s="114" t="str">
        <f aca="false">IFERROR(AVERAGEIF('📝 Daily Log'!C$3:C$500,12,'📝 Daily Log'!I$3:I$500),"")</f>
        <v/>
      </c>
      <c r="I14" s="112" t="n">
        <f aca="false">IFERROR(SUMIF('📝 Daily Log'!C$3:C$500,12,'📝 Daily Log'!J$3:J$500),"")</f>
        <v>0</v>
      </c>
      <c r="J14" s="115"/>
    </row>
    <row r="15" customFormat="false" ht="21.75" hidden="false" customHeight="true" outlineLevel="0" collapsed="false">
      <c r="B15" s="94" t="s">
        <v>157</v>
      </c>
      <c r="C15" s="124" t="n">
        <v>46201</v>
      </c>
      <c r="D15" s="110"/>
      <c r="E15" s="110"/>
      <c r="F15" s="110"/>
      <c r="G15" s="125" t="str">
        <f aca="false">IFERROR(COUNTIFS('📝 Daily Log'!C$3:C$500,13,'📝 Daily Log'!G$3:G$500,"✅ Done")/COUNTIF('📝 Daily Log'!C$3:C$500,13),"")</f>
        <v/>
      </c>
      <c r="H15" s="109" t="str">
        <f aca="false">IFERROR(AVERAGEIF('📝 Daily Log'!C$3:C$500,13,'📝 Daily Log'!I$3:I$500),"")</f>
        <v/>
      </c>
      <c r="I15" s="106" t="n">
        <f aca="false">IFERROR(SUMIF('📝 Daily Log'!C$3:C$500,13,'📝 Daily Log'!J$3:J$500),"")</f>
        <v>0</v>
      </c>
      <c r="J15" s="110"/>
    </row>
    <row r="16" customFormat="false" ht="21.75" hidden="false" customHeight="true" outlineLevel="0" collapsed="false">
      <c r="B16" s="91" t="s">
        <v>158</v>
      </c>
      <c r="C16" s="126" t="n">
        <v>46208</v>
      </c>
      <c r="D16" s="115"/>
      <c r="E16" s="115"/>
      <c r="F16" s="115"/>
      <c r="G16" s="127" t="str">
        <f aca="false">IFERROR(COUNTIFS('📝 Daily Log'!C$3:C$500,14,'📝 Daily Log'!G$3:G$500,"✅ Done")/COUNTIF('📝 Daily Log'!C$3:C$500,14),"")</f>
        <v/>
      </c>
      <c r="H16" s="114" t="str">
        <f aca="false">IFERROR(AVERAGEIF('📝 Daily Log'!C$3:C$500,14,'📝 Daily Log'!I$3:I$500),"")</f>
        <v/>
      </c>
      <c r="I16" s="112" t="n">
        <f aca="false">IFERROR(SUMIF('📝 Daily Log'!C$3:C$500,14,'📝 Daily Log'!J$3:J$500),"")</f>
        <v>0</v>
      </c>
      <c r="J16" s="115"/>
    </row>
    <row r="17" customFormat="false" ht="21.75" hidden="false" customHeight="true" outlineLevel="0" collapsed="false">
      <c r="B17" s="94" t="s">
        <v>159</v>
      </c>
      <c r="C17" s="124" t="n">
        <v>46215</v>
      </c>
      <c r="D17" s="110"/>
      <c r="E17" s="110"/>
      <c r="F17" s="110"/>
      <c r="G17" s="125" t="str">
        <f aca="false">IFERROR(COUNTIFS('📝 Daily Log'!C$3:C$500,15,'📝 Daily Log'!G$3:G$500,"✅ Done")/COUNTIF('📝 Daily Log'!C$3:C$500,15),"")</f>
        <v/>
      </c>
      <c r="H17" s="109" t="str">
        <f aca="false">IFERROR(AVERAGEIF('📝 Daily Log'!C$3:C$500,15,'📝 Daily Log'!I$3:I$500),"")</f>
        <v/>
      </c>
      <c r="I17" s="106" t="n">
        <f aca="false">IFERROR(SUMIF('📝 Daily Log'!C$3:C$500,15,'📝 Daily Log'!J$3:J$500),"")</f>
        <v>0</v>
      </c>
      <c r="J17" s="110"/>
    </row>
    <row r="18" customFormat="false" ht="21.75" hidden="false" customHeight="true" outlineLevel="0" collapsed="false">
      <c r="B18" s="91" t="s">
        <v>160</v>
      </c>
      <c r="C18" s="126" t="n">
        <v>46222</v>
      </c>
      <c r="D18" s="115"/>
      <c r="E18" s="115"/>
      <c r="F18" s="115"/>
      <c r="G18" s="127" t="str">
        <f aca="false">IFERROR(COUNTIFS('📝 Daily Log'!C$3:C$500,16,'📝 Daily Log'!G$3:G$500,"✅ Done")/COUNTIF('📝 Daily Log'!C$3:C$500,16),"")</f>
        <v/>
      </c>
      <c r="H18" s="114" t="str">
        <f aca="false">IFERROR(AVERAGEIF('📝 Daily Log'!C$3:C$500,16,'📝 Daily Log'!I$3:I$500),"")</f>
        <v/>
      </c>
      <c r="I18" s="112" t="n">
        <f aca="false">IFERROR(SUMIF('📝 Daily Log'!C$3:C$500,16,'📝 Daily Log'!J$3:J$500),"")</f>
        <v>0</v>
      </c>
      <c r="J18" s="115"/>
    </row>
    <row r="19" customFormat="false" ht="21.75" hidden="false" customHeight="true" outlineLevel="0" collapsed="false">
      <c r="B19" s="94" t="s">
        <v>161</v>
      </c>
      <c r="C19" s="124" t="n">
        <v>46229</v>
      </c>
      <c r="D19" s="110"/>
      <c r="E19" s="110"/>
      <c r="F19" s="110"/>
      <c r="G19" s="125" t="str">
        <f aca="false">IFERROR(COUNTIFS('📝 Daily Log'!C$3:C$500,17,'📝 Daily Log'!G$3:G$500,"✅ Done")/COUNTIF('📝 Daily Log'!C$3:C$500,17),"")</f>
        <v/>
      </c>
      <c r="H19" s="109" t="str">
        <f aca="false">IFERROR(AVERAGEIF('📝 Daily Log'!C$3:C$500,17,'📝 Daily Log'!I$3:I$500),"")</f>
        <v/>
      </c>
      <c r="I19" s="106" t="n">
        <f aca="false">IFERROR(SUMIF('📝 Daily Log'!C$3:C$500,17,'📝 Daily Log'!J$3:J$500),"")</f>
        <v>0</v>
      </c>
      <c r="J19" s="110"/>
    </row>
    <row r="20" customFormat="false" ht="21.75" hidden="false" customHeight="true" outlineLevel="0" collapsed="false">
      <c r="B20" s="91" t="s">
        <v>162</v>
      </c>
      <c r="C20" s="126" t="n">
        <v>46236</v>
      </c>
      <c r="D20" s="115"/>
      <c r="E20" s="115"/>
      <c r="F20" s="115"/>
      <c r="G20" s="127" t="str">
        <f aca="false">IFERROR(COUNTIFS('📝 Daily Log'!C$3:C$500,18,'📝 Daily Log'!G$3:G$500,"✅ Done")/COUNTIF('📝 Daily Log'!C$3:C$500,18),"")</f>
        <v/>
      </c>
      <c r="H20" s="114" t="str">
        <f aca="false">IFERROR(AVERAGEIF('📝 Daily Log'!C$3:C$500,18,'📝 Daily Log'!I$3:I$500),"")</f>
        <v/>
      </c>
      <c r="I20" s="112" t="n">
        <f aca="false">IFERROR(SUMIF('📝 Daily Log'!C$3:C$500,18,'📝 Daily Log'!J$3:J$500),"")</f>
        <v>0</v>
      </c>
      <c r="J20" s="115"/>
    </row>
    <row r="21" customFormat="false" ht="21.75" hidden="false" customHeight="true" outlineLevel="0" collapsed="false">
      <c r="B21" s="94" t="s">
        <v>163</v>
      </c>
      <c r="C21" s="124" t="n">
        <v>46243</v>
      </c>
      <c r="D21" s="110"/>
      <c r="E21" s="110"/>
      <c r="F21" s="110"/>
      <c r="G21" s="125" t="str">
        <f aca="false">IFERROR(COUNTIFS('📝 Daily Log'!C$3:C$500,19,'📝 Daily Log'!G$3:G$500,"✅ Done")/COUNTIF('📝 Daily Log'!C$3:C$500,19),"")</f>
        <v/>
      </c>
      <c r="H21" s="109" t="str">
        <f aca="false">IFERROR(AVERAGEIF('📝 Daily Log'!C$3:C$500,19,'📝 Daily Log'!I$3:I$500),"")</f>
        <v/>
      </c>
      <c r="I21" s="106" t="n">
        <f aca="false">IFERROR(SUMIF('📝 Daily Log'!C$3:C$500,19,'📝 Daily Log'!J$3:J$500),"")</f>
        <v>0</v>
      </c>
      <c r="J21" s="110"/>
    </row>
    <row r="22" customFormat="false" ht="21.75" hidden="false" customHeight="true" outlineLevel="0" collapsed="false">
      <c r="B22" s="91" t="s">
        <v>164</v>
      </c>
      <c r="C22" s="126" t="n">
        <v>46250</v>
      </c>
      <c r="D22" s="115"/>
      <c r="E22" s="115"/>
      <c r="F22" s="115"/>
      <c r="G22" s="127" t="str">
        <f aca="false">IFERROR(COUNTIFS('📝 Daily Log'!C$3:C$500,20,'📝 Daily Log'!G$3:G$500,"✅ Done")/COUNTIF('📝 Daily Log'!C$3:C$500,20),"")</f>
        <v/>
      </c>
      <c r="H22" s="114" t="str">
        <f aca="false">IFERROR(AVERAGEIF('📝 Daily Log'!C$3:C$500,20,'📝 Daily Log'!I$3:I$500),"")</f>
        <v/>
      </c>
      <c r="I22" s="112" t="n">
        <f aca="false">IFERROR(SUMIF('📝 Daily Log'!C$3:C$500,20,'📝 Daily Log'!J$3:J$500),"")</f>
        <v>0</v>
      </c>
      <c r="J22" s="115"/>
    </row>
    <row r="23" customFormat="false" ht="21.75" hidden="false" customHeight="true" outlineLevel="0" collapsed="false">
      <c r="B23" s="94" t="s">
        <v>165</v>
      </c>
      <c r="C23" s="124" t="n">
        <v>46257</v>
      </c>
      <c r="D23" s="110"/>
      <c r="E23" s="110"/>
      <c r="F23" s="110"/>
      <c r="G23" s="125" t="str">
        <f aca="false">IFERROR(COUNTIFS('📝 Daily Log'!C$3:C$500,21,'📝 Daily Log'!G$3:G$500,"✅ Done")/COUNTIF('📝 Daily Log'!C$3:C$500,21),"")</f>
        <v/>
      </c>
      <c r="H23" s="109" t="str">
        <f aca="false">IFERROR(AVERAGEIF('📝 Daily Log'!C$3:C$500,21,'📝 Daily Log'!I$3:I$500),"")</f>
        <v/>
      </c>
      <c r="I23" s="106" t="n">
        <f aca="false">IFERROR(SUMIF('📝 Daily Log'!C$3:C$500,21,'📝 Daily Log'!J$3:J$500),"")</f>
        <v>0</v>
      </c>
      <c r="J23" s="110"/>
    </row>
    <row r="24" customFormat="false" ht="21.75" hidden="false" customHeight="true" outlineLevel="0" collapsed="false">
      <c r="B24" s="91" t="s">
        <v>166</v>
      </c>
      <c r="C24" s="126" t="n">
        <v>46264</v>
      </c>
      <c r="D24" s="115"/>
      <c r="E24" s="115"/>
      <c r="F24" s="115"/>
      <c r="G24" s="127" t="str">
        <f aca="false">IFERROR(COUNTIFS('📝 Daily Log'!C$3:C$500,22,'📝 Daily Log'!G$3:G$500,"✅ Done")/COUNTIF('📝 Daily Log'!C$3:C$500,22),"")</f>
        <v/>
      </c>
      <c r="H24" s="114" t="str">
        <f aca="false">IFERROR(AVERAGEIF('📝 Daily Log'!C$3:C$500,22,'📝 Daily Log'!I$3:I$500),"")</f>
        <v/>
      </c>
      <c r="I24" s="112" t="n">
        <f aca="false">IFERROR(SUMIF('📝 Daily Log'!C$3:C$500,22,'📝 Daily Log'!J$3:J$500),"")</f>
        <v>0</v>
      </c>
      <c r="J24" s="115"/>
    </row>
    <row r="25" customFormat="false" ht="21.75" hidden="false" customHeight="true" outlineLevel="0" collapsed="false">
      <c r="B25" s="94" t="s">
        <v>167</v>
      </c>
      <c r="C25" s="124" t="n">
        <v>46271</v>
      </c>
      <c r="D25" s="110"/>
      <c r="E25" s="110"/>
      <c r="F25" s="110"/>
      <c r="G25" s="125" t="str">
        <f aca="false">IFERROR(COUNTIFS('📝 Daily Log'!C$3:C$500,23,'📝 Daily Log'!G$3:G$500,"✅ Done")/COUNTIF('📝 Daily Log'!C$3:C$500,23),"")</f>
        <v/>
      </c>
      <c r="H25" s="109" t="str">
        <f aca="false">IFERROR(AVERAGEIF('📝 Daily Log'!C$3:C$500,23,'📝 Daily Log'!I$3:I$500),"")</f>
        <v/>
      </c>
      <c r="I25" s="106" t="n">
        <f aca="false">IFERROR(SUMIF('📝 Daily Log'!C$3:C$500,23,'📝 Daily Log'!J$3:J$500),"")</f>
        <v>0</v>
      </c>
      <c r="J25" s="110"/>
    </row>
    <row r="26" customFormat="false" ht="21.75" hidden="false" customHeight="true" outlineLevel="0" collapsed="false">
      <c r="B26" s="91" t="s">
        <v>168</v>
      </c>
      <c r="C26" s="126" t="n">
        <v>46278</v>
      </c>
      <c r="D26" s="115"/>
      <c r="E26" s="115"/>
      <c r="F26" s="115"/>
      <c r="G26" s="127" t="str">
        <f aca="false">IFERROR(COUNTIFS('📝 Daily Log'!C$3:C$500,24,'📝 Daily Log'!G$3:G$500,"✅ Done")/COUNTIF('📝 Daily Log'!C$3:C$500,24),"")</f>
        <v/>
      </c>
      <c r="H26" s="114" t="str">
        <f aca="false">IFERROR(AVERAGEIF('📝 Daily Log'!C$3:C$500,24,'📝 Daily Log'!I$3:I$500),"")</f>
        <v/>
      </c>
      <c r="I26" s="112" t="n">
        <f aca="false">IFERROR(SUMIF('📝 Daily Log'!C$3:C$500,24,'📝 Daily Log'!J$3:J$500),"")</f>
        <v>0</v>
      </c>
      <c r="J26" s="115"/>
    </row>
    <row r="27" customFormat="false" ht="21.75" hidden="false" customHeight="true" outlineLevel="0" collapsed="false">
      <c r="B27" s="94" t="s">
        <v>169</v>
      </c>
      <c r="C27" s="124" t="n">
        <v>46285</v>
      </c>
      <c r="D27" s="110"/>
      <c r="E27" s="110"/>
      <c r="F27" s="110"/>
      <c r="G27" s="125" t="str">
        <f aca="false">IFERROR(COUNTIFS('📝 Daily Log'!C$3:C$500,25,'📝 Daily Log'!G$3:G$500,"✅ Done")/COUNTIF('📝 Daily Log'!C$3:C$500,25),"")</f>
        <v/>
      </c>
      <c r="H27" s="109" t="str">
        <f aca="false">IFERROR(AVERAGEIF('📝 Daily Log'!C$3:C$500,25,'📝 Daily Log'!I$3:I$500),"")</f>
        <v/>
      </c>
      <c r="I27" s="106" t="n">
        <f aca="false">IFERROR(SUMIF('📝 Daily Log'!C$3:C$500,25,'📝 Daily Log'!J$3:J$500),"")</f>
        <v>0</v>
      </c>
      <c r="J27" s="110"/>
    </row>
    <row r="28" customFormat="false" ht="21.75" hidden="false" customHeight="true" outlineLevel="0" collapsed="false">
      <c r="B28" s="91" t="s">
        <v>170</v>
      </c>
      <c r="C28" s="126" t="n">
        <v>46292</v>
      </c>
      <c r="D28" s="115"/>
      <c r="E28" s="115"/>
      <c r="F28" s="115"/>
      <c r="G28" s="127" t="str">
        <f aca="false">IFERROR(COUNTIFS('📝 Daily Log'!C$3:C$500,26,'📝 Daily Log'!G$3:G$500,"✅ Done")/COUNTIF('📝 Daily Log'!C$3:C$500,26),"")</f>
        <v/>
      </c>
      <c r="H28" s="114" t="str">
        <f aca="false">IFERROR(AVERAGEIF('📝 Daily Log'!C$3:C$500,26,'📝 Daily Log'!I$3:I$500),"")</f>
        <v/>
      </c>
      <c r="I28" s="112" t="n">
        <f aca="false">IFERROR(SUMIF('📝 Daily Log'!C$3:C$500,26,'📝 Daily Log'!J$3:J$500),"")</f>
        <v>0</v>
      </c>
      <c r="J28" s="115"/>
    </row>
    <row r="29" customFormat="false" ht="21.75" hidden="false" customHeight="true" outlineLevel="0" collapsed="false">
      <c r="B29" s="94" t="s">
        <v>171</v>
      </c>
      <c r="C29" s="124" t="n">
        <v>46299</v>
      </c>
      <c r="D29" s="110"/>
      <c r="E29" s="110"/>
      <c r="F29" s="110"/>
      <c r="G29" s="125" t="str">
        <f aca="false">IFERROR(COUNTIFS('📝 Daily Log'!C$3:C$500,27,'📝 Daily Log'!G$3:G$500,"✅ Done")/COUNTIF('📝 Daily Log'!C$3:C$500,27),"")</f>
        <v/>
      </c>
      <c r="H29" s="109" t="str">
        <f aca="false">IFERROR(AVERAGEIF('📝 Daily Log'!C$3:C$500,27,'📝 Daily Log'!I$3:I$500),"")</f>
        <v/>
      </c>
      <c r="I29" s="106" t="n">
        <f aca="false">IFERROR(SUMIF('📝 Daily Log'!C$3:C$500,27,'📝 Daily Log'!J$3:J$500),"")</f>
        <v>0</v>
      </c>
      <c r="J29" s="110"/>
    </row>
    <row r="30" customFormat="false" ht="21.75" hidden="false" customHeight="true" outlineLevel="0" collapsed="false">
      <c r="B30" s="91" t="s">
        <v>172</v>
      </c>
      <c r="C30" s="126" t="n">
        <v>46306</v>
      </c>
      <c r="D30" s="115"/>
      <c r="E30" s="115"/>
      <c r="F30" s="115"/>
      <c r="G30" s="127" t="str">
        <f aca="false">IFERROR(COUNTIFS('📝 Daily Log'!C$3:C$500,28,'📝 Daily Log'!G$3:G$500,"✅ Done")/COUNTIF('📝 Daily Log'!C$3:C$500,28),"")</f>
        <v/>
      </c>
      <c r="H30" s="114" t="str">
        <f aca="false">IFERROR(AVERAGEIF('📝 Daily Log'!C$3:C$500,28,'📝 Daily Log'!I$3:I$500),"")</f>
        <v/>
      </c>
      <c r="I30" s="112" t="n">
        <f aca="false">IFERROR(SUMIF('📝 Daily Log'!C$3:C$500,28,'📝 Daily Log'!J$3:J$500),"")</f>
        <v>0</v>
      </c>
      <c r="J30" s="115"/>
    </row>
    <row r="31" customFormat="false" ht="21.75" hidden="false" customHeight="true" outlineLevel="0" collapsed="false">
      <c r="B31" s="94" t="s">
        <v>173</v>
      </c>
      <c r="C31" s="124" t="n">
        <v>46313</v>
      </c>
      <c r="D31" s="110"/>
      <c r="E31" s="110"/>
      <c r="F31" s="110"/>
      <c r="G31" s="125" t="str">
        <f aca="false">IFERROR(COUNTIFS('📝 Daily Log'!C$3:C$500,29,'📝 Daily Log'!G$3:G$500,"✅ Done")/COUNTIF('📝 Daily Log'!C$3:C$500,29),"")</f>
        <v/>
      </c>
      <c r="H31" s="109" t="str">
        <f aca="false">IFERROR(AVERAGEIF('📝 Daily Log'!C$3:C$500,29,'📝 Daily Log'!I$3:I$500),"")</f>
        <v/>
      </c>
      <c r="I31" s="106" t="n">
        <f aca="false">IFERROR(SUMIF('📝 Daily Log'!C$3:C$500,29,'📝 Daily Log'!J$3:J$500),"")</f>
        <v>0</v>
      </c>
      <c r="J31" s="110"/>
    </row>
    <row r="32" customFormat="false" ht="21.75" hidden="false" customHeight="true" outlineLevel="0" collapsed="false">
      <c r="B32" s="91" t="s">
        <v>174</v>
      </c>
      <c r="C32" s="126" t="n">
        <v>46320</v>
      </c>
      <c r="D32" s="115"/>
      <c r="E32" s="115"/>
      <c r="F32" s="115"/>
      <c r="G32" s="127" t="str">
        <f aca="false">IFERROR(COUNTIFS('📝 Daily Log'!C$3:C$500,30,'📝 Daily Log'!G$3:G$500,"✅ Done")/COUNTIF('📝 Daily Log'!C$3:C$500,30),"")</f>
        <v/>
      </c>
      <c r="H32" s="114" t="str">
        <f aca="false">IFERROR(AVERAGEIF('📝 Daily Log'!C$3:C$500,30,'📝 Daily Log'!I$3:I$500),"")</f>
        <v/>
      </c>
      <c r="I32" s="112" t="n">
        <f aca="false">IFERROR(SUMIF('📝 Daily Log'!C$3:C$500,30,'📝 Daily Log'!J$3:J$500),"")</f>
        <v>0</v>
      </c>
      <c r="J32" s="115"/>
    </row>
    <row r="33" customFormat="false" ht="21.75" hidden="false" customHeight="true" outlineLevel="0" collapsed="false">
      <c r="B33" s="94" t="s">
        <v>175</v>
      </c>
      <c r="C33" s="124" t="n">
        <v>46327</v>
      </c>
      <c r="D33" s="110"/>
      <c r="E33" s="110"/>
      <c r="F33" s="110"/>
      <c r="G33" s="125" t="str">
        <f aca="false">IFERROR(COUNTIFS('📝 Daily Log'!C$3:C$500,31,'📝 Daily Log'!G$3:G$500,"✅ Done")/COUNTIF('📝 Daily Log'!C$3:C$500,31),"")</f>
        <v/>
      </c>
      <c r="H33" s="109" t="str">
        <f aca="false">IFERROR(AVERAGEIF('📝 Daily Log'!C$3:C$500,31,'📝 Daily Log'!I$3:I$500),"")</f>
        <v/>
      </c>
      <c r="I33" s="106" t="n">
        <f aca="false">IFERROR(SUMIF('📝 Daily Log'!C$3:C$500,31,'📝 Daily Log'!J$3:J$500),"")</f>
        <v>0</v>
      </c>
      <c r="J33" s="110"/>
    </row>
    <row r="34" customFormat="false" ht="21.75" hidden="false" customHeight="true" outlineLevel="0" collapsed="false">
      <c r="B34" s="91" t="s">
        <v>176</v>
      </c>
      <c r="C34" s="126" t="n">
        <v>46334</v>
      </c>
      <c r="D34" s="115"/>
      <c r="E34" s="115"/>
      <c r="F34" s="115"/>
      <c r="G34" s="127" t="str">
        <f aca="false">IFERROR(COUNTIFS('📝 Daily Log'!C$3:C$500,32,'📝 Daily Log'!G$3:G$500,"✅ Done")/COUNTIF('📝 Daily Log'!C$3:C$500,32),"")</f>
        <v/>
      </c>
      <c r="H34" s="114" t="str">
        <f aca="false">IFERROR(AVERAGEIF('📝 Daily Log'!C$3:C$500,32,'📝 Daily Log'!I$3:I$500),"")</f>
        <v/>
      </c>
      <c r="I34" s="112" t="n">
        <f aca="false">IFERROR(SUMIF('📝 Daily Log'!C$3:C$500,32,'📝 Daily Log'!J$3:J$500),"")</f>
        <v>0</v>
      </c>
      <c r="J34" s="115"/>
    </row>
    <row r="35" customFormat="false" ht="21.75" hidden="false" customHeight="true" outlineLevel="0" collapsed="false">
      <c r="B35" s="94" t="s">
        <v>177</v>
      </c>
      <c r="C35" s="124" t="n">
        <v>46341</v>
      </c>
      <c r="D35" s="110"/>
      <c r="E35" s="110"/>
      <c r="F35" s="110"/>
      <c r="G35" s="125" t="str">
        <f aca="false">IFERROR(COUNTIFS('📝 Daily Log'!C$3:C$500,33,'📝 Daily Log'!G$3:G$500,"✅ Done")/COUNTIF('📝 Daily Log'!C$3:C$500,33),"")</f>
        <v/>
      </c>
      <c r="H35" s="109" t="str">
        <f aca="false">IFERROR(AVERAGEIF('📝 Daily Log'!C$3:C$500,33,'📝 Daily Log'!I$3:I$500),"")</f>
        <v/>
      </c>
      <c r="I35" s="106" t="n">
        <f aca="false">IFERROR(SUMIF('📝 Daily Log'!C$3:C$500,33,'📝 Daily Log'!J$3:J$500),"")</f>
        <v>0</v>
      </c>
      <c r="J35" s="110"/>
    </row>
    <row r="36" customFormat="false" ht="21.75" hidden="false" customHeight="true" outlineLevel="0" collapsed="false">
      <c r="B36" s="91" t="s">
        <v>178</v>
      </c>
      <c r="C36" s="126" t="n">
        <v>46348</v>
      </c>
      <c r="D36" s="115"/>
      <c r="E36" s="115"/>
      <c r="F36" s="115"/>
      <c r="G36" s="127" t="str">
        <f aca="false">IFERROR(COUNTIFS('📝 Daily Log'!C$3:C$500,34,'📝 Daily Log'!G$3:G$500,"✅ Done")/COUNTIF('📝 Daily Log'!C$3:C$500,34),"")</f>
        <v/>
      </c>
      <c r="H36" s="114" t="str">
        <f aca="false">IFERROR(AVERAGEIF('📝 Daily Log'!C$3:C$500,34,'📝 Daily Log'!I$3:I$500),"")</f>
        <v/>
      </c>
      <c r="I36" s="112" t="n">
        <f aca="false">IFERROR(SUMIF('📝 Daily Log'!C$3:C$500,34,'📝 Daily Log'!J$3:J$500),"")</f>
        <v>0</v>
      </c>
      <c r="J36" s="115"/>
    </row>
    <row r="37" customFormat="false" ht="21.75" hidden="false" customHeight="true" outlineLevel="0" collapsed="false">
      <c r="B37" s="94" t="s">
        <v>179</v>
      </c>
      <c r="C37" s="124" t="n">
        <v>46355</v>
      </c>
      <c r="D37" s="110"/>
      <c r="E37" s="110"/>
      <c r="F37" s="110"/>
      <c r="G37" s="125" t="str">
        <f aca="false">IFERROR(COUNTIFS('📝 Daily Log'!C$3:C$500,35,'📝 Daily Log'!G$3:G$500,"✅ Done")/COUNTIF('📝 Daily Log'!C$3:C$500,35),"")</f>
        <v/>
      </c>
      <c r="H37" s="109" t="str">
        <f aca="false">IFERROR(AVERAGEIF('📝 Daily Log'!C$3:C$500,35,'📝 Daily Log'!I$3:I$500),"")</f>
        <v/>
      </c>
      <c r="I37" s="106" t="n">
        <f aca="false">IFERROR(SUMIF('📝 Daily Log'!C$3:C$500,35,'📝 Daily Log'!J$3:J$500),"")</f>
        <v>0</v>
      </c>
      <c r="J37" s="110"/>
    </row>
    <row r="38" customFormat="false" ht="21.75" hidden="false" customHeight="true" outlineLevel="0" collapsed="false">
      <c r="B38" s="91" t="s">
        <v>180</v>
      </c>
      <c r="C38" s="126" t="n">
        <v>46362</v>
      </c>
      <c r="D38" s="115"/>
      <c r="E38" s="115"/>
      <c r="F38" s="115"/>
      <c r="G38" s="127" t="str">
        <f aca="false">IFERROR(COUNTIFS('📝 Daily Log'!C$3:C$500,36,'📝 Daily Log'!G$3:G$500,"✅ Done")/COUNTIF('📝 Daily Log'!C$3:C$500,36),"")</f>
        <v/>
      </c>
      <c r="H38" s="114" t="str">
        <f aca="false">IFERROR(AVERAGEIF('📝 Daily Log'!C$3:C$500,36,'📝 Daily Log'!I$3:I$500),"")</f>
        <v/>
      </c>
      <c r="I38" s="112" t="n">
        <f aca="false">IFERROR(SUMIF('📝 Daily Log'!C$3:C$500,36,'📝 Daily Log'!J$3:J$500),"")</f>
        <v>0</v>
      </c>
      <c r="J38" s="115"/>
    </row>
    <row r="39" customFormat="false" ht="21.75" hidden="false" customHeight="true" outlineLevel="0" collapsed="false">
      <c r="B39" s="94" t="s">
        <v>181</v>
      </c>
      <c r="C39" s="124" t="n">
        <v>46369</v>
      </c>
      <c r="D39" s="110"/>
      <c r="E39" s="110"/>
      <c r="F39" s="110"/>
      <c r="G39" s="125" t="str">
        <f aca="false">IFERROR(COUNTIFS('📝 Daily Log'!C$3:C$500,37,'📝 Daily Log'!G$3:G$500,"✅ Done")/COUNTIF('📝 Daily Log'!C$3:C$500,37),"")</f>
        <v/>
      </c>
      <c r="H39" s="109" t="str">
        <f aca="false">IFERROR(AVERAGEIF('📝 Daily Log'!C$3:C$500,37,'📝 Daily Log'!I$3:I$500),"")</f>
        <v/>
      </c>
      <c r="I39" s="106" t="n">
        <f aca="false">IFERROR(SUMIF('📝 Daily Log'!C$3:C$500,37,'📝 Daily Log'!J$3:J$500),"")</f>
        <v>0</v>
      </c>
      <c r="J39" s="110"/>
    </row>
    <row r="40" customFormat="false" ht="21.75" hidden="false" customHeight="true" outlineLevel="0" collapsed="false">
      <c r="B40" s="91" t="s">
        <v>182</v>
      </c>
      <c r="C40" s="126" t="n">
        <v>46376</v>
      </c>
      <c r="D40" s="115"/>
      <c r="E40" s="115"/>
      <c r="F40" s="115"/>
      <c r="G40" s="127" t="str">
        <f aca="false">IFERROR(COUNTIFS('📝 Daily Log'!C$3:C$500,38,'📝 Daily Log'!G$3:G$500,"✅ Done")/COUNTIF('📝 Daily Log'!C$3:C$500,38),"")</f>
        <v/>
      </c>
      <c r="H40" s="114" t="str">
        <f aca="false">IFERROR(AVERAGEIF('📝 Daily Log'!C$3:C$500,38,'📝 Daily Log'!I$3:I$500),"")</f>
        <v/>
      </c>
      <c r="I40" s="112" t="n">
        <f aca="false">IFERROR(SUMIF('📝 Daily Log'!C$3:C$500,38,'📝 Daily Log'!J$3:J$500),"")</f>
        <v>0</v>
      </c>
      <c r="J40" s="115"/>
    </row>
    <row r="41" customFormat="false" ht="21.75" hidden="false" customHeight="true" outlineLevel="0" collapsed="false">
      <c r="B41" s="94" t="s">
        <v>183</v>
      </c>
      <c r="C41" s="124" t="n">
        <v>46383</v>
      </c>
      <c r="D41" s="110"/>
      <c r="E41" s="110"/>
      <c r="F41" s="110"/>
      <c r="G41" s="125" t="str">
        <f aca="false">IFERROR(COUNTIFS('📝 Daily Log'!C$3:C$500,39,'📝 Daily Log'!G$3:G$500,"✅ Done")/COUNTIF('📝 Daily Log'!C$3:C$500,39),"")</f>
        <v/>
      </c>
      <c r="H41" s="109" t="str">
        <f aca="false">IFERROR(AVERAGEIF('📝 Daily Log'!C$3:C$500,39,'📝 Daily Log'!I$3:I$500),"")</f>
        <v/>
      </c>
      <c r="I41" s="106" t="n">
        <f aca="false">IFERROR(SUMIF('📝 Daily Log'!C$3:C$500,39,'📝 Daily Log'!J$3:J$500),"")</f>
        <v>0</v>
      </c>
      <c r="J41" s="110"/>
    </row>
  </sheetData>
  <mergeCells count="1">
    <mergeCell ref="A1:J1"/>
  </mergeCells>
  <conditionalFormatting sqref="G3:G41">
    <cfRule type="colorScale" priority="2">
      <colorScale>
        <cfvo type="num" val="0"/>
        <cfvo type="num" val="0.7"/>
        <cfvo type="num" val="1"/>
        <color rgb="FFF1948A"/>
        <color rgb="FFF9E79F"/>
        <color rgb="FF82E0A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3483"/>
    <pageSetUpPr fitToPage="false"/>
  </sheetPr>
  <dimension ref="A1:V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9" min="2" style="1" width="8"/>
  </cols>
  <sheetData>
    <row r="1" customFormat="false" ht="25.5" hidden="false" customHeight="true" outlineLevel="0" collapsed="false">
      <c r="A1" s="128" t="s">
        <v>184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</row>
    <row r="3" customFormat="false" ht="13.5" hidden="false" customHeight="true" outlineLevel="0" collapsed="false">
      <c r="B3" s="129" t="s">
        <v>185</v>
      </c>
      <c r="C3" s="129"/>
      <c r="D3" s="129"/>
      <c r="E3" s="130" t="s">
        <v>186</v>
      </c>
      <c r="F3" s="130"/>
      <c r="G3" s="130"/>
      <c r="H3" s="131" t="s">
        <v>187</v>
      </c>
      <c r="I3" s="131"/>
      <c r="J3" s="131"/>
      <c r="K3" s="132" t="s">
        <v>188</v>
      </c>
      <c r="L3" s="132"/>
      <c r="M3" s="132"/>
      <c r="N3" s="133" t="s">
        <v>189</v>
      </c>
      <c r="O3" s="133"/>
      <c r="P3" s="133"/>
      <c r="Q3" s="134" t="s">
        <v>190</v>
      </c>
      <c r="R3" s="134"/>
      <c r="S3" s="134"/>
    </row>
    <row r="4" customFormat="false" ht="27.75" hidden="false" customHeight="true" outlineLevel="0" collapsed="false">
      <c r="B4" s="135" t="n">
        <f aca="false">IFERROR(SUM('📝 Daily Log'!H3:H500),0)</f>
        <v>10.5</v>
      </c>
      <c r="C4" s="135"/>
      <c r="D4" s="135"/>
      <c r="E4" s="136" t="n">
        <f aca="false">IFERROR(COUNTIF('📝 Daily Log'!G3:G500,"✅ Done"),0)</f>
        <v>4</v>
      </c>
      <c r="F4" s="136"/>
      <c r="G4" s="136"/>
      <c r="H4" s="137" t="n">
        <f aca="false">IFERROR(COUNTIF('📝 Daily Log'!G3:G500,"❌ Missed"),0)</f>
        <v>0</v>
      </c>
      <c r="I4" s="137"/>
      <c r="J4" s="137"/>
      <c r="K4" s="138" t="n">
        <f aca="false">IFERROR(SUM('📝 Daily Log'!J3:J500),0)</f>
        <v>30</v>
      </c>
      <c r="L4" s="138"/>
      <c r="M4" s="138"/>
      <c r="N4" s="139" t="n">
        <f aca="false">IFERROR(AVERAGEIF('📝 Daily Log'!G3:G500,"✅ Done",'📝 Daily Log'!I3:I500),0)</f>
        <v>3.75</v>
      </c>
      <c r="O4" s="139"/>
      <c r="P4" s="139"/>
      <c r="Q4" s="140" t="n">
        <f aca="false">IFERROR(COUNTA(unique('📝 Daily Log'!C3:C500))-IF(COUNTIF('📝 Daily Log'!C3:C500,"")&gt;0,1,0),0)</f>
        <v>0</v>
      </c>
      <c r="R4" s="140"/>
      <c r="S4" s="140"/>
    </row>
    <row r="5" customFormat="false" ht="13.5" hidden="false" customHeight="true" outlineLevel="0" collapsed="false">
      <c r="B5" s="141"/>
      <c r="C5" s="141"/>
      <c r="D5" s="141"/>
      <c r="E5" s="142"/>
      <c r="F5" s="142"/>
      <c r="G5" s="142"/>
      <c r="H5" s="143"/>
      <c r="I5" s="143"/>
      <c r="J5" s="143"/>
      <c r="K5" s="144"/>
      <c r="L5" s="144"/>
      <c r="M5" s="144"/>
      <c r="N5" s="145"/>
      <c r="O5" s="145"/>
      <c r="P5" s="145"/>
      <c r="Q5" s="146"/>
      <c r="R5" s="146"/>
      <c r="S5" s="146"/>
    </row>
    <row r="8" customFormat="false" ht="18" hidden="false" customHeight="true" outlineLevel="0" collapsed="false">
      <c r="B8" s="34" t="s">
        <v>191</v>
      </c>
      <c r="C8" s="34"/>
      <c r="D8" s="34"/>
      <c r="E8" s="34"/>
      <c r="F8" s="34"/>
      <c r="G8" s="34"/>
      <c r="H8" s="34"/>
      <c r="I8" s="34"/>
      <c r="J8" s="34"/>
      <c r="K8" s="34"/>
    </row>
    <row r="9" customFormat="false" ht="27.75" hidden="false" customHeight="true" outlineLevel="0" collapsed="false">
      <c r="B9" s="147" t="s">
        <v>44</v>
      </c>
      <c r="C9" s="147"/>
      <c r="D9" s="148" t="s">
        <v>192</v>
      </c>
      <c r="E9" s="148"/>
      <c r="F9" s="147" t="s">
        <v>113</v>
      </c>
      <c r="G9" s="147"/>
      <c r="H9" s="147" t="s">
        <v>193</v>
      </c>
      <c r="I9" s="147"/>
      <c r="J9" s="147" t="s">
        <v>194</v>
      </c>
      <c r="K9" s="147"/>
      <c r="L9" s="147" t="s">
        <v>195</v>
      </c>
      <c r="M9" s="147"/>
    </row>
    <row r="10" customFormat="false" ht="15.75" hidden="false" customHeight="true" outlineLevel="0" collapsed="false">
      <c r="B10" s="149" t="s">
        <v>120</v>
      </c>
      <c r="C10" s="149"/>
      <c r="D10" s="150" t="n">
        <f aca="false">IFERROR(COUNTIFS('📝 Daily Log'!F$3:F$500,"M1 - Python/SQL",'📝 Daily Log'!G$3:G$500,"✅ Done"),0)</f>
        <v>4</v>
      </c>
      <c r="E10" s="150"/>
      <c r="F10" s="151" t="n">
        <f aca="false">IFERROR(SUMIF('📝 Daily Log'!F$3:F$500,"M1 - Python/SQL",'📝 Daily Log'!H$3:H$500),0)</f>
        <v>10.5</v>
      </c>
      <c r="G10" s="151"/>
      <c r="H10" s="151" t="n">
        <f aca="false">IFERROR(AVERAGEIFS('📝 Daily Log'!I$3:I$500,'📝 Daily Log'!F$3:F$500,"M1 - Python/SQL",'📝 Daily Log'!I$3:I$500,"&lt;&gt;"),"")</f>
        <v>3.6</v>
      </c>
      <c r="I10" s="151"/>
      <c r="J10" s="150" t="n">
        <f aca="false">IFERROR(SUMIF('📝 Daily Log'!F$3:F$500,"M1 - Python/SQL",'📝 Daily Log'!J$3:J$500),0)</f>
        <v>30</v>
      </c>
      <c r="K10" s="150"/>
      <c r="L10" s="152" t="n">
        <f aca="false">IFERROR(COUNTIFS('📝 Daily Log'!F$3:F$500,"M1 - Python/SQL",'📝 Daily Log'!G$3:G$500,"✅ Done")/COUNTIF('📝 Daily Log'!F$3:F$500,"M1 - Python/SQL"),"")</f>
        <v>0.8</v>
      </c>
      <c r="M10" s="152"/>
    </row>
    <row r="11" customFormat="false" ht="15.75" hidden="false" customHeight="true" outlineLevel="0" collapsed="false">
      <c r="B11" s="153" t="s">
        <v>196</v>
      </c>
      <c r="C11" s="153"/>
      <c r="D11" s="150" t="n">
        <f aca="false">IFERROR(COUNTIFS('📝 Daily Log'!F$3:F$500,"M2 - Spark",'📝 Daily Log'!G$3:G$500,"✅ Done"),0)</f>
        <v>0</v>
      </c>
      <c r="E11" s="150"/>
      <c r="F11" s="151" t="n">
        <f aca="false">IFERROR(SUMIF('📝 Daily Log'!F$3:F$500,"M2 - Spark",'📝 Daily Log'!H$3:H$500),0)</f>
        <v>0</v>
      </c>
      <c r="G11" s="151"/>
      <c r="H11" s="151" t="str">
        <f aca="false">IFERROR(AVERAGEIFS('📝 Daily Log'!I$3:I$500,'📝 Daily Log'!F$3:F$500,"M2 - Spark",'📝 Daily Log'!I$3:I$500,"&lt;&gt;"),"")</f>
        <v/>
      </c>
      <c r="I11" s="151"/>
      <c r="J11" s="150" t="n">
        <f aca="false">IFERROR(SUMIF('📝 Daily Log'!F$3:F$500,"M2 - Spark",'📝 Daily Log'!J$3:J$500),0)</f>
        <v>0</v>
      </c>
      <c r="K11" s="150"/>
      <c r="L11" s="152" t="str">
        <f aca="false">IFERROR(COUNTIFS('📝 Daily Log'!F$3:F$500,"M2 - Spark",'📝 Daily Log'!G$3:G$500,"✅ Done")/COUNTIF('📝 Daily Log'!F$3:F$500,"M2 - Spark"),"")</f>
        <v/>
      </c>
      <c r="M11" s="152"/>
    </row>
    <row r="12" customFormat="false" ht="15.75" hidden="false" customHeight="true" outlineLevel="0" collapsed="false">
      <c r="B12" s="154" t="s">
        <v>197</v>
      </c>
      <c r="C12" s="154"/>
      <c r="D12" s="150" t="n">
        <f aca="false">IFERROR(COUNTIFS('📝 Daily Log'!F$3:F$500,"M3 - Kafka",'📝 Daily Log'!G$3:G$500,"✅ Done"),0)</f>
        <v>0</v>
      </c>
      <c r="E12" s="150"/>
      <c r="F12" s="151" t="n">
        <f aca="false">IFERROR(SUMIF('📝 Daily Log'!F$3:F$500,"M3 - Kafka",'📝 Daily Log'!H$3:H$500),0)</f>
        <v>0</v>
      </c>
      <c r="G12" s="151"/>
      <c r="H12" s="151" t="str">
        <f aca="false">IFERROR(AVERAGEIFS('📝 Daily Log'!I$3:I$500,'📝 Daily Log'!F$3:F$500,"M3 - Kafka",'📝 Daily Log'!I$3:I$500,"&lt;&gt;"),"")</f>
        <v/>
      </c>
      <c r="I12" s="151"/>
      <c r="J12" s="150" t="n">
        <f aca="false">IFERROR(SUMIF('📝 Daily Log'!F$3:F$500,"M3 - Kafka",'📝 Daily Log'!J$3:J$500),0)</f>
        <v>0</v>
      </c>
      <c r="K12" s="150"/>
      <c r="L12" s="152" t="str">
        <f aca="false">IFERROR(COUNTIFS('📝 Daily Log'!F$3:F$500,"M3 - Kafka",'📝 Daily Log'!G$3:G$500,"✅ Done")/COUNTIF('📝 Daily Log'!F$3:F$500,"M3 - Kafka"),"")</f>
        <v/>
      </c>
      <c r="M12" s="152"/>
    </row>
    <row r="13" customFormat="false" ht="15.75" hidden="false" customHeight="true" outlineLevel="0" collapsed="false">
      <c r="B13" s="155" t="s">
        <v>198</v>
      </c>
      <c r="C13" s="155"/>
      <c r="D13" s="150" t="n">
        <f aca="false">IFERROR(COUNTIFS('📝 Daily Log'!F$3:F$500,"M4 - Cloud",'📝 Daily Log'!G$3:G$500,"✅ Done"),0)</f>
        <v>0</v>
      </c>
      <c r="E13" s="150"/>
      <c r="F13" s="151" t="n">
        <f aca="false">IFERROR(SUMIF('📝 Daily Log'!F$3:F$500,"M4 - Cloud",'📝 Daily Log'!H$3:H$500),0)</f>
        <v>0</v>
      </c>
      <c r="G13" s="151"/>
      <c r="H13" s="151" t="str">
        <f aca="false">IFERROR(AVERAGEIFS('📝 Daily Log'!I$3:I$500,'📝 Daily Log'!F$3:F$500,"M4 - Cloud",'📝 Daily Log'!I$3:I$500,"&lt;&gt;"),"")</f>
        <v/>
      </c>
      <c r="I13" s="151"/>
      <c r="J13" s="150" t="n">
        <f aca="false">IFERROR(SUMIF('📝 Daily Log'!F$3:F$500,"M4 - Cloud",'📝 Daily Log'!J$3:J$500),0)</f>
        <v>0</v>
      </c>
      <c r="K13" s="150"/>
      <c r="L13" s="152" t="str">
        <f aca="false">IFERROR(COUNTIFS('📝 Daily Log'!F$3:F$500,"M4 - Cloud",'📝 Daily Log'!G$3:G$500,"✅ Done")/COUNTIF('📝 Daily Log'!F$3:F$500,"M4 - Cloud"),"")</f>
        <v/>
      </c>
      <c r="M13" s="152"/>
    </row>
    <row r="14" customFormat="false" ht="15.75" hidden="false" customHeight="true" outlineLevel="0" collapsed="false">
      <c r="B14" s="156" t="s">
        <v>199</v>
      </c>
      <c r="C14" s="156"/>
      <c r="D14" s="150" t="n">
        <f aca="false">IFERROR(COUNTIFS('📝 Daily Log'!F$3:F$500,"M5 - SysDesign",'📝 Daily Log'!G$3:G$500,"✅ Done"),0)</f>
        <v>0</v>
      </c>
      <c r="E14" s="150"/>
      <c r="F14" s="151" t="n">
        <f aca="false">IFERROR(SUMIF('📝 Daily Log'!F$3:F$500,"M5 - SysDesign",'📝 Daily Log'!H$3:H$500),0)</f>
        <v>0</v>
      </c>
      <c r="G14" s="151"/>
      <c r="H14" s="151" t="str">
        <f aca="false">IFERROR(AVERAGEIFS('📝 Daily Log'!I$3:I$500,'📝 Daily Log'!F$3:F$500,"M5 - SysDesign",'📝 Daily Log'!I$3:I$500,"&lt;&gt;"),"")</f>
        <v/>
      </c>
      <c r="I14" s="151"/>
      <c r="J14" s="150" t="n">
        <f aca="false">IFERROR(SUMIF('📝 Daily Log'!F$3:F$500,"M5 - SysDesign",'📝 Daily Log'!J$3:J$500),0)</f>
        <v>0</v>
      </c>
      <c r="K14" s="150"/>
      <c r="L14" s="152" t="str">
        <f aca="false">IFERROR(COUNTIFS('📝 Daily Log'!F$3:F$500,"M5 - SysDesign",'📝 Daily Log'!G$3:G$500,"✅ Done")/COUNTIF('📝 Daily Log'!F$3:F$500,"M5 - SysDesign"),"")</f>
        <v/>
      </c>
      <c r="M14" s="152"/>
    </row>
    <row r="15" customFormat="false" ht="15.75" hidden="false" customHeight="true" outlineLevel="0" collapsed="false">
      <c r="B15" s="157" t="s">
        <v>200</v>
      </c>
      <c r="C15" s="157"/>
      <c r="D15" s="150" t="n">
        <f aca="false">IFERROR(COUNTIFS('📝 Daily Log'!F$3:F$500,"M6 - Interview",'📝 Daily Log'!G$3:G$500,"✅ Done"),0)</f>
        <v>0</v>
      </c>
      <c r="E15" s="150"/>
      <c r="F15" s="151" t="n">
        <f aca="false">IFERROR(SUMIF('📝 Daily Log'!F$3:F$500,"M6 - Interview",'📝 Daily Log'!H$3:H$500),0)</f>
        <v>0</v>
      </c>
      <c r="G15" s="151"/>
      <c r="H15" s="151" t="str">
        <f aca="false">IFERROR(AVERAGEIFS('📝 Daily Log'!I$3:I$500,'📝 Daily Log'!F$3:F$500,"M6 - Interview",'📝 Daily Log'!I$3:I$500,"&lt;&gt;"),"")</f>
        <v/>
      </c>
      <c r="I15" s="151"/>
      <c r="J15" s="150" t="n">
        <f aca="false">IFERROR(SUMIF('📝 Daily Log'!F$3:F$500,"M6 - Interview",'📝 Daily Log'!J$3:J$500),0)</f>
        <v>0</v>
      </c>
      <c r="K15" s="150"/>
      <c r="L15" s="152" t="str">
        <f aca="false">IFERROR(COUNTIFS('📝 Daily Log'!F$3:F$500,"M6 - Interview",'📝 Daily Log'!G$3:G$500,"✅ Done")/COUNTIF('📝 Daily Log'!F$3:F$500,"M6 - Interview"),"")</f>
        <v/>
      </c>
      <c r="M15" s="152"/>
    </row>
    <row r="16" customFormat="false" ht="15.75" hidden="false" customHeight="true" outlineLevel="0" collapsed="false">
      <c r="B16" s="156" t="s">
        <v>201</v>
      </c>
      <c r="C16" s="156"/>
      <c r="D16" s="150" t="n">
        <f aca="false">IFERROR(COUNTIFS('📝 Daily Log'!F$3:F$500,"M7 - LLM",'📝 Daily Log'!G$3:G$500,"✅ Done"),0)</f>
        <v>0</v>
      </c>
      <c r="E16" s="150"/>
      <c r="F16" s="151" t="n">
        <f aca="false">IFERROR(SUMIF('📝 Daily Log'!F$3:F$500,"M7 - LLM",'📝 Daily Log'!H$3:H$500),0)</f>
        <v>0</v>
      </c>
      <c r="G16" s="151"/>
      <c r="H16" s="151" t="str">
        <f aca="false">IFERROR(AVERAGEIFS('📝 Daily Log'!I$3:I$500,'📝 Daily Log'!F$3:F$500,"M7 - LLM",'📝 Daily Log'!I$3:I$500,"&lt;&gt;"),"")</f>
        <v/>
      </c>
      <c r="I16" s="151"/>
      <c r="J16" s="150" t="n">
        <f aca="false">IFERROR(SUMIF('📝 Daily Log'!F$3:F$500,"M7 - LLM",'📝 Daily Log'!J$3:J$500),0)</f>
        <v>0</v>
      </c>
      <c r="K16" s="150"/>
      <c r="L16" s="152" t="str">
        <f aca="false">IFERROR(COUNTIFS('📝 Daily Log'!F$3:F$500,"M7 - LLM",'📝 Daily Log'!G$3:G$500,"✅ Done")/COUNTIF('📝 Daily Log'!F$3:F$500,"M7 - LLM"),"")</f>
        <v/>
      </c>
      <c r="M16" s="152"/>
    </row>
    <row r="17" customFormat="false" ht="15.75" hidden="false" customHeight="true" outlineLevel="0" collapsed="false">
      <c r="B17" s="153" t="s">
        <v>202</v>
      </c>
      <c r="C17" s="153"/>
      <c r="D17" s="150" t="n">
        <f aca="false">IFERROR(COUNTIFS('📝 Daily Log'!F$3:F$500,"M8 - Agents",'📝 Daily Log'!G$3:G$500,"✅ Done"),0)</f>
        <v>0</v>
      </c>
      <c r="E17" s="150"/>
      <c r="F17" s="151" t="n">
        <f aca="false">IFERROR(SUMIF('📝 Daily Log'!F$3:F$500,"M8 - Agents",'📝 Daily Log'!H$3:H$500),0)</f>
        <v>0</v>
      </c>
      <c r="G17" s="151"/>
      <c r="H17" s="151" t="str">
        <f aca="false">IFERROR(AVERAGEIFS('📝 Daily Log'!I$3:I$500,'📝 Daily Log'!F$3:F$500,"M8 - Agents",'📝 Daily Log'!I$3:I$500,"&lt;&gt;"),"")</f>
        <v/>
      </c>
      <c r="I17" s="151"/>
      <c r="J17" s="150" t="n">
        <f aca="false">IFERROR(SUMIF('📝 Daily Log'!F$3:F$500,"M8 - Agents",'📝 Daily Log'!J$3:J$500),0)</f>
        <v>0</v>
      </c>
      <c r="K17" s="150"/>
      <c r="L17" s="152" t="str">
        <f aca="false">IFERROR(COUNTIFS('📝 Daily Log'!F$3:F$500,"M8 - Agents",'📝 Daily Log'!G$3:G$500,"✅ Done")/COUNTIF('📝 Daily Log'!F$3:F$500,"M8 - Agents"),"")</f>
        <v/>
      </c>
      <c r="M17" s="152"/>
    </row>
    <row r="18" customFormat="false" ht="15.75" hidden="false" customHeight="true" outlineLevel="0" collapsed="false">
      <c r="B18" s="155" t="s">
        <v>203</v>
      </c>
      <c r="C18" s="155"/>
      <c r="D18" s="150" t="n">
        <f aca="false">IFERROR(COUNTIFS('📝 Daily Log'!F$3:F$500,"M9 - LLMOps",'📝 Daily Log'!G$3:G$500,"✅ Done"),0)</f>
        <v>0</v>
      </c>
      <c r="E18" s="150"/>
      <c r="F18" s="151" t="n">
        <f aca="false">IFERROR(SUMIF('📝 Daily Log'!F$3:F$500,"M9 - LLMOps",'📝 Daily Log'!H$3:H$500),0)</f>
        <v>0</v>
      </c>
      <c r="G18" s="151"/>
      <c r="H18" s="151" t="str">
        <f aca="false">IFERROR(AVERAGEIFS('📝 Daily Log'!I$3:I$500,'📝 Daily Log'!F$3:F$500,"M9 - LLMOps",'📝 Daily Log'!I$3:I$500,"&lt;&gt;"),"")</f>
        <v/>
      </c>
      <c r="I18" s="151"/>
      <c r="J18" s="150" t="n">
        <f aca="false">IFERROR(SUMIF('📝 Daily Log'!F$3:F$500,"M9 - LLMOps",'📝 Daily Log'!J$3:J$500),0)</f>
        <v>0</v>
      </c>
      <c r="K18" s="150"/>
      <c r="L18" s="152" t="str">
        <f aca="false">IFERROR(COUNTIFS('📝 Daily Log'!F$3:F$500,"M9 - LLMOps",'📝 Daily Log'!G$3:G$500,"✅ Done")/COUNTIF('📝 Daily Log'!F$3:F$500,"M9 - LLMOps"),"")</f>
        <v/>
      </c>
      <c r="M18" s="152"/>
    </row>
    <row r="20" customFormat="false" ht="15.75" hidden="false" customHeight="true" outlineLevel="0" collapsed="false">
      <c r="B20" s="158" t="s">
        <v>204</v>
      </c>
      <c r="C20" s="158"/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</row>
    <row r="21" customFormat="false" ht="15" hidden="false" customHeight="true" outlineLevel="0" collapsed="false">
      <c r="B21" s="159" t="s">
        <v>137</v>
      </c>
      <c r="C21" s="159" t="s">
        <v>113</v>
      </c>
      <c r="D21" s="159" t="s">
        <v>205</v>
      </c>
      <c r="E21" s="159" t="s">
        <v>206</v>
      </c>
      <c r="F21" s="159" t="s">
        <v>207</v>
      </c>
    </row>
    <row r="22" customFormat="false" ht="13.5" hidden="false" customHeight="true" outlineLevel="0" collapsed="false">
      <c r="B22" s="96" t="s">
        <v>145</v>
      </c>
      <c r="C22" s="160" t="n">
        <f aca="false">'🔢 Stats (Do Not Edit)'!B2</f>
        <v>10.5</v>
      </c>
      <c r="D22" s="161" t="n">
        <f aca="false">IFERROR(C22-14,"")</f>
        <v>-3.5</v>
      </c>
      <c r="E22" s="162" t="s">
        <v>26</v>
      </c>
      <c r="F22" s="162" t="str">
        <f aca="false">IFERROR(IF(C22&gt;=14,"✅ On track",IF(C22&gt;=10,"⚠️ Low","❌ Behind")),"—")</f>
        <v>⚠️ Low</v>
      </c>
    </row>
    <row r="23" customFormat="false" ht="13.5" hidden="false" customHeight="true" outlineLevel="0" collapsed="false">
      <c r="B23" s="93" t="s">
        <v>146</v>
      </c>
      <c r="C23" s="163" t="n">
        <f aca="false">'🔢 Stats (Do Not Edit)'!B3</f>
        <v>0</v>
      </c>
      <c r="D23" s="164" t="n">
        <f aca="false">IFERROR(C23-14,"")</f>
        <v>-14</v>
      </c>
      <c r="E23" s="164" t="n">
        <f aca="false">IFERROR(C23-C22,"")</f>
        <v>-10.5</v>
      </c>
      <c r="F23" s="165" t="str">
        <f aca="false">IFERROR(IF(C23&gt;=14,"✅ On track",IF(C23&gt;=10,"⚠️ Low","❌ Behind")),"—")</f>
        <v>❌ Behind</v>
      </c>
    </row>
    <row r="24" customFormat="false" ht="13.5" hidden="false" customHeight="true" outlineLevel="0" collapsed="false">
      <c r="B24" s="96" t="s">
        <v>147</v>
      </c>
      <c r="C24" s="160" t="n">
        <f aca="false">'🔢 Stats (Do Not Edit)'!B4</f>
        <v>0</v>
      </c>
      <c r="D24" s="161" t="n">
        <f aca="false">IFERROR(C24-14,"")</f>
        <v>-14</v>
      </c>
      <c r="E24" s="161" t="n">
        <f aca="false">IFERROR(C24-C23,"")</f>
        <v>0</v>
      </c>
      <c r="F24" s="162" t="str">
        <f aca="false">IFERROR(IF(C24&gt;=14,"✅ On track",IF(C24&gt;=10,"⚠️ Low","❌ Behind")),"—")</f>
        <v>❌ Behind</v>
      </c>
    </row>
    <row r="25" customFormat="false" ht="13.5" hidden="false" customHeight="true" outlineLevel="0" collapsed="false">
      <c r="B25" s="93" t="s">
        <v>148</v>
      </c>
      <c r="C25" s="163" t="n">
        <f aca="false">'🔢 Stats (Do Not Edit)'!B5</f>
        <v>0</v>
      </c>
      <c r="D25" s="164" t="n">
        <f aca="false">IFERROR(C25-14,"")</f>
        <v>-14</v>
      </c>
      <c r="E25" s="164" t="n">
        <f aca="false">IFERROR(C25-C24,"")</f>
        <v>0</v>
      </c>
      <c r="F25" s="165" t="str">
        <f aca="false">IFERROR(IF(C25&gt;=14,"✅ On track",IF(C25&gt;=10,"⚠️ Low","❌ Behind")),"—")</f>
        <v>❌ Behind</v>
      </c>
    </row>
    <row r="26" customFormat="false" ht="13.5" hidden="false" customHeight="true" outlineLevel="0" collapsed="false">
      <c r="B26" s="96" t="s">
        <v>149</v>
      </c>
      <c r="C26" s="160" t="n">
        <f aca="false">'🔢 Stats (Do Not Edit)'!B6</f>
        <v>0</v>
      </c>
      <c r="D26" s="161" t="n">
        <f aca="false">IFERROR(C26-14,"")</f>
        <v>-14</v>
      </c>
      <c r="E26" s="161" t="n">
        <f aca="false">IFERROR(C26-C25,"")</f>
        <v>0</v>
      </c>
      <c r="F26" s="162" t="str">
        <f aca="false">IFERROR(IF(C26&gt;=14,"✅ On track",IF(C26&gt;=10,"⚠️ Low","❌ Behind")),"—")</f>
        <v>❌ Behind</v>
      </c>
    </row>
    <row r="27" customFormat="false" ht="13.5" hidden="false" customHeight="true" outlineLevel="0" collapsed="false">
      <c r="B27" s="93" t="s">
        <v>150</v>
      </c>
      <c r="C27" s="163" t="n">
        <f aca="false">'🔢 Stats (Do Not Edit)'!B7</f>
        <v>0</v>
      </c>
      <c r="D27" s="164" t="n">
        <f aca="false">IFERROR(C27-14,"")</f>
        <v>-14</v>
      </c>
      <c r="E27" s="164" t="n">
        <f aca="false">IFERROR(C27-C26,"")</f>
        <v>0</v>
      </c>
      <c r="F27" s="165" t="str">
        <f aca="false">IFERROR(IF(C27&gt;=14,"✅ On track",IF(C27&gt;=10,"⚠️ Low","❌ Behind")),"—")</f>
        <v>❌ Behind</v>
      </c>
    </row>
    <row r="28" customFormat="false" ht="13.5" hidden="false" customHeight="true" outlineLevel="0" collapsed="false">
      <c r="B28" s="96" t="s">
        <v>151</v>
      </c>
      <c r="C28" s="160" t="n">
        <f aca="false">'🔢 Stats (Do Not Edit)'!B8</f>
        <v>0</v>
      </c>
      <c r="D28" s="161" t="n">
        <f aca="false">IFERROR(C28-14,"")</f>
        <v>-14</v>
      </c>
      <c r="E28" s="161" t="n">
        <f aca="false">IFERROR(C28-C27,"")</f>
        <v>0</v>
      </c>
      <c r="F28" s="162" t="str">
        <f aca="false">IFERROR(IF(C28&gt;=14,"✅ On track",IF(C28&gt;=10,"⚠️ Low","❌ Behind")),"—")</f>
        <v>❌ Behind</v>
      </c>
    </row>
    <row r="29" customFormat="false" ht="13.5" hidden="false" customHeight="true" outlineLevel="0" collapsed="false">
      <c r="B29" s="93" t="s">
        <v>152</v>
      </c>
      <c r="C29" s="163" t="n">
        <f aca="false">'🔢 Stats (Do Not Edit)'!B9</f>
        <v>0</v>
      </c>
      <c r="D29" s="164" t="n">
        <f aca="false">IFERROR(C29-14,"")</f>
        <v>-14</v>
      </c>
      <c r="E29" s="164" t="n">
        <f aca="false">IFERROR(C29-C28,"")</f>
        <v>0</v>
      </c>
      <c r="F29" s="165" t="str">
        <f aca="false">IFERROR(IF(C29&gt;=14,"✅ On track",IF(C29&gt;=10,"⚠️ Low","❌ Behind")),"—")</f>
        <v>❌ Behind</v>
      </c>
    </row>
    <row r="30" customFormat="false" ht="13.5" hidden="false" customHeight="true" outlineLevel="0" collapsed="false">
      <c r="B30" s="96" t="s">
        <v>153</v>
      </c>
      <c r="C30" s="160" t="n">
        <f aca="false">'🔢 Stats (Do Not Edit)'!B10</f>
        <v>0</v>
      </c>
      <c r="D30" s="161" t="n">
        <f aca="false">IFERROR(C30-14,"")</f>
        <v>-14</v>
      </c>
      <c r="E30" s="161" t="n">
        <f aca="false">IFERROR(C30-C29,"")</f>
        <v>0</v>
      </c>
      <c r="F30" s="162" t="str">
        <f aca="false">IFERROR(IF(C30&gt;=14,"✅ On track",IF(C30&gt;=10,"⚠️ Low","❌ Behind")),"—")</f>
        <v>❌ Behind</v>
      </c>
    </row>
    <row r="31" customFormat="false" ht="13.5" hidden="false" customHeight="true" outlineLevel="0" collapsed="false">
      <c r="B31" s="93" t="s">
        <v>154</v>
      </c>
      <c r="C31" s="163" t="n">
        <f aca="false">'🔢 Stats (Do Not Edit)'!B11</f>
        <v>0</v>
      </c>
      <c r="D31" s="164" t="n">
        <f aca="false">IFERROR(C31-14,"")</f>
        <v>-14</v>
      </c>
      <c r="E31" s="164" t="n">
        <f aca="false">IFERROR(C31-C30,"")</f>
        <v>0</v>
      </c>
      <c r="F31" s="165" t="str">
        <f aca="false">IFERROR(IF(C31&gt;=14,"✅ On track",IF(C31&gt;=10,"⚠️ Low","❌ Behind")),"—")</f>
        <v>❌ Behind</v>
      </c>
    </row>
    <row r="32" customFormat="false" ht="13.5" hidden="false" customHeight="true" outlineLevel="0" collapsed="false">
      <c r="B32" s="96" t="s">
        <v>155</v>
      </c>
      <c r="C32" s="160" t="n">
        <f aca="false">'🔢 Stats (Do Not Edit)'!B12</f>
        <v>0</v>
      </c>
      <c r="D32" s="161" t="n">
        <f aca="false">IFERROR(C32-14,"")</f>
        <v>-14</v>
      </c>
      <c r="E32" s="161" t="n">
        <f aca="false">IFERROR(C32-C31,"")</f>
        <v>0</v>
      </c>
      <c r="F32" s="162" t="str">
        <f aca="false">IFERROR(IF(C32&gt;=14,"✅ On track",IF(C32&gt;=10,"⚠️ Low","❌ Behind")),"—")</f>
        <v>❌ Behind</v>
      </c>
    </row>
    <row r="33" customFormat="false" ht="13.5" hidden="false" customHeight="true" outlineLevel="0" collapsed="false">
      <c r="B33" s="93" t="s">
        <v>156</v>
      </c>
      <c r="C33" s="163" t="n">
        <f aca="false">'🔢 Stats (Do Not Edit)'!B13</f>
        <v>0</v>
      </c>
      <c r="D33" s="164" t="n">
        <f aca="false">IFERROR(C33-14,"")</f>
        <v>-14</v>
      </c>
      <c r="E33" s="164" t="n">
        <f aca="false">IFERROR(C33-C32,"")</f>
        <v>0</v>
      </c>
      <c r="F33" s="165" t="str">
        <f aca="false">IFERROR(IF(C33&gt;=14,"✅ On track",IF(C33&gt;=10,"⚠️ Low","❌ Behind")),"—")</f>
        <v>❌ Behind</v>
      </c>
    </row>
    <row r="34" customFormat="false" ht="13.5" hidden="false" customHeight="true" outlineLevel="0" collapsed="false">
      <c r="B34" s="96" t="s">
        <v>157</v>
      </c>
      <c r="C34" s="160" t="n">
        <f aca="false">'🔢 Stats (Do Not Edit)'!B14</f>
        <v>0</v>
      </c>
      <c r="D34" s="161" t="n">
        <f aca="false">IFERROR(C34-14,"")</f>
        <v>-14</v>
      </c>
      <c r="E34" s="161" t="n">
        <f aca="false">IFERROR(C34-C33,"")</f>
        <v>0</v>
      </c>
      <c r="F34" s="162" t="str">
        <f aca="false">IFERROR(IF(C34&gt;=14,"✅ On track",IF(C34&gt;=10,"⚠️ Low","❌ Behind")),"—")</f>
        <v>❌ Behind</v>
      </c>
    </row>
    <row r="35" customFormat="false" ht="13.5" hidden="false" customHeight="true" outlineLevel="0" collapsed="false">
      <c r="B35" s="93" t="s">
        <v>158</v>
      </c>
      <c r="C35" s="163" t="n">
        <f aca="false">'🔢 Stats (Do Not Edit)'!B15</f>
        <v>0</v>
      </c>
      <c r="D35" s="164" t="n">
        <f aca="false">IFERROR(C35-14,"")</f>
        <v>-14</v>
      </c>
      <c r="E35" s="164" t="n">
        <f aca="false">IFERROR(C35-C34,"")</f>
        <v>0</v>
      </c>
      <c r="F35" s="165" t="str">
        <f aca="false">IFERROR(IF(C35&gt;=14,"✅ On track",IF(C35&gt;=10,"⚠️ Low","❌ Behind")),"—")</f>
        <v>❌ Behind</v>
      </c>
    </row>
    <row r="36" customFormat="false" ht="13.5" hidden="false" customHeight="true" outlineLevel="0" collapsed="false">
      <c r="B36" s="96" t="s">
        <v>159</v>
      </c>
      <c r="C36" s="160" t="n">
        <f aca="false">'🔢 Stats (Do Not Edit)'!B16</f>
        <v>0</v>
      </c>
      <c r="D36" s="161" t="n">
        <f aca="false">IFERROR(C36-14,"")</f>
        <v>-14</v>
      </c>
      <c r="E36" s="161" t="n">
        <f aca="false">IFERROR(C36-C35,"")</f>
        <v>0</v>
      </c>
      <c r="F36" s="162" t="str">
        <f aca="false">IFERROR(IF(C36&gt;=14,"✅ On track",IF(C36&gt;=10,"⚠️ Low","❌ Behind")),"—")</f>
        <v>❌ Behind</v>
      </c>
    </row>
    <row r="37" customFormat="false" ht="13.5" hidden="false" customHeight="true" outlineLevel="0" collapsed="false">
      <c r="B37" s="93" t="s">
        <v>160</v>
      </c>
      <c r="C37" s="163" t="n">
        <f aca="false">'🔢 Stats (Do Not Edit)'!B17</f>
        <v>0</v>
      </c>
      <c r="D37" s="164" t="n">
        <f aca="false">IFERROR(C37-14,"")</f>
        <v>-14</v>
      </c>
      <c r="E37" s="164" t="n">
        <f aca="false">IFERROR(C37-C36,"")</f>
        <v>0</v>
      </c>
      <c r="F37" s="165" t="str">
        <f aca="false">IFERROR(IF(C37&gt;=14,"✅ On track",IF(C37&gt;=10,"⚠️ Low","❌ Behind")),"—")</f>
        <v>❌ Behind</v>
      </c>
    </row>
    <row r="38" customFormat="false" ht="13.5" hidden="false" customHeight="true" outlineLevel="0" collapsed="false">
      <c r="B38" s="96" t="s">
        <v>161</v>
      </c>
      <c r="C38" s="160" t="n">
        <f aca="false">'🔢 Stats (Do Not Edit)'!B18</f>
        <v>0</v>
      </c>
      <c r="D38" s="161" t="n">
        <f aca="false">IFERROR(C38-14,"")</f>
        <v>-14</v>
      </c>
      <c r="E38" s="161" t="n">
        <f aca="false">IFERROR(C38-C37,"")</f>
        <v>0</v>
      </c>
      <c r="F38" s="162" t="str">
        <f aca="false">IFERROR(IF(C38&gt;=14,"✅ On track",IF(C38&gt;=10,"⚠️ Low","❌ Behind")),"—")</f>
        <v>❌ Behind</v>
      </c>
    </row>
    <row r="39" customFormat="false" ht="13.5" hidden="false" customHeight="true" outlineLevel="0" collapsed="false">
      <c r="B39" s="93" t="s">
        <v>162</v>
      </c>
      <c r="C39" s="163" t="n">
        <f aca="false">'🔢 Stats (Do Not Edit)'!B19</f>
        <v>0</v>
      </c>
      <c r="D39" s="164" t="n">
        <f aca="false">IFERROR(C39-14,"")</f>
        <v>-14</v>
      </c>
      <c r="E39" s="164" t="n">
        <f aca="false">IFERROR(C39-C38,"")</f>
        <v>0</v>
      </c>
      <c r="F39" s="165" t="str">
        <f aca="false">IFERROR(IF(C39&gt;=14,"✅ On track",IF(C39&gt;=10,"⚠️ Low","❌ Behind")),"—")</f>
        <v>❌ Behind</v>
      </c>
    </row>
    <row r="40" customFormat="false" ht="13.5" hidden="false" customHeight="true" outlineLevel="0" collapsed="false">
      <c r="B40" s="96" t="s">
        <v>163</v>
      </c>
      <c r="C40" s="160" t="n">
        <f aca="false">'🔢 Stats (Do Not Edit)'!B20</f>
        <v>0</v>
      </c>
      <c r="D40" s="161" t="n">
        <f aca="false">IFERROR(C40-14,"")</f>
        <v>-14</v>
      </c>
      <c r="E40" s="161" t="n">
        <f aca="false">IFERROR(C40-C39,"")</f>
        <v>0</v>
      </c>
      <c r="F40" s="162" t="str">
        <f aca="false">IFERROR(IF(C40&gt;=14,"✅ On track",IF(C40&gt;=10,"⚠️ Low","❌ Behind")),"—")</f>
        <v>❌ Behind</v>
      </c>
    </row>
    <row r="41" customFormat="false" ht="13.5" hidden="false" customHeight="true" outlineLevel="0" collapsed="false">
      <c r="B41" s="93" t="s">
        <v>164</v>
      </c>
      <c r="C41" s="163" t="n">
        <f aca="false">'🔢 Stats (Do Not Edit)'!B21</f>
        <v>0</v>
      </c>
      <c r="D41" s="164" t="n">
        <f aca="false">IFERROR(C41-14,"")</f>
        <v>-14</v>
      </c>
      <c r="E41" s="164" t="n">
        <f aca="false">IFERROR(C41-C40,"")</f>
        <v>0</v>
      </c>
      <c r="F41" s="165" t="str">
        <f aca="false">IFERROR(IF(C41&gt;=14,"✅ On track",IF(C41&gt;=10,"⚠️ Low","❌ Behind")),"—")</f>
        <v>❌ Behind</v>
      </c>
    </row>
    <row r="42" customFormat="false" ht="13.5" hidden="false" customHeight="true" outlineLevel="0" collapsed="false">
      <c r="B42" s="96" t="s">
        <v>165</v>
      </c>
      <c r="C42" s="160" t="n">
        <f aca="false">'🔢 Stats (Do Not Edit)'!B22</f>
        <v>0</v>
      </c>
      <c r="D42" s="161" t="n">
        <f aca="false">IFERROR(C42-14,"")</f>
        <v>-14</v>
      </c>
      <c r="E42" s="161" t="n">
        <f aca="false">IFERROR(C42-C41,"")</f>
        <v>0</v>
      </c>
      <c r="F42" s="162" t="str">
        <f aca="false">IFERROR(IF(C42&gt;=14,"✅ On track",IF(C42&gt;=10,"⚠️ Low","❌ Behind")),"—")</f>
        <v>❌ Behind</v>
      </c>
    </row>
    <row r="43" customFormat="false" ht="13.5" hidden="false" customHeight="true" outlineLevel="0" collapsed="false">
      <c r="B43" s="93" t="s">
        <v>166</v>
      </c>
      <c r="C43" s="163" t="n">
        <f aca="false">'🔢 Stats (Do Not Edit)'!B23</f>
        <v>0</v>
      </c>
      <c r="D43" s="164" t="n">
        <f aca="false">IFERROR(C43-14,"")</f>
        <v>-14</v>
      </c>
      <c r="E43" s="164" t="n">
        <f aca="false">IFERROR(C43-C42,"")</f>
        <v>0</v>
      </c>
      <c r="F43" s="165" t="str">
        <f aca="false">IFERROR(IF(C43&gt;=14,"✅ On track",IF(C43&gt;=10,"⚠️ Low","❌ Behind")),"—")</f>
        <v>❌ Behind</v>
      </c>
    </row>
    <row r="44" customFormat="false" ht="13.5" hidden="false" customHeight="true" outlineLevel="0" collapsed="false">
      <c r="B44" s="96" t="s">
        <v>167</v>
      </c>
      <c r="C44" s="160" t="n">
        <f aca="false">'🔢 Stats (Do Not Edit)'!B24</f>
        <v>0</v>
      </c>
      <c r="D44" s="161" t="n">
        <f aca="false">IFERROR(C44-14,"")</f>
        <v>-14</v>
      </c>
      <c r="E44" s="161" t="n">
        <f aca="false">IFERROR(C44-C43,"")</f>
        <v>0</v>
      </c>
      <c r="F44" s="162" t="str">
        <f aca="false">IFERROR(IF(C44&gt;=14,"✅ On track",IF(C44&gt;=10,"⚠️ Low","❌ Behind")),"—")</f>
        <v>❌ Behind</v>
      </c>
    </row>
    <row r="45" customFormat="false" ht="13.5" hidden="false" customHeight="true" outlineLevel="0" collapsed="false">
      <c r="B45" s="93" t="s">
        <v>168</v>
      </c>
      <c r="C45" s="163" t="n">
        <f aca="false">'🔢 Stats (Do Not Edit)'!B25</f>
        <v>0</v>
      </c>
      <c r="D45" s="164" t="n">
        <f aca="false">IFERROR(C45-14,"")</f>
        <v>-14</v>
      </c>
      <c r="E45" s="164" t="n">
        <f aca="false">IFERROR(C45-C44,"")</f>
        <v>0</v>
      </c>
      <c r="F45" s="165" t="str">
        <f aca="false">IFERROR(IF(C45&gt;=14,"✅ On track",IF(C45&gt;=10,"⚠️ Low","❌ Behind")),"—")</f>
        <v>❌ Behind</v>
      </c>
    </row>
    <row r="46" customFormat="false" ht="13.5" hidden="false" customHeight="true" outlineLevel="0" collapsed="false">
      <c r="B46" s="96" t="s">
        <v>169</v>
      </c>
      <c r="C46" s="160" t="n">
        <f aca="false">'🔢 Stats (Do Not Edit)'!B26</f>
        <v>0</v>
      </c>
      <c r="D46" s="161" t="n">
        <f aca="false">IFERROR(C46-14,"")</f>
        <v>-14</v>
      </c>
      <c r="E46" s="161" t="n">
        <f aca="false">IFERROR(C46-C45,"")</f>
        <v>0</v>
      </c>
      <c r="F46" s="162" t="str">
        <f aca="false">IFERROR(IF(C46&gt;=14,"✅ On track",IF(C46&gt;=10,"⚠️ Low","❌ Behind")),"—")</f>
        <v>❌ Behind</v>
      </c>
    </row>
    <row r="47" customFormat="false" ht="13.5" hidden="false" customHeight="true" outlineLevel="0" collapsed="false">
      <c r="B47" s="93" t="s">
        <v>170</v>
      </c>
      <c r="C47" s="163" t="n">
        <f aca="false">'🔢 Stats (Do Not Edit)'!B27</f>
        <v>0</v>
      </c>
      <c r="D47" s="164" t="n">
        <f aca="false">IFERROR(C47-14,"")</f>
        <v>-14</v>
      </c>
      <c r="E47" s="164" t="n">
        <f aca="false">IFERROR(C47-C46,"")</f>
        <v>0</v>
      </c>
      <c r="F47" s="165" t="str">
        <f aca="false">IFERROR(IF(C47&gt;=14,"✅ On track",IF(C47&gt;=10,"⚠️ Low","❌ Behind")),"—")</f>
        <v>❌ Behind</v>
      </c>
    </row>
    <row r="48" customFormat="false" ht="13.5" hidden="false" customHeight="true" outlineLevel="0" collapsed="false">
      <c r="B48" s="96" t="s">
        <v>171</v>
      </c>
      <c r="C48" s="160" t="n">
        <f aca="false">'🔢 Stats (Do Not Edit)'!B28</f>
        <v>0</v>
      </c>
      <c r="D48" s="161" t="n">
        <f aca="false">IFERROR(C48-14,"")</f>
        <v>-14</v>
      </c>
      <c r="E48" s="161" t="n">
        <f aca="false">IFERROR(C48-C47,"")</f>
        <v>0</v>
      </c>
      <c r="F48" s="162" t="str">
        <f aca="false">IFERROR(IF(C48&gt;=14,"✅ On track",IF(C48&gt;=10,"⚠️ Low","❌ Behind")),"—")</f>
        <v>❌ Behind</v>
      </c>
    </row>
    <row r="49" customFormat="false" ht="13.5" hidden="false" customHeight="true" outlineLevel="0" collapsed="false">
      <c r="B49" s="93" t="s">
        <v>172</v>
      </c>
      <c r="C49" s="163" t="n">
        <f aca="false">'🔢 Stats (Do Not Edit)'!B29</f>
        <v>0</v>
      </c>
      <c r="D49" s="164" t="n">
        <f aca="false">IFERROR(C49-14,"")</f>
        <v>-14</v>
      </c>
      <c r="E49" s="164" t="n">
        <f aca="false">IFERROR(C49-C48,"")</f>
        <v>0</v>
      </c>
      <c r="F49" s="165" t="str">
        <f aca="false">IFERROR(IF(C49&gt;=14,"✅ On track",IF(C49&gt;=10,"⚠️ Low","❌ Behind")),"—")</f>
        <v>❌ Behind</v>
      </c>
    </row>
    <row r="50" customFormat="false" ht="13.5" hidden="false" customHeight="true" outlineLevel="0" collapsed="false">
      <c r="B50" s="96" t="s">
        <v>173</v>
      </c>
      <c r="C50" s="160" t="n">
        <f aca="false">'🔢 Stats (Do Not Edit)'!B30</f>
        <v>0</v>
      </c>
      <c r="D50" s="161" t="n">
        <f aca="false">IFERROR(C50-14,"")</f>
        <v>-14</v>
      </c>
      <c r="E50" s="161" t="n">
        <f aca="false">IFERROR(C50-C49,"")</f>
        <v>0</v>
      </c>
      <c r="F50" s="162" t="str">
        <f aca="false">IFERROR(IF(C50&gt;=14,"✅ On track",IF(C50&gt;=10,"⚠️ Low","❌ Behind")),"—")</f>
        <v>❌ Behind</v>
      </c>
    </row>
    <row r="51" customFormat="false" ht="13.5" hidden="false" customHeight="true" outlineLevel="0" collapsed="false">
      <c r="B51" s="93" t="s">
        <v>174</v>
      </c>
      <c r="C51" s="163" t="n">
        <f aca="false">'🔢 Stats (Do Not Edit)'!B31</f>
        <v>0</v>
      </c>
      <c r="D51" s="164" t="n">
        <f aca="false">IFERROR(C51-14,"")</f>
        <v>-14</v>
      </c>
      <c r="E51" s="164" t="n">
        <f aca="false">IFERROR(C51-C50,"")</f>
        <v>0</v>
      </c>
      <c r="F51" s="165" t="str">
        <f aca="false">IFERROR(IF(C51&gt;=14,"✅ On track",IF(C51&gt;=10,"⚠️ Low","❌ Behind")),"—")</f>
        <v>❌ Behind</v>
      </c>
    </row>
    <row r="52" customFormat="false" ht="13.5" hidden="false" customHeight="true" outlineLevel="0" collapsed="false">
      <c r="B52" s="96" t="s">
        <v>175</v>
      </c>
      <c r="C52" s="160" t="n">
        <f aca="false">'🔢 Stats (Do Not Edit)'!B32</f>
        <v>0</v>
      </c>
      <c r="D52" s="161" t="n">
        <f aca="false">IFERROR(C52-14,"")</f>
        <v>-14</v>
      </c>
      <c r="E52" s="161" t="n">
        <f aca="false">IFERROR(C52-C51,"")</f>
        <v>0</v>
      </c>
      <c r="F52" s="162" t="str">
        <f aca="false">IFERROR(IF(C52&gt;=14,"✅ On track",IF(C52&gt;=10,"⚠️ Low","❌ Behind")),"—")</f>
        <v>❌ Behind</v>
      </c>
    </row>
    <row r="53" customFormat="false" ht="13.5" hidden="false" customHeight="true" outlineLevel="0" collapsed="false">
      <c r="B53" s="93" t="s">
        <v>176</v>
      </c>
      <c r="C53" s="163" t="n">
        <f aca="false">'🔢 Stats (Do Not Edit)'!B33</f>
        <v>0</v>
      </c>
      <c r="D53" s="164" t="n">
        <f aca="false">IFERROR(C53-14,"")</f>
        <v>-14</v>
      </c>
      <c r="E53" s="164" t="n">
        <f aca="false">IFERROR(C53-C52,"")</f>
        <v>0</v>
      </c>
      <c r="F53" s="165" t="str">
        <f aca="false">IFERROR(IF(C53&gt;=14,"✅ On track",IF(C53&gt;=10,"⚠️ Low","❌ Behind")),"—")</f>
        <v>❌ Behind</v>
      </c>
    </row>
    <row r="54" customFormat="false" ht="13.5" hidden="false" customHeight="true" outlineLevel="0" collapsed="false">
      <c r="B54" s="96" t="s">
        <v>177</v>
      </c>
      <c r="C54" s="160" t="n">
        <f aca="false">'🔢 Stats (Do Not Edit)'!B34</f>
        <v>0</v>
      </c>
      <c r="D54" s="161" t="n">
        <f aca="false">IFERROR(C54-14,"")</f>
        <v>-14</v>
      </c>
      <c r="E54" s="161" t="n">
        <f aca="false">IFERROR(C54-C53,"")</f>
        <v>0</v>
      </c>
      <c r="F54" s="162" t="str">
        <f aca="false">IFERROR(IF(C54&gt;=14,"✅ On track",IF(C54&gt;=10,"⚠️ Low","❌ Behind")),"—")</f>
        <v>❌ Behind</v>
      </c>
    </row>
    <row r="55" customFormat="false" ht="13.5" hidden="false" customHeight="true" outlineLevel="0" collapsed="false">
      <c r="B55" s="93" t="s">
        <v>178</v>
      </c>
      <c r="C55" s="163" t="n">
        <f aca="false">'🔢 Stats (Do Not Edit)'!B35</f>
        <v>0</v>
      </c>
      <c r="D55" s="164" t="n">
        <f aca="false">IFERROR(C55-14,"")</f>
        <v>-14</v>
      </c>
      <c r="E55" s="164" t="n">
        <f aca="false">IFERROR(C55-C54,"")</f>
        <v>0</v>
      </c>
      <c r="F55" s="165" t="str">
        <f aca="false">IFERROR(IF(C55&gt;=14,"✅ On track",IF(C55&gt;=10,"⚠️ Low","❌ Behind")),"—")</f>
        <v>❌ Behind</v>
      </c>
    </row>
    <row r="56" customFormat="false" ht="13.5" hidden="false" customHeight="true" outlineLevel="0" collapsed="false">
      <c r="B56" s="96" t="s">
        <v>179</v>
      </c>
      <c r="C56" s="160" t="n">
        <f aca="false">'🔢 Stats (Do Not Edit)'!B36</f>
        <v>0</v>
      </c>
      <c r="D56" s="161" t="n">
        <f aca="false">IFERROR(C56-14,"")</f>
        <v>-14</v>
      </c>
      <c r="E56" s="161" t="n">
        <f aca="false">IFERROR(C56-C55,"")</f>
        <v>0</v>
      </c>
      <c r="F56" s="162" t="str">
        <f aca="false">IFERROR(IF(C56&gt;=14,"✅ On track",IF(C56&gt;=10,"⚠️ Low","❌ Behind")),"—")</f>
        <v>❌ Behind</v>
      </c>
    </row>
    <row r="57" customFormat="false" ht="13.5" hidden="false" customHeight="true" outlineLevel="0" collapsed="false">
      <c r="B57" s="93" t="s">
        <v>180</v>
      </c>
      <c r="C57" s="163" t="n">
        <f aca="false">'🔢 Stats (Do Not Edit)'!B37</f>
        <v>0</v>
      </c>
      <c r="D57" s="164" t="n">
        <f aca="false">IFERROR(C57-14,"")</f>
        <v>-14</v>
      </c>
      <c r="E57" s="164" t="n">
        <f aca="false">IFERROR(C57-C56,"")</f>
        <v>0</v>
      </c>
      <c r="F57" s="165" t="str">
        <f aca="false">IFERROR(IF(C57&gt;=14,"✅ On track",IF(C57&gt;=10,"⚠️ Low","❌ Behind")),"—")</f>
        <v>❌ Behind</v>
      </c>
    </row>
    <row r="58" customFormat="false" ht="13.5" hidden="false" customHeight="true" outlineLevel="0" collapsed="false">
      <c r="B58" s="96" t="s">
        <v>181</v>
      </c>
      <c r="C58" s="160" t="n">
        <f aca="false">'🔢 Stats (Do Not Edit)'!B38</f>
        <v>0</v>
      </c>
      <c r="D58" s="161" t="n">
        <f aca="false">IFERROR(C58-14,"")</f>
        <v>-14</v>
      </c>
      <c r="E58" s="161" t="n">
        <f aca="false">IFERROR(C58-C57,"")</f>
        <v>0</v>
      </c>
      <c r="F58" s="162" t="str">
        <f aca="false">IFERROR(IF(C58&gt;=14,"✅ On track",IF(C58&gt;=10,"⚠️ Low","❌ Behind")),"—")</f>
        <v>❌ Behind</v>
      </c>
    </row>
    <row r="59" customFormat="false" ht="13.5" hidden="false" customHeight="true" outlineLevel="0" collapsed="false">
      <c r="B59" s="93" t="s">
        <v>182</v>
      </c>
      <c r="C59" s="163" t="n">
        <f aca="false">'🔢 Stats (Do Not Edit)'!B39</f>
        <v>0</v>
      </c>
      <c r="D59" s="164" t="n">
        <f aca="false">IFERROR(C59-14,"")</f>
        <v>-14</v>
      </c>
      <c r="E59" s="164" t="n">
        <f aca="false">IFERROR(C59-C58,"")</f>
        <v>0</v>
      </c>
      <c r="F59" s="165" t="str">
        <f aca="false">IFERROR(IF(C59&gt;=14,"✅ On track",IF(C59&gt;=10,"⚠️ Low","❌ Behind")),"—")</f>
        <v>❌ Behind</v>
      </c>
    </row>
    <row r="60" customFormat="false" ht="13.5" hidden="false" customHeight="true" outlineLevel="0" collapsed="false">
      <c r="B60" s="96" t="s">
        <v>183</v>
      </c>
      <c r="C60" s="160" t="n">
        <f aca="false">'🔢 Stats (Do Not Edit)'!B40</f>
        <v>0</v>
      </c>
      <c r="D60" s="161" t="n">
        <f aca="false">IFERROR(C60-14,"")</f>
        <v>-14</v>
      </c>
      <c r="E60" s="161" t="n">
        <f aca="false">IFERROR(C60-C59,"")</f>
        <v>0</v>
      </c>
      <c r="F60" s="162" t="str">
        <f aca="false">IFERROR(IF(C60&gt;=14,"✅ On track",IF(C60&gt;=10,"⚠️ Low","❌ Behind")),"—")</f>
        <v>❌ Behind</v>
      </c>
    </row>
  </sheetData>
  <mergeCells count="81">
    <mergeCell ref="A1:V1"/>
    <mergeCell ref="B3:D3"/>
    <mergeCell ref="E3:G3"/>
    <mergeCell ref="H3:J3"/>
    <mergeCell ref="K3:M3"/>
    <mergeCell ref="N3:P3"/>
    <mergeCell ref="Q3:S3"/>
    <mergeCell ref="B4:D4"/>
    <mergeCell ref="E4:G4"/>
    <mergeCell ref="H4:J4"/>
    <mergeCell ref="K4:M4"/>
    <mergeCell ref="N4:P4"/>
    <mergeCell ref="Q4:S4"/>
    <mergeCell ref="B5:D5"/>
    <mergeCell ref="E5:G5"/>
    <mergeCell ref="H5:J5"/>
    <mergeCell ref="K5:M5"/>
    <mergeCell ref="N5:P5"/>
    <mergeCell ref="Q5:S5"/>
    <mergeCell ref="B8:K8"/>
    <mergeCell ref="B9:C9"/>
    <mergeCell ref="D9:E9"/>
    <mergeCell ref="F9:G9"/>
    <mergeCell ref="H9:I9"/>
    <mergeCell ref="J9:K9"/>
    <mergeCell ref="L9:M9"/>
    <mergeCell ref="B10:C10"/>
    <mergeCell ref="D10:E10"/>
    <mergeCell ref="F10:G10"/>
    <mergeCell ref="H10:I10"/>
    <mergeCell ref="J10:K10"/>
    <mergeCell ref="L10:M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4:C14"/>
    <mergeCell ref="D14:E14"/>
    <mergeCell ref="F14:G14"/>
    <mergeCell ref="H14:I14"/>
    <mergeCell ref="J14:K14"/>
    <mergeCell ref="L14:M14"/>
    <mergeCell ref="B15:C15"/>
    <mergeCell ref="D15:E15"/>
    <mergeCell ref="F15:G15"/>
    <mergeCell ref="H15:I15"/>
    <mergeCell ref="J15:K15"/>
    <mergeCell ref="L15:M15"/>
    <mergeCell ref="B16:C16"/>
    <mergeCell ref="D16:E16"/>
    <mergeCell ref="F16:G16"/>
    <mergeCell ref="H16:I16"/>
    <mergeCell ref="J16:K16"/>
    <mergeCell ref="L16:M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  <mergeCell ref="B20:S20"/>
  </mergeCells>
  <conditionalFormatting sqref="L10:L18">
    <cfRule type="colorScale" priority="2">
      <colorScale>
        <cfvo type="num" val="0"/>
        <cfvo type="num" val="0.5"/>
        <cfvo type="num" val="1"/>
        <color rgb="FFF1948A"/>
        <color rgb="FFF9E79F"/>
        <color rgb="FF82E0AA"/>
      </colorScale>
    </cfRule>
  </conditionalFormatting>
  <conditionalFormatting sqref="D22:D61">
    <cfRule type="colorScale" priority="3">
      <colorScale>
        <cfvo type="num" val="-10"/>
        <cfvo type="num" val="0"/>
        <cfvo type="num" val="10"/>
        <color rgb="FFF1948A"/>
        <color rgb="FFF9E79F"/>
        <color rgb="FF82E0A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C3C7"/>
    <pageSetUpPr fitToPage="fals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66" t="s">
        <v>137</v>
      </c>
      <c r="B1" s="166" t="s">
        <v>113</v>
      </c>
      <c r="C1" s="166" t="s">
        <v>208</v>
      </c>
      <c r="D1" s="166" t="s">
        <v>209</v>
      </c>
      <c r="E1" s="166" t="s">
        <v>210</v>
      </c>
      <c r="F1" s="166" t="s">
        <v>211</v>
      </c>
    </row>
    <row r="2" customFormat="false" ht="15" hidden="false" customHeight="true" outlineLevel="0" collapsed="false">
      <c r="A2" s="1" t="s">
        <v>145</v>
      </c>
      <c r="B2" s="1" t="n">
        <f aca="false">IFERROR(SUMIF('📝 Daily Log'!C$3:C$500,1,'📝 Daily Log'!H$3:H$500),0)</f>
        <v>10.5</v>
      </c>
      <c r="C2" s="1" t="n">
        <f aca="false">IFERROR(COUNTIFS('📝 Daily Log'!C$3:C$500,1,'📝 Daily Log'!G$3:G$500,"✅ Done"),0)</f>
        <v>4</v>
      </c>
      <c r="D2" s="1" t="n">
        <f aca="false">IFERROR(COUNTIFS('📝 Daily Log'!C$3:C$500,1,'📝 Daily Log'!G$3:G$500,"❌ Missed"),0)</f>
        <v>0</v>
      </c>
      <c r="E2" s="1" t="n">
        <f aca="false">IFERROR(AVERAGEIFS('📝 Daily Log'!I$3:I$500,'📝 Daily Log'!C$3:C$500,1,'📝 Daily Log'!I$3:I$500,"&gt;0"),"")</f>
        <v>3.6</v>
      </c>
      <c r="F2" s="1" t="n">
        <f aca="false">IFERROR(SUMIF('📝 Daily Log'!C$3:C$500,1,'📝 Daily Log'!J$3:J$500),0)</f>
        <v>30</v>
      </c>
    </row>
    <row r="3" customFormat="false" ht="15" hidden="false" customHeight="true" outlineLevel="0" collapsed="false">
      <c r="A3" s="1" t="s">
        <v>146</v>
      </c>
      <c r="B3" s="1" t="n">
        <f aca="false">IFERROR(SUMIF('📝 Daily Log'!C$3:C$500,2,'📝 Daily Log'!H$3:H$500),0)</f>
        <v>0</v>
      </c>
      <c r="C3" s="1" t="n">
        <f aca="false">IFERROR(COUNTIFS('📝 Daily Log'!C$3:C$500,2,'📝 Daily Log'!G$3:G$500,"✅ Done"),0)</f>
        <v>0</v>
      </c>
      <c r="D3" s="1" t="n">
        <f aca="false">IFERROR(COUNTIFS('📝 Daily Log'!C$3:C$500,2,'📝 Daily Log'!G$3:G$500,"❌ Missed"),0)</f>
        <v>0</v>
      </c>
      <c r="E3" s="1" t="str">
        <f aca="false">IFERROR(AVERAGEIFS('📝 Daily Log'!I$3:I$500,'📝 Daily Log'!C$3:C$500,2,'📝 Daily Log'!I$3:I$500,"&gt;0"),"")</f>
        <v/>
      </c>
      <c r="F3" s="1" t="n">
        <f aca="false">IFERROR(SUMIF('📝 Daily Log'!C$3:C$500,2,'📝 Daily Log'!J$3:J$500),0)</f>
        <v>0</v>
      </c>
    </row>
    <row r="4" customFormat="false" ht="15" hidden="false" customHeight="true" outlineLevel="0" collapsed="false">
      <c r="A4" s="1" t="s">
        <v>147</v>
      </c>
      <c r="B4" s="1" t="n">
        <f aca="false">IFERROR(SUMIF('📝 Daily Log'!C$3:C$500,3,'📝 Daily Log'!H$3:H$500),0)</f>
        <v>0</v>
      </c>
      <c r="C4" s="1" t="n">
        <f aca="false">IFERROR(COUNTIFS('📝 Daily Log'!C$3:C$500,3,'📝 Daily Log'!G$3:G$500,"✅ Done"),0)</f>
        <v>0</v>
      </c>
      <c r="D4" s="1" t="n">
        <f aca="false">IFERROR(COUNTIFS('📝 Daily Log'!C$3:C$500,3,'📝 Daily Log'!G$3:G$500,"❌ Missed"),0)</f>
        <v>0</v>
      </c>
      <c r="E4" s="1" t="str">
        <f aca="false">IFERROR(AVERAGEIFS('📝 Daily Log'!I$3:I$500,'📝 Daily Log'!C$3:C$500,3,'📝 Daily Log'!I$3:I$500,"&gt;0"),"")</f>
        <v/>
      </c>
      <c r="F4" s="1" t="n">
        <f aca="false">IFERROR(SUMIF('📝 Daily Log'!C$3:C$500,3,'📝 Daily Log'!J$3:J$500),0)</f>
        <v>0</v>
      </c>
    </row>
    <row r="5" customFormat="false" ht="15" hidden="false" customHeight="true" outlineLevel="0" collapsed="false">
      <c r="A5" s="1" t="s">
        <v>148</v>
      </c>
      <c r="B5" s="1" t="n">
        <f aca="false">IFERROR(SUMIF('📝 Daily Log'!C$3:C$500,4,'📝 Daily Log'!H$3:H$500),0)</f>
        <v>0</v>
      </c>
      <c r="C5" s="1" t="n">
        <f aca="false">IFERROR(COUNTIFS('📝 Daily Log'!C$3:C$500,4,'📝 Daily Log'!G$3:G$500,"✅ Done"),0)</f>
        <v>0</v>
      </c>
      <c r="D5" s="1" t="n">
        <f aca="false">IFERROR(COUNTIFS('📝 Daily Log'!C$3:C$500,4,'📝 Daily Log'!G$3:G$500,"❌ Missed"),0)</f>
        <v>0</v>
      </c>
      <c r="E5" s="1" t="str">
        <f aca="false">IFERROR(AVERAGEIFS('📝 Daily Log'!I$3:I$500,'📝 Daily Log'!C$3:C$500,4,'📝 Daily Log'!I$3:I$500,"&gt;0"),"")</f>
        <v/>
      </c>
      <c r="F5" s="1" t="n">
        <f aca="false">IFERROR(SUMIF('📝 Daily Log'!C$3:C$500,4,'📝 Daily Log'!J$3:J$500),0)</f>
        <v>0</v>
      </c>
    </row>
    <row r="6" customFormat="false" ht="15" hidden="false" customHeight="true" outlineLevel="0" collapsed="false">
      <c r="A6" s="1" t="s">
        <v>149</v>
      </c>
      <c r="B6" s="1" t="n">
        <f aca="false">IFERROR(SUMIF('📝 Daily Log'!C$3:C$500,5,'📝 Daily Log'!H$3:H$500),0)</f>
        <v>0</v>
      </c>
      <c r="C6" s="1" t="n">
        <f aca="false">IFERROR(COUNTIFS('📝 Daily Log'!C$3:C$500,5,'📝 Daily Log'!G$3:G$500,"✅ Done"),0)</f>
        <v>0</v>
      </c>
      <c r="D6" s="1" t="n">
        <f aca="false">IFERROR(COUNTIFS('📝 Daily Log'!C$3:C$500,5,'📝 Daily Log'!G$3:G$500,"❌ Missed"),0)</f>
        <v>0</v>
      </c>
      <c r="E6" s="1" t="str">
        <f aca="false">IFERROR(AVERAGEIFS('📝 Daily Log'!I$3:I$500,'📝 Daily Log'!C$3:C$500,5,'📝 Daily Log'!I$3:I$500,"&gt;0"),"")</f>
        <v/>
      </c>
      <c r="F6" s="1" t="n">
        <f aca="false">IFERROR(SUMIF('📝 Daily Log'!C$3:C$500,5,'📝 Daily Log'!J$3:J$500),0)</f>
        <v>0</v>
      </c>
    </row>
    <row r="7" customFormat="false" ht="15" hidden="false" customHeight="true" outlineLevel="0" collapsed="false">
      <c r="A7" s="1" t="s">
        <v>150</v>
      </c>
      <c r="B7" s="1" t="n">
        <f aca="false">IFERROR(SUMIF('📝 Daily Log'!C$3:C$500,6,'📝 Daily Log'!H$3:H$500),0)</f>
        <v>0</v>
      </c>
      <c r="C7" s="1" t="n">
        <f aca="false">IFERROR(COUNTIFS('📝 Daily Log'!C$3:C$500,6,'📝 Daily Log'!G$3:G$500,"✅ Done"),0)</f>
        <v>0</v>
      </c>
      <c r="D7" s="1" t="n">
        <f aca="false">IFERROR(COUNTIFS('📝 Daily Log'!C$3:C$500,6,'📝 Daily Log'!G$3:G$500,"❌ Missed"),0)</f>
        <v>0</v>
      </c>
      <c r="E7" s="1" t="str">
        <f aca="false">IFERROR(AVERAGEIFS('📝 Daily Log'!I$3:I$500,'📝 Daily Log'!C$3:C$500,6,'📝 Daily Log'!I$3:I$500,"&gt;0"),"")</f>
        <v/>
      </c>
      <c r="F7" s="1" t="n">
        <f aca="false">IFERROR(SUMIF('📝 Daily Log'!C$3:C$500,6,'📝 Daily Log'!J$3:J$500),0)</f>
        <v>0</v>
      </c>
    </row>
    <row r="8" customFormat="false" ht="15" hidden="false" customHeight="true" outlineLevel="0" collapsed="false">
      <c r="A8" s="1" t="s">
        <v>151</v>
      </c>
      <c r="B8" s="1" t="n">
        <f aca="false">IFERROR(SUMIF('📝 Daily Log'!C$3:C$500,7,'📝 Daily Log'!H$3:H$500),0)</f>
        <v>0</v>
      </c>
      <c r="C8" s="1" t="n">
        <f aca="false">IFERROR(COUNTIFS('📝 Daily Log'!C$3:C$500,7,'📝 Daily Log'!G$3:G$500,"✅ Done"),0)</f>
        <v>0</v>
      </c>
      <c r="D8" s="1" t="n">
        <f aca="false">IFERROR(COUNTIFS('📝 Daily Log'!C$3:C$500,7,'📝 Daily Log'!G$3:G$500,"❌ Missed"),0)</f>
        <v>0</v>
      </c>
      <c r="E8" s="1" t="str">
        <f aca="false">IFERROR(AVERAGEIFS('📝 Daily Log'!I$3:I$500,'📝 Daily Log'!C$3:C$500,7,'📝 Daily Log'!I$3:I$500,"&gt;0"),"")</f>
        <v/>
      </c>
      <c r="F8" s="1" t="n">
        <f aca="false">IFERROR(SUMIF('📝 Daily Log'!C$3:C$500,7,'📝 Daily Log'!J$3:J$500),0)</f>
        <v>0</v>
      </c>
    </row>
    <row r="9" customFormat="false" ht="15" hidden="false" customHeight="true" outlineLevel="0" collapsed="false">
      <c r="A9" s="1" t="s">
        <v>152</v>
      </c>
      <c r="B9" s="1" t="n">
        <f aca="false">IFERROR(SUMIF('📝 Daily Log'!C$3:C$500,8,'📝 Daily Log'!H$3:H$500),0)</f>
        <v>0</v>
      </c>
      <c r="C9" s="1" t="n">
        <f aca="false">IFERROR(COUNTIFS('📝 Daily Log'!C$3:C$500,8,'📝 Daily Log'!G$3:G$500,"✅ Done"),0)</f>
        <v>0</v>
      </c>
      <c r="D9" s="1" t="n">
        <f aca="false">IFERROR(COUNTIFS('📝 Daily Log'!C$3:C$500,8,'📝 Daily Log'!G$3:G$500,"❌ Missed"),0)</f>
        <v>0</v>
      </c>
      <c r="E9" s="1" t="str">
        <f aca="false">IFERROR(AVERAGEIFS('📝 Daily Log'!I$3:I$500,'📝 Daily Log'!C$3:C$500,8,'📝 Daily Log'!I$3:I$500,"&gt;0"),"")</f>
        <v/>
      </c>
      <c r="F9" s="1" t="n">
        <f aca="false">IFERROR(SUMIF('📝 Daily Log'!C$3:C$500,8,'📝 Daily Log'!J$3:J$500),0)</f>
        <v>0</v>
      </c>
    </row>
    <row r="10" customFormat="false" ht="15" hidden="false" customHeight="true" outlineLevel="0" collapsed="false">
      <c r="A10" s="1" t="s">
        <v>153</v>
      </c>
      <c r="B10" s="1" t="n">
        <f aca="false">IFERROR(SUMIF('📝 Daily Log'!C$3:C$500,9,'📝 Daily Log'!H$3:H$500),0)</f>
        <v>0</v>
      </c>
      <c r="C10" s="1" t="n">
        <f aca="false">IFERROR(COUNTIFS('📝 Daily Log'!C$3:C$500,9,'📝 Daily Log'!G$3:G$500,"✅ Done"),0)</f>
        <v>0</v>
      </c>
      <c r="D10" s="1" t="n">
        <f aca="false">IFERROR(COUNTIFS('📝 Daily Log'!C$3:C$500,9,'📝 Daily Log'!G$3:G$500,"❌ Missed"),0)</f>
        <v>0</v>
      </c>
      <c r="E10" s="1" t="str">
        <f aca="false">IFERROR(AVERAGEIFS('📝 Daily Log'!I$3:I$500,'📝 Daily Log'!C$3:C$500,9,'📝 Daily Log'!I$3:I$500,"&gt;0"),"")</f>
        <v/>
      </c>
      <c r="F10" s="1" t="n">
        <f aca="false">IFERROR(SUMIF('📝 Daily Log'!C$3:C$500,9,'📝 Daily Log'!J$3:J$500),0)</f>
        <v>0</v>
      </c>
    </row>
    <row r="11" customFormat="false" ht="15" hidden="false" customHeight="true" outlineLevel="0" collapsed="false">
      <c r="A11" s="1" t="s">
        <v>154</v>
      </c>
      <c r="B11" s="1" t="n">
        <f aca="false">IFERROR(SUMIF('📝 Daily Log'!C$3:C$500,10,'📝 Daily Log'!H$3:H$500),0)</f>
        <v>0</v>
      </c>
      <c r="C11" s="1" t="n">
        <f aca="false">IFERROR(COUNTIFS('📝 Daily Log'!C$3:C$500,10,'📝 Daily Log'!G$3:G$500,"✅ Done"),0)</f>
        <v>0</v>
      </c>
      <c r="D11" s="1" t="n">
        <f aca="false">IFERROR(COUNTIFS('📝 Daily Log'!C$3:C$500,10,'📝 Daily Log'!G$3:G$500,"❌ Missed"),0)</f>
        <v>0</v>
      </c>
      <c r="E11" s="1" t="str">
        <f aca="false">IFERROR(AVERAGEIFS('📝 Daily Log'!I$3:I$500,'📝 Daily Log'!C$3:C$500,10,'📝 Daily Log'!I$3:I$500,"&gt;0"),"")</f>
        <v/>
      </c>
      <c r="F11" s="1" t="n">
        <f aca="false">IFERROR(SUMIF('📝 Daily Log'!C$3:C$500,10,'📝 Daily Log'!J$3:J$500),0)</f>
        <v>0</v>
      </c>
    </row>
    <row r="12" customFormat="false" ht="15" hidden="false" customHeight="true" outlineLevel="0" collapsed="false">
      <c r="A12" s="1" t="s">
        <v>155</v>
      </c>
      <c r="B12" s="1" t="n">
        <f aca="false">IFERROR(SUMIF('📝 Daily Log'!C$3:C$500,11,'📝 Daily Log'!H$3:H$500),0)</f>
        <v>0</v>
      </c>
      <c r="C12" s="1" t="n">
        <f aca="false">IFERROR(COUNTIFS('📝 Daily Log'!C$3:C$500,11,'📝 Daily Log'!G$3:G$500,"✅ Done"),0)</f>
        <v>0</v>
      </c>
      <c r="D12" s="1" t="n">
        <f aca="false">IFERROR(COUNTIFS('📝 Daily Log'!C$3:C$500,11,'📝 Daily Log'!G$3:G$500,"❌ Missed"),0)</f>
        <v>0</v>
      </c>
      <c r="E12" s="1" t="str">
        <f aca="false">IFERROR(AVERAGEIFS('📝 Daily Log'!I$3:I$500,'📝 Daily Log'!C$3:C$500,11,'📝 Daily Log'!I$3:I$500,"&gt;0"),"")</f>
        <v/>
      </c>
      <c r="F12" s="1" t="n">
        <f aca="false">IFERROR(SUMIF('📝 Daily Log'!C$3:C$500,11,'📝 Daily Log'!J$3:J$500),0)</f>
        <v>0</v>
      </c>
    </row>
    <row r="13" customFormat="false" ht="15" hidden="false" customHeight="true" outlineLevel="0" collapsed="false">
      <c r="A13" s="1" t="s">
        <v>156</v>
      </c>
      <c r="B13" s="1" t="n">
        <f aca="false">IFERROR(SUMIF('📝 Daily Log'!C$3:C$500,12,'📝 Daily Log'!H$3:H$500),0)</f>
        <v>0</v>
      </c>
      <c r="C13" s="1" t="n">
        <f aca="false">IFERROR(COUNTIFS('📝 Daily Log'!C$3:C$500,12,'📝 Daily Log'!G$3:G$500,"✅ Done"),0)</f>
        <v>0</v>
      </c>
      <c r="D13" s="1" t="n">
        <f aca="false">IFERROR(COUNTIFS('📝 Daily Log'!C$3:C$500,12,'📝 Daily Log'!G$3:G$500,"❌ Missed"),0)</f>
        <v>0</v>
      </c>
      <c r="E13" s="1" t="str">
        <f aca="false">IFERROR(AVERAGEIFS('📝 Daily Log'!I$3:I$500,'📝 Daily Log'!C$3:C$500,12,'📝 Daily Log'!I$3:I$500,"&gt;0"),"")</f>
        <v/>
      </c>
      <c r="F13" s="1" t="n">
        <f aca="false">IFERROR(SUMIF('📝 Daily Log'!C$3:C$500,12,'📝 Daily Log'!J$3:J$500),0)</f>
        <v>0</v>
      </c>
    </row>
    <row r="14" customFormat="false" ht="15" hidden="false" customHeight="true" outlineLevel="0" collapsed="false">
      <c r="A14" s="1" t="s">
        <v>157</v>
      </c>
      <c r="B14" s="1" t="n">
        <f aca="false">IFERROR(SUMIF('📝 Daily Log'!C$3:C$500,13,'📝 Daily Log'!H$3:H$500),0)</f>
        <v>0</v>
      </c>
      <c r="C14" s="1" t="n">
        <f aca="false">IFERROR(COUNTIFS('📝 Daily Log'!C$3:C$500,13,'📝 Daily Log'!G$3:G$500,"✅ Done"),0)</f>
        <v>0</v>
      </c>
      <c r="D14" s="1" t="n">
        <f aca="false">IFERROR(COUNTIFS('📝 Daily Log'!C$3:C$500,13,'📝 Daily Log'!G$3:G$500,"❌ Missed"),0)</f>
        <v>0</v>
      </c>
      <c r="E14" s="1" t="str">
        <f aca="false">IFERROR(AVERAGEIFS('📝 Daily Log'!I$3:I$500,'📝 Daily Log'!C$3:C$500,13,'📝 Daily Log'!I$3:I$500,"&gt;0"),"")</f>
        <v/>
      </c>
      <c r="F14" s="1" t="n">
        <f aca="false">IFERROR(SUMIF('📝 Daily Log'!C$3:C$500,13,'📝 Daily Log'!J$3:J$500),0)</f>
        <v>0</v>
      </c>
    </row>
    <row r="15" customFormat="false" ht="15" hidden="false" customHeight="true" outlineLevel="0" collapsed="false">
      <c r="A15" s="1" t="s">
        <v>158</v>
      </c>
      <c r="B15" s="1" t="n">
        <f aca="false">IFERROR(SUMIF('📝 Daily Log'!C$3:C$500,14,'📝 Daily Log'!H$3:H$500),0)</f>
        <v>0</v>
      </c>
      <c r="C15" s="1" t="n">
        <f aca="false">IFERROR(COUNTIFS('📝 Daily Log'!C$3:C$500,14,'📝 Daily Log'!G$3:G$500,"✅ Done"),0)</f>
        <v>0</v>
      </c>
      <c r="D15" s="1" t="n">
        <f aca="false">IFERROR(COUNTIFS('📝 Daily Log'!C$3:C$500,14,'📝 Daily Log'!G$3:G$500,"❌ Missed"),0)</f>
        <v>0</v>
      </c>
      <c r="E15" s="1" t="str">
        <f aca="false">IFERROR(AVERAGEIFS('📝 Daily Log'!I$3:I$500,'📝 Daily Log'!C$3:C$500,14,'📝 Daily Log'!I$3:I$500,"&gt;0"),"")</f>
        <v/>
      </c>
      <c r="F15" s="1" t="n">
        <f aca="false">IFERROR(SUMIF('📝 Daily Log'!C$3:C$500,14,'📝 Daily Log'!J$3:J$500),0)</f>
        <v>0</v>
      </c>
    </row>
    <row r="16" customFormat="false" ht="15" hidden="false" customHeight="true" outlineLevel="0" collapsed="false">
      <c r="A16" s="1" t="s">
        <v>159</v>
      </c>
      <c r="B16" s="1" t="n">
        <f aca="false">IFERROR(SUMIF('📝 Daily Log'!C$3:C$500,15,'📝 Daily Log'!H$3:H$500),0)</f>
        <v>0</v>
      </c>
      <c r="C16" s="1" t="n">
        <f aca="false">IFERROR(COUNTIFS('📝 Daily Log'!C$3:C$500,15,'📝 Daily Log'!G$3:G$500,"✅ Done"),0)</f>
        <v>0</v>
      </c>
      <c r="D16" s="1" t="n">
        <f aca="false">IFERROR(COUNTIFS('📝 Daily Log'!C$3:C$500,15,'📝 Daily Log'!G$3:G$500,"❌ Missed"),0)</f>
        <v>0</v>
      </c>
      <c r="E16" s="1" t="str">
        <f aca="false">IFERROR(AVERAGEIFS('📝 Daily Log'!I$3:I$500,'📝 Daily Log'!C$3:C$500,15,'📝 Daily Log'!I$3:I$500,"&gt;0"),"")</f>
        <v/>
      </c>
      <c r="F16" s="1" t="n">
        <f aca="false">IFERROR(SUMIF('📝 Daily Log'!C$3:C$500,15,'📝 Daily Log'!J$3:J$500),0)</f>
        <v>0</v>
      </c>
    </row>
    <row r="17" customFormat="false" ht="15" hidden="false" customHeight="true" outlineLevel="0" collapsed="false">
      <c r="A17" s="1" t="s">
        <v>160</v>
      </c>
      <c r="B17" s="1" t="n">
        <f aca="false">IFERROR(SUMIF('📝 Daily Log'!C$3:C$500,16,'📝 Daily Log'!H$3:H$500),0)</f>
        <v>0</v>
      </c>
      <c r="C17" s="1" t="n">
        <f aca="false">IFERROR(COUNTIFS('📝 Daily Log'!C$3:C$500,16,'📝 Daily Log'!G$3:G$500,"✅ Done"),0)</f>
        <v>0</v>
      </c>
      <c r="D17" s="1" t="n">
        <f aca="false">IFERROR(COUNTIFS('📝 Daily Log'!C$3:C$500,16,'📝 Daily Log'!G$3:G$500,"❌ Missed"),0)</f>
        <v>0</v>
      </c>
      <c r="E17" s="1" t="str">
        <f aca="false">IFERROR(AVERAGEIFS('📝 Daily Log'!I$3:I$500,'📝 Daily Log'!C$3:C$500,16,'📝 Daily Log'!I$3:I$500,"&gt;0"),"")</f>
        <v/>
      </c>
      <c r="F17" s="1" t="n">
        <f aca="false">IFERROR(SUMIF('📝 Daily Log'!C$3:C$500,16,'📝 Daily Log'!J$3:J$500),0)</f>
        <v>0</v>
      </c>
    </row>
    <row r="18" customFormat="false" ht="15" hidden="false" customHeight="true" outlineLevel="0" collapsed="false">
      <c r="A18" s="1" t="s">
        <v>161</v>
      </c>
      <c r="B18" s="1" t="n">
        <f aca="false">IFERROR(SUMIF('📝 Daily Log'!C$3:C$500,17,'📝 Daily Log'!H$3:H$500),0)</f>
        <v>0</v>
      </c>
      <c r="C18" s="1" t="n">
        <f aca="false">IFERROR(COUNTIFS('📝 Daily Log'!C$3:C$500,17,'📝 Daily Log'!G$3:G$500,"✅ Done"),0)</f>
        <v>0</v>
      </c>
      <c r="D18" s="1" t="n">
        <f aca="false">IFERROR(COUNTIFS('📝 Daily Log'!C$3:C$500,17,'📝 Daily Log'!G$3:G$500,"❌ Missed"),0)</f>
        <v>0</v>
      </c>
      <c r="E18" s="1" t="str">
        <f aca="false">IFERROR(AVERAGEIFS('📝 Daily Log'!I$3:I$500,'📝 Daily Log'!C$3:C$500,17,'📝 Daily Log'!I$3:I$500,"&gt;0"),"")</f>
        <v/>
      </c>
      <c r="F18" s="1" t="n">
        <f aca="false">IFERROR(SUMIF('📝 Daily Log'!C$3:C$500,17,'📝 Daily Log'!J$3:J$500),0)</f>
        <v>0</v>
      </c>
    </row>
    <row r="19" customFormat="false" ht="15" hidden="false" customHeight="true" outlineLevel="0" collapsed="false">
      <c r="A19" s="1" t="s">
        <v>162</v>
      </c>
      <c r="B19" s="1" t="n">
        <f aca="false">IFERROR(SUMIF('📝 Daily Log'!C$3:C$500,18,'📝 Daily Log'!H$3:H$500),0)</f>
        <v>0</v>
      </c>
      <c r="C19" s="1" t="n">
        <f aca="false">IFERROR(COUNTIFS('📝 Daily Log'!C$3:C$500,18,'📝 Daily Log'!G$3:G$500,"✅ Done"),0)</f>
        <v>0</v>
      </c>
      <c r="D19" s="1" t="n">
        <f aca="false">IFERROR(COUNTIFS('📝 Daily Log'!C$3:C$500,18,'📝 Daily Log'!G$3:G$500,"❌ Missed"),0)</f>
        <v>0</v>
      </c>
      <c r="E19" s="1" t="str">
        <f aca="false">IFERROR(AVERAGEIFS('📝 Daily Log'!I$3:I$500,'📝 Daily Log'!C$3:C$500,18,'📝 Daily Log'!I$3:I$500,"&gt;0"),"")</f>
        <v/>
      </c>
      <c r="F19" s="1" t="n">
        <f aca="false">IFERROR(SUMIF('📝 Daily Log'!C$3:C$500,18,'📝 Daily Log'!J$3:J$500),0)</f>
        <v>0</v>
      </c>
    </row>
    <row r="20" customFormat="false" ht="15" hidden="false" customHeight="true" outlineLevel="0" collapsed="false">
      <c r="A20" s="1" t="s">
        <v>163</v>
      </c>
      <c r="B20" s="1" t="n">
        <f aca="false">IFERROR(SUMIF('📝 Daily Log'!C$3:C$500,19,'📝 Daily Log'!H$3:H$500),0)</f>
        <v>0</v>
      </c>
      <c r="C20" s="1" t="n">
        <f aca="false">IFERROR(COUNTIFS('📝 Daily Log'!C$3:C$500,19,'📝 Daily Log'!G$3:G$500,"✅ Done"),0)</f>
        <v>0</v>
      </c>
      <c r="D20" s="1" t="n">
        <f aca="false">IFERROR(COUNTIFS('📝 Daily Log'!C$3:C$500,19,'📝 Daily Log'!G$3:G$500,"❌ Missed"),0)</f>
        <v>0</v>
      </c>
      <c r="E20" s="1" t="str">
        <f aca="false">IFERROR(AVERAGEIFS('📝 Daily Log'!I$3:I$500,'📝 Daily Log'!C$3:C$500,19,'📝 Daily Log'!I$3:I$500,"&gt;0"),"")</f>
        <v/>
      </c>
      <c r="F20" s="1" t="n">
        <f aca="false">IFERROR(SUMIF('📝 Daily Log'!C$3:C$500,19,'📝 Daily Log'!J$3:J$500),0)</f>
        <v>0</v>
      </c>
    </row>
    <row r="21" customFormat="false" ht="15" hidden="false" customHeight="true" outlineLevel="0" collapsed="false">
      <c r="A21" s="1" t="s">
        <v>164</v>
      </c>
      <c r="B21" s="1" t="n">
        <f aca="false">IFERROR(SUMIF('📝 Daily Log'!C$3:C$500,20,'📝 Daily Log'!H$3:H$500),0)</f>
        <v>0</v>
      </c>
      <c r="C21" s="1" t="n">
        <f aca="false">IFERROR(COUNTIFS('📝 Daily Log'!C$3:C$500,20,'📝 Daily Log'!G$3:G$500,"✅ Done"),0)</f>
        <v>0</v>
      </c>
      <c r="D21" s="1" t="n">
        <f aca="false">IFERROR(COUNTIFS('📝 Daily Log'!C$3:C$500,20,'📝 Daily Log'!G$3:G$500,"❌ Missed"),0)</f>
        <v>0</v>
      </c>
      <c r="E21" s="1" t="str">
        <f aca="false">IFERROR(AVERAGEIFS('📝 Daily Log'!I$3:I$500,'📝 Daily Log'!C$3:C$500,20,'📝 Daily Log'!I$3:I$500,"&gt;0"),"")</f>
        <v/>
      </c>
      <c r="F21" s="1" t="n">
        <f aca="false">IFERROR(SUMIF('📝 Daily Log'!C$3:C$500,20,'📝 Daily Log'!J$3:J$500),0)</f>
        <v>0</v>
      </c>
    </row>
    <row r="22" customFormat="false" ht="15" hidden="false" customHeight="true" outlineLevel="0" collapsed="false">
      <c r="A22" s="1" t="s">
        <v>165</v>
      </c>
      <c r="B22" s="1" t="n">
        <f aca="false">IFERROR(SUMIF('📝 Daily Log'!C$3:C$500,21,'📝 Daily Log'!H$3:H$500),0)</f>
        <v>0</v>
      </c>
      <c r="C22" s="1" t="n">
        <f aca="false">IFERROR(COUNTIFS('📝 Daily Log'!C$3:C$500,21,'📝 Daily Log'!G$3:G$500,"✅ Done"),0)</f>
        <v>0</v>
      </c>
      <c r="D22" s="1" t="n">
        <f aca="false">IFERROR(COUNTIFS('📝 Daily Log'!C$3:C$500,21,'📝 Daily Log'!G$3:G$500,"❌ Missed"),0)</f>
        <v>0</v>
      </c>
      <c r="E22" s="1" t="str">
        <f aca="false">IFERROR(AVERAGEIFS('📝 Daily Log'!I$3:I$500,'📝 Daily Log'!C$3:C$500,21,'📝 Daily Log'!I$3:I$500,"&gt;0"),"")</f>
        <v/>
      </c>
      <c r="F22" s="1" t="n">
        <f aca="false">IFERROR(SUMIF('📝 Daily Log'!C$3:C$500,21,'📝 Daily Log'!J$3:J$500),0)</f>
        <v>0</v>
      </c>
    </row>
    <row r="23" customFormat="false" ht="15" hidden="false" customHeight="true" outlineLevel="0" collapsed="false">
      <c r="A23" s="1" t="s">
        <v>166</v>
      </c>
      <c r="B23" s="1" t="n">
        <f aca="false">IFERROR(SUMIF('📝 Daily Log'!C$3:C$500,22,'📝 Daily Log'!H$3:H$500),0)</f>
        <v>0</v>
      </c>
      <c r="C23" s="1" t="n">
        <f aca="false">IFERROR(COUNTIFS('📝 Daily Log'!C$3:C$500,22,'📝 Daily Log'!G$3:G$500,"✅ Done"),0)</f>
        <v>0</v>
      </c>
      <c r="D23" s="1" t="n">
        <f aca="false">IFERROR(COUNTIFS('📝 Daily Log'!C$3:C$500,22,'📝 Daily Log'!G$3:G$500,"❌ Missed"),0)</f>
        <v>0</v>
      </c>
      <c r="E23" s="1" t="str">
        <f aca="false">IFERROR(AVERAGEIFS('📝 Daily Log'!I$3:I$500,'📝 Daily Log'!C$3:C$500,22,'📝 Daily Log'!I$3:I$500,"&gt;0"),"")</f>
        <v/>
      </c>
      <c r="F23" s="1" t="n">
        <f aca="false">IFERROR(SUMIF('📝 Daily Log'!C$3:C$500,22,'📝 Daily Log'!J$3:J$500),0)</f>
        <v>0</v>
      </c>
    </row>
    <row r="24" customFormat="false" ht="15" hidden="false" customHeight="true" outlineLevel="0" collapsed="false">
      <c r="A24" s="1" t="s">
        <v>167</v>
      </c>
      <c r="B24" s="1" t="n">
        <f aca="false">IFERROR(SUMIF('📝 Daily Log'!C$3:C$500,23,'📝 Daily Log'!H$3:H$500),0)</f>
        <v>0</v>
      </c>
      <c r="C24" s="1" t="n">
        <f aca="false">IFERROR(COUNTIFS('📝 Daily Log'!C$3:C$500,23,'📝 Daily Log'!G$3:G$500,"✅ Done"),0)</f>
        <v>0</v>
      </c>
      <c r="D24" s="1" t="n">
        <f aca="false">IFERROR(COUNTIFS('📝 Daily Log'!C$3:C$500,23,'📝 Daily Log'!G$3:G$500,"❌ Missed"),0)</f>
        <v>0</v>
      </c>
      <c r="E24" s="1" t="str">
        <f aca="false">IFERROR(AVERAGEIFS('📝 Daily Log'!I$3:I$500,'📝 Daily Log'!C$3:C$500,23,'📝 Daily Log'!I$3:I$500,"&gt;0"),"")</f>
        <v/>
      </c>
      <c r="F24" s="1" t="n">
        <f aca="false">IFERROR(SUMIF('📝 Daily Log'!C$3:C$500,23,'📝 Daily Log'!J$3:J$500),0)</f>
        <v>0</v>
      </c>
    </row>
    <row r="25" customFormat="false" ht="15" hidden="false" customHeight="true" outlineLevel="0" collapsed="false">
      <c r="A25" s="1" t="s">
        <v>168</v>
      </c>
      <c r="B25" s="1" t="n">
        <f aca="false">IFERROR(SUMIF('📝 Daily Log'!C$3:C$500,24,'📝 Daily Log'!H$3:H$500),0)</f>
        <v>0</v>
      </c>
      <c r="C25" s="1" t="n">
        <f aca="false">IFERROR(COUNTIFS('📝 Daily Log'!C$3:C$500,24,'📝 Daily Log'!G$3:G$500,"✅ Done"),0)</f>
        <v>0</v>
      </c>
      <c r="D25" s="1" t="n">
        <f aca="false">IFERROR(COUNTIFS('📝 Daily Log'!C$3:C$500,24,'📝 Daily Log'!G$3:G$500,"❌ Missed"),0)</f>
        <v>0</v>
      </c>
      <c r="E25" s="1" t="str">
        <f aca="false">IFERROR(AVERAGEIFS('📝 Daily Log'!I$3:I$500,'📝 Daily Log'!C$3:C$500,24,'📝 Daily Log'!I$3:I$500,"&gt;0"),"")</f>
        <v/>
      </c>
      <c r="F25" s="1" t="n">
        <f aca="false">IFERROR(SUMIF('📝 Daily Log'!C$3:C$500,24,'📝 Daily Log'!J$3:J$500),0)</f>
        <v>0</v>
      </c>
    </row>
    <row r="26" customFormat="false" ht="15" hidden="false" customHeight="true" outlineLevel="0" collapsed="false">
      <c r="A26" s="1" t="s">
        <v>169</v>
      </c>
      <c r="B26" s="1" t="n">
        <f aca="false">IFERROR(SUMIF('📝 Daily Log'!C$3:C$500,25,'📝 Daily Log'!H$3:H$500),0)</f>
        <v>0</v>
      </c>
      <c r="C26" s="1" t="n">
        <f aca="false">IFERROR(COUNTIFS('📝 Daily Log'!C$3:C$500,25,'📝 Daily Log'!G$3:G$500,"✅ Done"),0)</f>
        <v>0</v>
      </c>
      <c r="D26" s="1" t="n">
        <f aca="false">IFERROR(COUNTIFS('📝 Daily Log'!C$3:C$500,25,'📝 Daily Log'!G$3:G$500,"❌ Missed"),0)</f>
        <v>0</v>
      </c>
      <c r="E26" s="1" t="str">
        <f aca="false">IFERROR(AVERAGEIFS('📝 Daily Log'!I$3:I$500,'📝 Daily Log'!C$3:C$500,25,'📝 Daily Log'!I$3:I$500,"&gt;0"),"")</f>
        <v/>
      </c>
      <c r="F26" s="1" t="n">
        <f aca="false">IFERROR(SUMIF('📝 Daily Log'!C$3:C$500,25,'📝 Daily Log'!J$3:J$500),0)</f>
        <v>0</v>
      </c>
    </row>
    <row r="27" customFormat="false" ht="15" hidden="false" customHeight="true" outlineLevel="0" collapsed="false">
      <c r="A27" s="1" t="s">
        <v>170</v>
      </c>
      <c r="B27" s="1" t="n">
        <f aca="false">IFERROR(SUMIF('📝 Daily Log'!C$3:C$500,26,'📝 Daily Log'!H$3:H$500),0)</f>
        <v>0</v>
      </c>
      <c r="C27" s="1" t="n">
        <f aca="false">IFERROR(COUNTIFS('📝 Daily Log'!C$3:C$500,26,'📝 Daily Log'!G$3:G$500,"✅ Done"),0)</f>
        <v>0</v>
      </c>
      <c r="D27" s="1" t="n">
        <f aca="false">IFERROR(COUNTIFS('📝 Daily Log'!C$3:C$500,26,'📝 Daily Log'!G$3:G$500,"❌ Missed"),0)</f>
        <v>0</v>
      </c>
      <c r="E27" s="1" t="str">
        <f aca="false">IFERROR(AVERAGEIFS('📝 Daily Log'!I$3:I$500,'📝 Daily Log'!C$3:C$500,26,'📝 Daily Log'!I$3:I$500,"&gt;0"),"")</f>
        <v/>
      </c>
      <c r="F27" s="1" t="n">
        <f aca="false">IFERROR(SUMIF('📝 Daily Log'!C$3:C$500,26,'📝 Daily Log'!J$3:J$500),0)</f>
        <v>0</v>
      </c>
    </row>
    <row r="28" customFormat="false" ht="15" hidden="false" customHeight="true" outlineLevel="0" collapsed="false">
      <c r="A28" s="1" t="s">
        <v>171</v>
      </c>
      <c r="B28" s="1" t="n">
        <f aca="false">IFERROR(SUMIF('📝 Daily Log'!C$3:C$500,27,'📝 Daily Log'!H$3:H$500),0)</f>
        <v>0</v>
      </c>
      <c r="C28" s="1" t="n">
        <f aca="false">IFERROR(COUNTIFS('📝 Daily Log'!C$3:C$500,27,'📝 Daily Log'!G$3:G$500,"✅ Done"),0)</f>
        <v>0</v>
      </c>
      <c r="D28" s="1" t="n">
        <f aca="false">IFERROR(COUNTIFS('📝 Daily Log'!C$3:C$500,27,'📝 Daily Log'!G$3:G$500,"❌ Missed"),0)</f>
        <v>0</v>
      </c>
      <c r="E28" s="1" t="str">
        <f aca="false">IFERROR(AVERAGEIFS('📝 Daily Log'!I$3:I$500,'📝 Daily Log'!C$3:C$500,27,'📝 Daily Log'!I$3:I$500,"&gt;0"),"")</f>
        <v/>
      </c>
      <c r="F28" s="1" t="n">
        <f aca="false">IFERROR(SUMIF('📝 Daily Log'!C$3:C$500,27,'📝 Daily Log'!J$3:J$500),0)</f>
        <v>0</v>
      </c>
    </row>
    <row r="29" customFormat="false" ht="15" hidden="false" customHeight="true" outlineLevel="0" collapsed="false">
      <c r="A29" s="1" t="s">
        <v>172</v>
      </c>
      <c r="B29" s="1" t="n">
        <f aca="false">IFERROR(SUMIF('📝 Daily Log'!C$3:C$500,28,'📝 Daily Log'!H$3:H$500),0)</f>
        <v>0</v>
      </c>
      <c r="C29" s="1" t="n">
        <f aca="false">IFERROR(COUNTIFS('📝 Daily Log'!C$3:C$500,28,'📝 Daily Log'!G$3:G$500,"✅ Done"),0)</f>
        <v>0</v>
      </c>
      <c r="D29" s="1" t="n">
        <f aca="false">IFERROR(COUNTIFS('📝 Daily Log'!C$3:C$500,28,'📝 Daily Log'!G$3:G$500,"❌ Missed"),0)</f>
        <v>0</v>
      </c>
      <c r="E29" s="1" t="str">
        <f aca="false">IFERROR(AVERAGEIFS('📝 Daily Log'!I$3:I$500,'📝 Daily Log'!C$3:C$500,28,'📝 Daily Log'!I$3:I$500,"&gt;0"),"")</f>
        <v/>
      </c>
      <c r="F29" s="1" t="n">
        <f aca="false">IFERROR(SUMIF('📝 Daily Log'!C$3:C$500,28,'📝 Daily Log'!J$3:J$500),0)</f>
        <v>0</v>
      </c>
    </row>
    <row r="30" customFormat="false" ht="15" hidden="false" customHeight="true" outlineLevel="0" collapsed="false">
      <c r="A30" s="1" t="s">
        <v>173</v>
      </c>
      <c r="B30" s="1" t="n">
        <f aca="false">IFERROR(SUMIF('📝 Daily Log'!C$3:C$500,29,'📝 Daily Log'!H$3:H$500),0)</f>
        <v>0</v>
      </c>
      <c r="C30" s="1" t="n">
        <f aca="false">IFERROR(COUNTIFS('📝 Daily Log'!C$3:C$500,29,'📝 Daily Log'!G$3:G$500,"✅ Done"),0)</f>
        <v>0</v>
      </c>
      <c r="D30" s="1" t="n">
        <f aca="false">IFERROR(COUNTIFS('📝 Daily Log'!C$3:C$500,29,'📝 Daily Log'!G$3:G$500,"❌ Missed"),0)</f>
        <v>0</v>
      </c>
      <c r="E30" s="1" t="str">
        <f aca="false">IFERROR(AVERAGEIFS('📝 Daily Log'!I$3:I$500,'📝 Daily Log'!C$3:C$500,29,'📝 Daily Log'!I$3:I$500,"&gt;0"),"")</f>
        <v/>
      </c>
      <c r="F30" s="1" t="n">
        <f aca="false">IFERROR(SUMIF('📝 Daily Log'!C$3:C$500,29,'📝 Daily Log'!J$3:J$500),0)</f>
        <v>0</v>
      </c>
    </row>
    <row r="31" customFormat="false" ht="15" hidden="false" customHeight="true" outlineLevel="0" collapsed="false">
      <c r="A31" s="1" t="s">
        <v>174</v>
      </c>
      <c r="B31" s="1" t="n">
        <f aca="false">IFERROR(SUMIF('📝 Daily Log'!C$3:C$500,30,'📝 Daily Log'!H$3:H$500),0)</f>
        <v>0</v>
      </c>
      <c r="C31" s="1" t="n">
        <f aca="false">IFERROR(COUNTIFS('📝 Daily Log'!C$3:C$500,30,'📝 Daily Log'!G$3:G$500,"✅ Done"),0)</f>
        <v>0</v>
      </c>
      <c r="D31" s="1" t="n">
        <f aca="false">IFERROR(COUNTIFS('📝 Daily Log'!C$3:C$500,30,'📝 Daily Log'!G$3:G$500,"❌ Missed"),0)</f>
        <v>0</v>
      </c>
      <c r="E31" s="1" t="str">
        <f aca="false">IFERROR(AVERAGEIFS('📝 Daily Log'!I$3:I$500,'📝 Daily Log'!C$3:C$500,30,'📝 Daily Log'!I$3:I$500,"&gt;0"),"")</f>
        <v/>
      </c>
      <c r="F31" s="1" t="n">
        <f aca="false">IFERROR(SUMIF('📝 Daily Log'!C$3:C$500,30,'📝 Daily Log'!J$3:J$500),0)</f>
        <v>0</v>
      </c>
    </row>
    <row r="32" customFormat="false" ht="15" hidden="false" customHeight="true" outlineLevel="0" collapsed="false">
      <c r="A32" s="1" t="s">
        <v>175</v>
      </c>
      <c r="B32" s="1" t="n">
        <f aca="false">IFERROR(SUMIF('📝 Daily Log'!C$3:C$500,31,'📝 Daily Log'!H$3:H$500),0)</f>
        <v>0</v>
      </c>
      <c r="C32" s="1" t="n">
        <f aca="false">IFERROR(COUNTIFS('📝 Daily Log'!C$3:C$500,31,'📝 Daily Log'!G$3:G$500,"✅ Done"),0)</f>
        <v>0</v>
      </c>
      <c r="D32" s="1" t="n">
        <f aca="false">IFERROR(COUNTIFS('📝 Daily Log'!C$3:C$500,31,'📝 Daily Log'!G$3:G$500,"❌ Missed"),0)</f>
        <v>0</v>
      </c>
      <c r="E32" s="1" t="str">
        <f aca="false">IFERROR(AVERAGEIFS('📝 Daily Log'!I$3:I$500,'📝 Daily Log'!C$3:C$500,31,'📝 Daily Log'!I$3:I$500,"&gt;0"),"")</f>
        <v/>
      </c>
      <c r="F32" s="1" t="n">
        <f aca="false">IFERROR(SUMIF('📝 Daily Log'!C$3:C$500,31,'📝 Daily Log'!J$3:J$500),0)</f>
        <v>0</v>
      </c>
    </row>
    <row r="33" customFormat="false" ht="15" hidden="false" customHeight="true" outlineLevel="0" collapsed="false">
      <c r="A33" s="1" t="s">
        <v>176</v>
      </c>
      <c r="B33" s="1" t="n">
        <f aca="false">IFERROR(SUMIF('📝 Daily Log'!C$3:C$500,32,'📝 Daily Log'!H$3:H$500),0)</f>
        <v>0</v>
      </c>
      <c r="C33" s="1" t="n">
        <f aca="false">IFERROR(COUNTIFS('📝 Daily Log'!C$3:C$500,32,'📝 Daily Log'!G$3:G$500,"✅ Done"),0)</f>
        <v>0</v>
      </c>
      <c r="D33" s="1" t="n">
        <f aca="false">IFERROR(COUNTIFS('📝 Daily Log'!C$3:C$500,32,'📝 Daily Log'!G$3:G$500,"❌ Missed"),0)</f>
        <v>0</v>
      </c>
      <c r="E33" s="1" t="str">
        <f aca="false">IFERROR(AVERAGEIFS('📝 Daily Log'!I$3:I$500,'📝 Daily Log'!C$3:C$500,32,'📝 Daily Log'!I$3:I$500,"&gt;0"),"")</f>
        <v/>
      </c>
      <c r="F33" s="1" t="n">
        <f aca="false">IFERROR(SUMIF('📝 Daily Log'!C$3:C$500,32,'📝 Daily Log'!J$3:J$500),0)</f>
        <v>0</v>
      </c>
    </row>
    <row r="34" customFormat="false" ht="15" hidden="false" customHeight="true" outlineLevel="0" collapsed="false">
      <c r="A34" s="1" t="s">
        <v>177</v>
      </c>
      <c r="B34" s="1" t="n">
        <f aca="false">IFERROR(SUMIF('📝 Daily Log'!C$3:C$500,33,'📝 Daily Log'!H$3:H$500),0)</f>
        <v>0</v>
      </c>
      <c r="C34" s="1" t="n">
        <f aca="false">IFERROR(COUNTIFS('📝 Daily Log'!C$3:C$500,33,'📝 Daily Log'!G$3:G$500,"✅ Done"),0)</f>
        <v>0</v>
      </c>
      <c r="D34" s="1" t="n">
        <f aca="false">IFERROR(COUNTIFS('📝 Daily Log'!C$3:C$500,33,'📝 Daily Log'!G$3:G$500,"❌ Missed"),0)</f>
        <v>0</v>
      </c>
      <c r="E34" s="1" t="str">
        <f aca="false">IFERROR(AVERAGEIFS('📝 Daily Log'!I$3:I$500,'📝 Daily Log'!C$3:C$500,33,'📝 Daily Log'!I$3:I$500,"&gt;0"),"")</f>
        <v/>
      </c>
      <c r="F34" s="1" t="n">
        <f aca="false">IFERROR(SUMIF('📝 Daily Log'!C$3:C$500,33,'📝 Daily Log'!J$3:J$500),0)</f>
        <v>0</v>
      </c>
    </row>
    <row r="35" customFormat="false" ht="15" hidden="false" customHeight="true" outlineLevel="0" collapsed="false">
      <c r="A35" s="1" t="s">
        <v>178</v>
      </c>
      <c r="B35" s="1" t="n">
        <f aca="false">IFERROR(SUMIF('📝 Daily Log'!C$3:C$500,34,'📝 Daily Log'!H$3:H$500),0)</f>
        <v>0</v>
      </c>
      <c r="C35" s="1" t="n">
        <f aca="false">IFERROR(COUNTIFS('📝 Daily Log'!C$3:C$500,34,'📝 Daily Log'!G$3:G$500,"✅ Done"),0)</f>
        <v>0</v>
      </c>
      <c r="D35" s="1" t="n">
        <f aca="false">IFERROR(COUNTIFS('📝 Daily Log'!C$3:C$500,34,'📝 Daily Log'!G$3:G$500,"❌ Missed"),0)</f>
        <v>0</v>
      </c>
      <c r="E35" s="1" t="str">
        <f aca="false">IFERROR(AVERAGEIFS('📝 Daily Log'!I$3:I$500,'📝 Daily Log'!C$3:C$500,34,'📝 Daily Log'!I$3:I$500,"&gt;0"),"")</f>
        <v/>
      </c>
      <c r="F35" s="1" t="n">
        <f aca="false">IFERROR(SUMIF('📝 Daily Log'!C$3:C$500,34,'📝 Daily Log'!J$3:J$500),0)</f>
        <v>0</v>
      </c>
    </row>
    <row r="36" customFormat="false" ht="15" hidden="false" customHeight="true" outlineLevel="0" collapsed="false">
      <c r="A36" s="1" t="s">
        <v>179</v>
      </c>
      <c r="B36" s="1" t="n">
        <f aca="false">IFERROR(SUMIF('📝 Daily Log'!C$3:C$500,35,'📝 Daily Log'!H$3:H$500),0)</f>
        <v>0</v>
      </c>
      <c r="C36" s="1" t="n">
        <f aca="false">IFERROR(COUNTIFS('📝 Daily Log'!C$3:C$500,35,'📝 Daily Log'!G$3:G$500,"✅ Done"),0)</f>
        <v>0</v>
      </c>
      <c r="D36" s="1" t="n">
        <f aca="false">IFERROR(COUNTIFS('📝 Daily Log'!C$3:C$500,35,'📝 Daily Log'!G$3:G$500,"❌ Missed"),0)</f>
        <v>0</v>
      </c>
      <c r="E36" s="1" t="str">
        <f aca="false">IFERROR(AVERAGEIFS('📝 Daily Log'!I$3:I$500,'📝 Daily Log'!C$3:C$500,35,'📝 Daily Log'!I$3:I$500,"&gt;0"),"")</f>
        <v/>
      </c>
      <c r="F36" s="1" t="n">
        <f aca="false">IFERROR(SUMIF('📝 Daily Log'!C$3:C$500,35,'📝 Daily Log'!J$3:J$500),0)</f>
        <v>0</v>
      </c>
    </row>
    <row r="37" customFormat="false" ht="15" hidden="false" customHeight="true" outlineLevel="0" collapsed="false">
      <c r="A37" s="1" t="s">
        <v>180</v>
      </c>
      <c r="B37" s="1" t="n">
        <f aca="false">IFERROR(SUMIF('📝 Daily Log'!C$3:C$500,36,'📝 Daily Log'!H$3:H$500),0)</f>
        <v>0</v>
      </c>
      <c r="C37" s="1" t="n">
        <f aca="false">IFERROR(COUNTIFS('📝 Daily Log'!C$3:C$500,36,'📝 Daily Log'!G$3:G$500,"✅ Done"),0)</f>
        <v>0</v>
      </c>
      <c r="D37" s="1" t="n">
        <f aca="false">IFERROR(COUNTIFS('📝 Daily Log'!C$3:C$500,36,'📝 Daily Log'!G$3:G$500,"❌ Missed"),0)</f>
        <v>0</v>
      </c>
      <c r="E37" s="1" t="str">
        <f aca="false">IFERROR(AVERAGEIFS('📝 Daily Log'!I$3:I$500,'📝 Daily Log'!C$3:C$500,36,'📝 Daily Log'!I$3:I$500,"&gt;0"),"")</f>
        <v/>
      </c>
      <c r="F37" s="1" t="n">
        <f aca="false">IFERROR(SUMIF('📝 Daily Log'!C$3:C$500,36,'📝 Daily Log'!J$3:J$500),0)</f>
        <v>0</v>
      </c>
    </row>
    <row r="38" customFormat="false" ht="15" hidden="false" customHeight="true" outlineLevel="0" collapsed="false">
      <c r="A38" s="1" t="s">
        <v>181</v>
      </c>
      <c r="B38" s="1" t="n">
        <f aca="false">IFERROR(SUMIF('📝 Daily Log'!C$3:C$500,37,'📝 Daily Log'!H$3:H$500),0)</f>
        <v>0</v>
      </c>
      <c r="C38" s="1" t="n">
        <f aca="false">IFERROR(COUNTIFS('📝 Daily Log'!C$3:C$500,37,'📝 Daily Log'!G$3:G$500,"✅ Done"),0)</f>
        <v>0</v>
      </c>
      <c r="D38" s="1" t="n">
        <f aca="false">IFERROR(COUNTIFS('📝 Daily Log'!C$3:C$500,37,'📝 Daily Log'!G$3:G$500,"❌ Missed"),0)</f>
        <v>0</v>
      </c>
      <c r="E38" s="1" t="str">
        <f aca="false">IFERROR(AVERAGEIFS('📝 Daily Log'!I$3:I$500,'📝 Daily Log'!C$3:C$500,37,'📝 Daily Log'!I$3:I$500,"&gt;0"),"")</f>
        <v/>
      </c>
      <c r="F38" s="1" t="n">
        <f aca="false">IFERROR(SUMIF('📝 Daily Log'!C$3:C$500,37,'📝 Daily Log'!J$3:J$500),0)</f>
        <v>0</v>
      </c>
    </row>
    <row r="39" customFormat="false" ht="15" hidden="false" customHeight="true" outlineLevel="0" collapsed="false">
      <c r="A39" s="1" t="s">
        <v>182</v>
      </c>
      <c r="B39" s="1" t="n">
        <f aca="false">IFERROR(SUMIF('📝 Daily Log'!C$3:C$500,38,'📝 Daily Log'!H$3:H$500),0)</f>
        <v>0</v>
      </c>
      <c r="C39" s="1" t="n">
        <f aca="false">IFERROR(COUNTIFS('📝 Daily Log'!C$3:C$500,38,'📝 Daily Log'!G$3:G$500,"✅ Done"),0)</f>
        <v>0</v>
      </c>
      <c r="D39" s="1" t="n">
        <f aca="false">IFERROR(COUNTIFS('📝 Daily Log'!C$3:C$500,38,'📝 Daily Log'!G$3:G$500,"❌ Missed"),0)</f>
        <v>0</v>
      </c>
      <c r="E39" s="1" t="str">
        <f aca="false">IFERROR(AVERAGEIFS('📝 Daily Log'!I$3:I$500,'📝 Daily Log'!C$3:C$500,38,'📝 Daily Log'!I$3:I$500,"&gt;0"),"")</f>
        <v/>
      </c>
      <c r="F39" s="1" t="n">
        <f aca="false">IFERROR(SUMIF('📝 Daily Log'!C$3:C$500,38,'📝 Daily Log'!J$3:J$500),0)</f>
        <v>0</v>
      </c>
    </row>
    <row r="40" customFormat="false" ht="15" hidden="false" customHeight="true" outlineLevel="0" collapsed="false">
      <c r="A40" s="1" t="s">
        <v>183</v>
      </c>
      <c r="B40" s="1" t="n">
        <f aca="false">IFERROR(SUMIF('📝 Daily Log'!C$3:C$500,39,'📝 Daily Log'!H$3:H$500),0)</f>
        <v>0</v>
      </c>
      <c r="C40" s="1" t="n">
        <f aca="false">IFERROR(COUNTIFS('📝 Daily Log'!C$3:C$500,39,'📝 Daily Log'!G$3:G$500,"✅ Done"),0)</f>
        <v>0</v>
      </c>
      <c r="D40" s="1" t="n">
        <f aca="false">IFERROR(COUNTIFS('📝 Daily Log'!C$3:C$500,39,'📝 Daily Log'!G$3:G$500,"❌ Missed"),0)</f>
        <v>0</v>
      </c>
      <c r="E40" s="1" t="str">
        <f aca="false">IFERROR(AVERAGEIFS('📝 Daily Log'!I$3:I$500,'📝 Daily Log'!C$3:C$500,39,'📝 Daily Log'!I$3:I$500,"&gt;0"),"")</f>
        <v/>
      </c>
      <c r="F40" s="1" t="n">
        <f aca="false">IFERROR(SUMIF('📝 Daily Log'!C$3:C$500,39,'📝 Daily Log'!J$3:J$500),0)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C1"/>
    <pageSetUpPr fitToPage="false"/>
  </sheetPr>
  <dimension ref="A1:I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46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20"/>
    <col collapsed="false" customWidth="true" hidden="false" outlineLevel="0" max="7" min="7" style="1" width="36"/>
    <col collapsed="false" customWidth="true" hidden="false" outlineLevel="0" max="8" min="8" style="1" width="18"/>
    <col collapsed="false" customWidth="true" hidden="false" outlineLevel="0" max="9" min="9" style="1" width="14"/>
  </cols>
  <sheetData>
    <row r="1" customFormat="false" ht="19.5" hidden="false" customHeight="true" outlineLevel="0" collapsed="false">
      <c r="A1" s="167" t="s">
        <v>212</v>
      </c>
      <c r="B1" s="167"/>
      <c r="C1" s="167"/>
      <c r="D1" s="167"/>
      <c r="E1" s="167"/>
      <c r="F1" s="167"/>
      <c r="G1" s="167"/>
      <c r="H1" s="167"/>
      <c r="I1" s="167"/>
    </row>
    <row r="2" customFormat="false" ht="12.75" hidden="false" customHeight="true" outlineLevel="0" collapsed="false">
      <c r="A2" s="168" t="s">
        <v>213</v>
      </c>
      <c r="B2" s="168"/>
      <c r="C2" s="168"/>
      <c r="D2" s="168"/>
      <c r="E2" s="168"/>
      <c r="F2" s="168"/>
      <c r="G2" s="168"/>
      <c r="H2" s="123" t="s">
        <v>214</v>
      </c>
      <c r="I2" s="123" t="s">
        <v>215</v>
      </c>
    </row>
    <row r="3" customFormat="false" ht="21.75" hidden="false" customHeight="true" outlineLevel="0" collapsed="false">
      <c r="A3" s="169"/>
      <c r="B3" s="61"/>
      <c r="C3" s="170" t="s">
        <v>216</v>
      </c>
      <c r="D3" s="170" t="s">
        <v>217</v>
      </c>
      <c r="E3" s="170" t="s">
        <v>218</v>
      </c>
      <c r="F3" s="170" t="s">
        <v>219</v>
      </c>
      <c r="G3" s="170" t="s">
        <v>220</v>
      </c>
      <c r="H3" s="171" t="s">
        <v>221</v>
      </c>
      <c r="I3" s="172" t="s">
        <v>222</v>
      </c>
    </row>
    <row r="4" customFormat="false" ht="13.5" hidden="false" customHeight="true" outlineLevel="0" collapsed="false">
      <c r="A4" s="169"/>
      <c r="B4" s="61"/>
      <c r="C4" s="173" t="s">
        <v>223</v>
      </c>
      <c r="D4" s="173"/>
      <c r="E4" s="173"/>
      <c r="F4" s="173"/>
      <c r="G4" s="173"/>
      <c r="H4" s="174" t="s">
        <v>224</v>
      </c>
      <c r="I4" s="32" t="s">
        <v>225</v>
      </c>
    </row>
    <row r="5" customFormat="false" ht="18" hidden="false" customHeight="true" outlineLevel="0" collapsed="false">
      <c r="A5" s="169"/>
      <c r="B5" s="61"/>
      <c r="C5" s="175" t="s">
        <v>226</v>
      </c>
      <c r="D5" s="37" t="s">
        <v>227</v>
      </c>
      <c r="E5" s="76" t="s">
        <v>228</v>
      </c>
      <c r="F5" s="176" t="s">
        <v>229</v>
      </c>
      <c r="G5" s="177" t="s">
        <v>230</v>
      </c>
      <c r="H5" s="171" t="s">
        <v>231</v>
      </c>
      <c r="I5" s="172" t="s">
        <v>222</v>
      </c>
    </row>
    <row r="6" customFormat="false" ht="18" hidden="false" customHeight="true" outlineLevel="0" collapsed="false">
      <c r="A6" s="169"/>
      <c r="B6" s="61"/>
      <c r="C6" s="175" t="s">
        <v>226</v>
      </c>
      <c r="D6" s="178" t="s">
        <v>232</v>
      </c>
      <c r="E6" s="179" t="s">
        <v>233</v>
      </c>
      <c r="F6" s="32" t="s">
        <v>234</v>
      </c>
      <c r="G6" s="180" t="s">
        <v>232</v>
      </c>
      <c r="H6" s="174" t="s">
        <v>235</v>
      </c>
      <c r="I6" s="32" t="s">
        <v>225</v>
      </c>
    </row>
    <row r="7" customFormat="false" ht="18" hidden="false" customHeight="true" outlineLevel="0" collapsed="false">
      <c r="A7" s="169"/>
      <c r="B7" s="61"/>
      <c r="C7" s="175" t="s">
        <v>226</v>
      </c>
      <c r="D7" s="37" t="s">
        <v>236</v>
      </c>
      <c r="E7" s="76" t="s">
        <v>237</v>
      </c>
      <c r="F7" s="32" t="s">
        <v>234</v>
      </c>
      <c r="G7" s="177" t="s">
        <v>238</v>
      </c>
      <c r="H7" s="171" t="s">
        <v>239</v>
      </c>
      <c r="I7" s="32" t="s">
        <v>225</v>
      </c>
    </row>
    <row r="8" customFormat="false" ht="18" hidden="false" customHeight="true" outlineLevel="0" collapsed="false">
      <c r="A8" s="169"/>
      <c r="B8" s="61"/>
      <c r="C8" s="175" t="s">
        <v>226</v>
      </c>
      <c r="D8" s="178" t="s">
        <v>240</v>
      </c>
      <c r="E8" s="179" t="s">
        <v>241</v>
      </c>
      <c r="F8" s="32" t="s">
        <v>234</v>
      </c>
      <c r="G8" s="180" t="s">
        <v>242</v>
      </c>
      <c r="H8" s="174" t="s">
        <v>243</v>
      </c>
      <c r="I8" s="172" t="s">
        <v>222</v>
      </c>
    </row>
    <row r="9" customFormat="false" ht="13.5" hidden="false" customHeight="true" outlineLevel="0" collapsed="false">
      <c r="A9" s="169"/>
      <c r="B9" s="61"/>
      <c r="C9" s="181" t="s">
        <v>244</v>
      </c>
      <c r="D9" s="181"/>
      <c r="E9" s="181"/>
      <c r="F9" s="181"/>
      <c r="G9" s="181"/>
      <c r="H9" s="171" t="s">
        <v>245</v>
      </c>
      <c r="I9" s="32" t="s">
        <v>225</v>
      </c>
    </row>
    <row r="10" customFormat="false" ht="18" hidden="false" customHeight="true" outlineLevel="0" collapsed="false">
      <c r="A10" s="169"/>
      <c r="B10" s="61"/>
      <c r="C10" s="182" t="s">
        <v>246</v>
      </c>
      <c r="D10" s="178" t="s">
        <v>247</v>
      </c>
      <c r="E10" s="179" t="s">
        <v>248</v>
      </c>
      <c r="F10" s="54" t="s">
        <v>249</v>
      </c>
      <c r="G10" s="180" t="s">
        <v>250</v>
      </c>
      <c r="H10" s="174" t="s">
        <v>251</v>
      </c>
      <c r="I10" s="183" t="s">
        <v>252</v>
      </c>
    </row>
    <row r="11" customFormat="false" ht="18" hidden="false" customHeight="true" outlineLevel="0" collapsed="false">
      <c r="A11" s="169"/>
      <c r="B11" s="61"/>
      <c r="C11" s="182" t="s">
        <v>246</v>
      </c>
      <c r="D11" s="37" t="s">
        <v>253</v>
      </c>
      <c r="E11" s="76" t="s">
        <v>254</v>
      </c>
      <c r="F11" s="32" t="s">
        <v>234</v>
      </c>
      <c r="G11" s="177" t="s">
        <v>255</v>
      </c>
      <c r="H11" s="171" t="s">
        <v>256</v>
      </c>
      <c r="I11" s="172" t="s">
        <v>222</v>
      </c>
    </row>
    <row r="12" customFormat="false" ht="18" hidden="false" customHeight="true" outlineLevel="0" collapsed="false">
      <c r="A12" s="169"/>
      <c r="B12" s="61"/>
      <c r="C12" s="182" t="s">
        <v>246</v>
      </c>
      <c r="D12" s="178" t="s">
        <v>257</v>
      </c>
      <c r="E12" s="179" t="s">
        <v>258</v>
      </c>
      <c r="F12" s="176" t="s">
        <v>252</v>
      </c>
      <c r="G12" s="180" t="s">
        <v>259</v>
      </c>
      <c r="H12" s="174" t="s">
        <v>260</v>
      </c>
      <c r="I12" s="32" t="s">
        <v>225</v>
      </c>
    </row>
    <row r="13" customFormat="false" ht="18" hidden="false" customHeight="true" outlineLevel="0" collapsed="false">
      <c r="A13" s="169"/>
      <c r="B13" s="64"/>
      <c r="C13" s="182" t="s">
        <v>246</v>
      </c>
      <c r="D13" s="37" t="s">
        <v>261</v>
      </c>
      <c r="E13" s="76" t="s">
        <v>258</v>
      </c>
      <c r="F13" s="176" t="s">
        <v>252</v>
      </c>
      <c r="G13" s="177" t="s">
        <v>262</v>
      </c>
      <c r="H13" s="171" t="s">
        <v>263</v>
      </c>
      <c r="I13" s="32" t="s">
        <v>225</v>
      </c>
    </row>
    <row r="14" customFormat="false" ht="18" hidden="false" customHeight="true" outlineLevel="0" collapsed="false">
      <c r="A14" s="169"/>
      <c r="B14" s="64"/>
      <c r="C14" s="182" t="s">
        <v>246</v>
      </c>
      <c r="D14" s="178" t="s">
        <v>264</v>
      </c>
      <c r="E14" s="179" t="s">
        <v>265</v>
      </c>
      <c r="F14" s="32" t="s">
        <v>234</v>
      </c>
      <c r="G14" s="180" t="s">
        <v>266</v>
      </c>
      <c r="H14" s="174" t="s">
        <v>267</v>
      </c>
      <c r="I14" s="32" t="s">
        <v>225</v>
      </c>
    </row>
    <row r="15" customFormat="false" ht="13.5" hidden="false" customHeight="true" outlineLevel="0" collapsed="false">
      <c r="A15" s="169"/>
      <c r="B15" s="64"/>
      <c r="C15" s="184" t="s">
        <v>268</v>
      </c>
      <c r="D15" s="184"/>
      <c r="E15" s="184"/>
      <c r="F15" s="184"/>
      <c r="G15" s="184"/>
      <c r="H15" s="171" t="s">
        <v>269</v>
      </c>
      <c r="I15" s="32" t="s">
        <v>225</v>
      </c>
    </row>
    <row r="16" customFormat="false" ht="18" hidden="false" customHeight="true" outlineLevel="0" collapsed="false">
      <c r="A16" s="169"/>
      <c r="B16" s="64"/>
      <c r="C16" s="185" t="s">
        <v>270</v>
      </c>
      <c r="D16" s="178" t="s">
        <v>271</v>
      </c>
      <c r="E16" s="179" t="s">
        <v>228</v>
      </c>
      <c r="F16" s="176" t="s">
        <v>272</v>
      </c>
      <c r="G16" s="180" t="s">
        <v>273</v>
      </c>
      <c r="H16" s="174" t="s">
        <v>274</v>
      </c>
      <c r="I16" s="32" t="s">
        <v>225</v>
      </c>
    </row>
    <row r="17" customFormat="false" ht="18" hidden="false" customHeight="true" outlineLevel="0" collapsed="false">
      <c r="A17" s="169"/>
      <c r="B17" s="64"/>
      <c r="C17" s="185" t="s">
        <v>270</v>
      </c>
      <c r="D17" s="37" t="s">
        <v>275</v>
      </c>
      <c r="E17" s="76" t="s">
        <v>276</v>
      </c>
      <c r="F17" s="32" t="s">
        <v>234</v>
      </c>
      <c r="G17" s="177" t="s">
        <v>277</v>
      </c>
      <c r="H17" s="171" t="s">
        <v>278</v>
      </c>
      <c r="I17" s="172" t="s">
        <v>222</v>
      </c>
    </row>
    <row r="18" customFormat="false" ht="18" hidden="false" customHeight="true" outlineLevel="0" collapsed="false">
      <c r="A18" s="169"/>
      <c r="B18" s="64"/>
      <c r="C18" s="185" t="s">
        <v>270</v>
      </c>
      <c r="D18" s="178" t="s">
        <v>279</v>
      </c>
      <c r="E18" s="179" t="s">
        <v>258</v>
      </c>
      <c r="F18" s="32" t="s">
        <v>234</v>
      </c>
      <c r="G18" s="180" t="s">
        <v>280</v>
      </c>
      <c r="H18" s="174" t="s">
        <v>281</v>
      </c>
      <c r="I18" s="32" t="s">
        <v>225</v>
      </c>
    </row>
    <row r="19" customFormat="false" ht="18" hidden="false" customHeight="true" outlineLevel="0" collapsed="false">
      <c r="A19" s="169"/>
      <c r="B19" s="64"/>
      <c r="C19" s="185" t="s">
        <v>270</v>
      </c>
      <c r="D19" s="37" t="s">
        <v>282</v>
      </c>
      <c r="E19" s="76" t="s">
        <v>283</v>
      </c>
      <c r="F19" s="32" t="s">
        <v>234</v>
      </c>
      <c r="G19" s="177" t="s">
        <v>284</v>
      </c>
      <c r="H19" s="171" t="s">
        <v>285</v>
      </c>
      <c r="I19" s="32" t="s">
        <v>225</v>
      </c>
    </row>
    <row r="20" customFormat="false" ht="18" hidden="false" customHeight="true" outlineLevel="0" collapsed="false">
      <c r="A20" s="169"/>
      <c r="B20" s="64"/>
      <c r="C20" s="185" t="s">
        <v>270</v>
      </c>
      <c r="D20" s="178" t="s">
        <v>286</v>
      </c>
      <c r="E20" s="179" t="s">
        <v>283</v>
      </c>
      <c r="F20" s="32" t="s">
        <v>234</v>
      </c>
      <c r="G20" s="180" t="s">
        <v>287</v>
      </c>
      <c r="H20" s="174" t="s">
        <v>288</v>
      </c>
      <c r="I20" s="172" t="s">
        <v>289</v>
      </c>
    </row>
    <row r="21" customFormat="false" ht="13.5" hidden="false" customHeight="true" outlineLevel="0" collapsed="false">
      <c r="A21" s="169"/>
      <c r="B21" s="186"/>
      <c r="C21" s="187" t="s">
        <v>290</v>
      </c>
      <c r="D21" s="187"/>
      <c r="E21" s="187"/>
      <c r="F21" s="187"/>
      <c r="G21" s="187"/>
      <c r="H21" s="171" t="s">
        <v>291</v>
      </c>
      <c r="I21" s="32" t="s">
        <v>225</v>
      </c>
    </row>
    <row r="22" customFormat="false" ht="18" hidden="false" customHeight="true" outlineLevel="0" collapsed="false">
      <c r="A22" s="169"/>
      <c r="B22" s="186"/>
      <c r="C22" s="188" t="s">
        <v>292</v>
      </c>
      <c r="D22" s="178" t="s">
        <v>293</v>
      </c>
      <c r="E22" s="179" t="s">
        <v>248</v>
      </c>
      <c r="F22" s="54" t="s">
        <v>249</v>
      </c>
      <c r="G22" s="180" t="s">
        <v>250</v>
      </c>
      <c r="H22" s="174" t="s">
        <v>294</v>
      </c>
      <c r="I22" s="32" t="s">
        <v>225</v>
      </c>
    </row>
    <row r="23" customFormat="false" ht="18" hidden="false" customHeight="true" outlineLevel="0" collapsed="false">
      <c r="A23" s="169"/>
      <c r="B23" s="186"/>
      <c r="C23" s="188" t="s">
        <v>292</v>
      </c>
      <c r="D23" s="37" t="s">
        <v>295</v>
      </c>
      <c r="E23" s="76" t="s">
        <v>283</v>
      </c>
      <c r="F23" s="32" t="s">
        <v>234</v>
      </c>
      <c r="G23" s="177" t="s">
        <v>296</v>
      </c>
      <c r="H23" s="171" t="s">
        <v>297</v>
      </c>
      <c r="I23" s="32" t="s">
        <v>225</v>
      </c>
    </row>
    <row r="24" customFormat="false" ht="18" hidden="false" customHeight="true" outlineLevel="0" collapsed="false">
      <c r="A24" s="169"/>
      <c r="B24" s="186"/>
      <c r="C24" s="188" t="s">
        <v>292</v>
      </c>
      <c r="D24" s="178" t="s">
        <v>298</v>
      </c>
      <c r="E24" s="179" t="s">
        <v>299</v>
      </c>
      <c r="F24" s="176" t="s">
        <v>289</v>
      </c>
      <c r="G24" s="180" t="s">
        <v>300</v>
      </c>
      <c r="H24" s="174" t="s">
        <v>301</v>
      </c>
      <c r="I24" s="32" t="s">
        <v>225</v>
      </c>
    </row>
    <row r="25" customFormat="false" ht="18" hidden="false" customHeight="true" outlineLevel="0" collapsed="false">
      <c r="A25" s="169"/>
      <c r="B25" s="186"/>
      <c r="C25" s="188" t="s">
        <v>292</v>
      </c>
      <c r="D25" s="37" t="s">
        <v>302</v>
      </c>
      <c r="E25" s="76" t="s">
        <v>228</v>
      </c>
      <c r="F25" s="176" t="s">
        <v>303</v>
      </c>
      <c r="G25" s="177" t="s">
        <v>304</v>
      </c>
      <c r="H25" s="171" t="s">
        <v>305</v>
      </c>
      <c r="I25" s="172" t="s">
        <v>222</v>
      </c>
    </row>
    <row r="26" customFormat="false" ht="13.5" hidden="false" customHeight="true" outlineLevel="0" collapsed="false">
      <c r="A26" s="169"/>
      <c r="B26" s="96"/>
      <c r="C26" s="189" t="s">
        <v>306</v>
      </c>
      <c r="D26" s="189"/>
      <c r="E26" s="189"/>
      <c r="F26" s="189"/>
      <c r="G26" s="189"/>
      <c r="H26" s="174" t="s">
        <v>307</v>
      </c>
      <c r="I26" s="183" t="s">
        <v>252</v>
      </c>
    </row>
    <row r="27" customFormat="false" ht="18" hidden="false" customHeight="true" outlineLevel="0" collapsed="false">
      <c r="A27" s="169"/>
      <c r="B27" s="96"/>
      <c r="C27" s="190" t="s">
        <v>308</v>
      </c>
      <c r="D27" s="37" t="s">
        <v>309</v>
      </c>
      <c r="E27" s="76" t="s">
        <v>248</v>
      </c>
      <c r="F27" s="54" t="s">
        <v>249</v>
      </c>
      <c r="G27" s="177" t="s">
        <v>250</v>
      </c>
      <c r="H27" s="171" t="s">
        <v>310</v>
      </c>
      <c r="I27" s="32" t="s">
        <v>225</v>
      </c>
    </row>
    <row r="28" customFormat="false" ht="18" hidden="false" customHeight="true" outlineLevel="0" collapsed="false">
      <c r="A28" s="169"/>
      <c r="B28" s="96"/>
      <c r="C28" s="190" t="s">
        <v>308</v>
      </c>
      <c r="D28" s="178" t="s">
        <v>311</v>
      </c>
      <c r="E28" s="179" t="s">
        <v>228</v>
      </c>
      <c r="F28" s="32" t="s">
        <v>312</v>
      </c>
      <c r="G28" s="180" t="s">
        <v>313</v>
      </c>
      <c r="H28" s="174" t="s">
        <v>314</v>
      </c>
      <c r="I28" s="183" t="s">
        <v>315</v>
      </c>
    </row>
    <row r="29" customFormat="false" ht="18" hidden="false" customHeight="true" outlineLevel="0" collapsed="false">
      <c r="A29" s="169"/>
      <c r="B29" s="96"/>
      <c r="C29" s="190" t="s">
        <v>308</v>
      </c>
      <c r="D29" s="37" t="s">
        <v>316</v>
      </c>
      <c r="E29" s="76" t="s">
        <v>317</v>
      </c>
      <c r="F29" s="32" t="s">
        <v>234</v>
      </c>
      <c r="G29" s="177" t="s">
        <v>318</v>
      </c>
      <c r="H29" s="171" t="s">
        <v>319</v>
      </c>
      <c r="I29" s="172" t="s">
        <v>222</v>
      </c>
    </row>
    <row r="30" customFormat="false" ht="18" hidden="false" customHeight="true" outlineLevel="0" collapsed="false">
      <c r="A30" s="169"/>
      <c r="B30" s="96"/>
      <c r="C30" s="190" t="s">
        <v>308</v>
      </c>
      <c r="D30" s="178" t="s">
        <v>320</v>
      </c>
      <c r="E30" s="179" t="s">
        <v>321</v>
      </c>
      <c r="F30" s="32" t="s">
        <v>234</v>
      </c>
      <c r="G30" s="180" t="s">
        <v>322</v>
      </c>
      <c r="H30" s="174" t="s">
        <v>323</v>
      </c>
      <c r="I30" s="32" t="s">
        <v>225</v>
      </c>
    </row>
    <row r="31" customFormat="false" ht="13.5" hidden="false" customHeight="true" outlineLevel="0" collapsed="false">
      <c r="A31" s="169"/>
      <c r="B31" s="96"/>
      <c r="C31" s="191" t="s">
        <v>324</v>
      </c>
      <c r="D31" s="191"/>
      <c r="E31" s="191"/>
      <c r="F31" s="191"/>
      <c r="G31" s="191"/>
      <c r="H31" s="171" t="s">
        <v>325</v>
      </c>
      <c r="I31" s="32" t="s">
        <v>225</v>
      </c>
    </row>
    <row r="32" customFormat="false" ht="18" hidden="false" customHeight="true" outlineLevel="0" collapsed="false">
      <c r="A32" s="169"/>
      <c r="B32" s="192"/>
      <c r="C32" s="193" t="s">
        <v>326</v>
      </c>
      <c r="D32" s="178" t="s">
        <v>327</v>
      </c>
      <c r="E32" s="179" t="s">
        <v>248</v>
      </c>
      <c r="F32" s="54" t="s">
        <v>249</v>
      </c>
      <c r="G32" s="180" t="s">
        <v>250</v>
      </c>
      <c r="H32" s="174" t="s">
        <v>328</v>
      </c>
      <c r="I32" s="172" t="s">
        <v>222</v>
      </c>
    </row>
    <row r="33" customFormat="false" ht="18" hidden="false" customHeight="true" outlineLevel="0" collapsed="false">
      <c r="A33" s="169"/>
      <c r="B33" s="192"/>
      <c r="C33" s="193" t="s">
        <v>326</v>
      </c>
      <c r="D33" s="37" t="s">
        <v>329</v>
      </c>
      <c r="E33" s="76" t="s">
        <v>330</v>
      </c>
      <c r="F33" s="32" t="s">
        <v>234</v>
      </c>
      <c r="G33" s="177" t="s">
        <v>331</v>
      </c>
      <c r="H33" s="171" t="s">
        <v>332</v>
      </c>
      <c r="I33" s="172" t="s">
        <v>222</v>
      </c>
    </row>
    <row r="34" customFormat="false" ht="18" hidden="false" customHeight="true" outlineLevel="0" collapsed="false">
      <c r="A34" s="169"/>
      <c r="B34" s="192"/>
      <c r="C34" s="193" t="s">
        <v>326</v>
      </c>
      <c r="D34" s="178" t="s">
        <v>333</v>
      </c>
      <c r="E34" s="179" t="s">
        <v>228</v>
      </c>
      <c r="F34" s="176" t="s">
        <v>229</v>
      </c>
      <c r="G34" s="180" t="s">
        <v>304</v>
      </c>
      <c r="H34" s="174" t="s">
        <v>334</v>
      </c>
      <c r="I34" s="32" t="s">
        <v>225</v>
      </c>
    </row>
    <row r="35" customFormat="false" ht="18" hidden="false" customHeight="true" outlineLevel="0" collapsed="false">
      <c r="A35" s="169"/>
      <c r="B35" s="192"/>
      <c r="C35" s="193" t="s">
        <v>326</v>
      </c>
      <c r="D35" s="37" t="s">
        <v>335</v>
      </c>
      <c r="E35" s="76" t="s">
        <v>228</v>
      </c>
      <c r="F35" s="176" t="s">
        <v>336</v>
      </c>
      <c r="G35" s="177" t="s">
        <v>337</v>
      </c>
      <c r="H35" s="171" t="s">
        <v>338</v>
      </c>
      <c r="I35" s="32" t="s">
        <v>225</v>
      </c>
    </row>
    <row r="36" customFormat="false" ht="18" hidden="false" customHeight="true" outlineLevel="0" collapsed="false">
      <c r="A36" s="169"/>
      <c r="B36" s="192"/>
      <c r="C36" s="193" t="s">
        <v>326</v>
      </c>
      <c r="D36" s="178" t="s">
        <v>339</v>
      </c>
      <c r="E36" s="179" t="s">
        <v>283</v>
      </c>
      <c r="F36" s="32" t="s">
        <v>234</v>
      </c>
      <c r="G36" s="180" t="s">
        <v>340</v>
      </c>
      <c r="H36" s="174" t="s">
        <v>341</v>
      </c>
      <c r="I36" s="172" t="s">
        <v>222</v>
      </c>
    </row>
    <row r="37" customFormat="false" ht="18" hidden="false" customHeight="true" outlineLevel="0" collapsed="false">
      <c r="A37" s="169"/>
      <c r="B37" s="192"/>
      <c r="C37" s="193" t="s">
        <v>326</v>
      </c>
      <c r="D37" s="37" t="s">
        <v>342</v>
      </c>
      <c r="E37" s="76" t="s">
        <v>343</v>
      </c>
      <c r="F37" s="32" t="s">
        <v>234</v>
      </c>
      <c r="G37" s="177" t="s">
        <v>344</v>
      </c>
      <c r="H37" s="171" t="s">
        <v>345</v>
      </c>
      <c r="I37" s="32" t="s">
        <v>225</v>
      </c>
    </row>
    <row r="38" customFormat="false" ht="18" hidden="false" customHeight="true" outlineLevel="0" collapsed="false">
      <c r="A38" s="169"/>
      <c r="B38" s="192"/>
      <c r="C38" s="193" t="s">
        <v>326</v>
      </c>
      <c r="D38" s="178" t="s">
        <v>346</v>
      </c>
      <c r="E38" s="179" t="s">
        <v>228</v>
      </c>
      <c r="F38" s="32" t="s">
        <v>234</v>
      </c>
      <c r="G38" s="180" t="s">
        <v>347</v>
      </c>
      <c r="H38" s="174" t="s">
        <v>348</v>
      </c>
      <c r="I38" s="172" t="s">
        <v>222</v>
      </c>
    </row>
    <row r="39" customFormat="false" ht="13.5" hidden="false" customHeight="true" outlineLevel="0" collapsed="false">
      <c r="A39" s="169"/>
      <c r="B39" s="194"/>
      <c r="C39" s="195" t="s">
        <v>349</v>
      </c>
      <c r="D39" s="195"/>
      <c r="E39" s="195"/>
      <c r="F39" s="195"/>
      <c r="G39" s="195"/>
      <c r="H39" s="171" t="s">
        <v>350</v>
      </c>
      <c r="I39" s="32" t="s">
        <v>225</v>
      </c>
    </row>
    <row r="40" customFormat="false" ht="18" hidden="false" customHeight="true" outlineLevel="0" collapsed="false">
      <c r="A40" s="169"/>
      <c r="B40" s="194"/>
      <c r="C40" s="196" t="s">
        <v>351</v>
      </c>
      <c r="D40" s="178" t="s">
        <v>352</v>
      </c>
      <c r="E40" s="179" t="s">
        <v>248</v>
      </c>
      <c r="F40" s="54" t="s">
        <v>249</v>
      </c>
      <c r="G40" s="180" t="s">
        <v>250</v>
      </c>
      <c r="H40" s="174" t="s">
        <v>353</v>
      </c>
      <c r="I40" s="32" t="s">
        <v>225</v>
      </c>
    </row>
    <row r="41" customFormat="false" ht="18" hidden="false" customHeight="true" outlineLevel="0" collapsed="false">
      <c r="A41" s="169"/>
      <c r="B41" s="194"/>
      <c r="C41" s="196" t="s">
        <v>351</v>
      </c>
      <c r="D41" s="37" t="s">
        <v>354</v>
      </c>
      <c r="E41" s="76" t="s">
        <v>228</v>
      </c>
      <c r="F41" s="32" t="s">
        <v>355</v>
      </c>
      <c r="G41" s="177" t="s">
        <v>356</v>
      </c>
      <c r="H41" s="171" t="s">
        <v>357</v>
      </c>
      <c r="I41" s="172" t="s">
        <v>222</v>
      </c>
    </row>
    <row r="42" customFormat="false" ht="18" hidden="false" customHeight="true" outlineLevel="0" collapsed="false">
      <c r="A42" s="169"/>
      <c r="B42" s="192"/>
      <c r="C42" s="196" t="s">
        <v>351</v>
      </c>
      <c r="D42" s="178" t="s">
        <v>358</v>
      </c>
      <c r="E42" s="179" t="s">
        <v>228</v>
      </c>
      <c r="F42" s="176" t="s">
        <v>359</v>
      </c>
      <c r="G42" s="180" t="s">
        <v>300</v>
      </c>
      <c r="H42" s="174" t="s">
        <v>360</v>
      </c>
      <c r="I42" s="32" t="s">
        <v>225</v>
      </c>
    </row>
    <row r="43" customFormat="false" ht="18" hidden="false" customHeight="true" outlineLevel="0" collapsed="false">
      <c r="A43" s="169"/>
      <c r="B43" s="192"/>
      <c r="C43" s="196" t="s">
        <v>351</v>
      </c>
      <c r="D43" s="37" t="s">
        <v>361</v>
      </c>
      <c r="E43" s="76" t="s">
        <v>362</v>
      </c>
      <c r="F43" s="32" t="s">
        <v>363</v>
      </c>
      <c r="G43" s="177" t="s">
        <v>364</v>
      </c>
      <c r="H43" s="171" t="s">
        <v>365</v>
      </c>
      <c r="I43" s="32" t="s">
        <v>225</v>
      </c>
    </row>
    <row r="44" customFormat="false" ht="13.5" hidden="false" customHeight="true" outlineLevel="0" collapsed="false">
      <c r="A44" s="169"/>
      <c r="B44" s="192"/>
      <c r="C44" s="197" t="s">
        <v>366</v>
      </c>
      <c r="D44" s="197"/>
      <c r="E44" s="197"/>
      <c r="F44" s="197"/>
      <c r="G44" s="197"/>
      <c r="H44" s="174" t="s">
        <v>367</v>
      </c>
      <c r="I44" s="32" t="s">
        <v>225</v>
      </c>
    </row>
    <row r="45" customFormat="false" ht="18" hidden="false" customHeight="true" outlineLevel="0" collapsed="false">
      <c r="A45" s="169"/>
      <c r="B45" s="192"/>
      <c r="C45" s="198" t="s">
        <v>368</v>
      </c>
      <c r="D45" s="37" t="s">
        <v>369</v>
      </c>
      <c r="E45" s="76" t="s">
        <v>248</v>
      </c>
      <c r="F45" s="54" t="s">
        <v>249</v>
      </c>
      <c r="G45" s="177" t="s">
        <v>250</v>
      </c>
      <c r="H45" s="171" t="s">
        <v>370</v>
      </c>
      <c r="I45" s="32" t="s">
        <v>225</v>
      </c>
    </row>
    <row r="46" customFormat="false" ht="18" hidden="false" customHeight="true" outlineLevel="0" collapsed="false">
      <c r="A46" s="169"/>
      <c r="B46" s="192"/>
      <c r="C46" s="198" t="s">
        <v>368</v>
      </c>
      <c r="D46" s="178" t="s">
        <v>371</v>
      </c>
      <c r="E46" s="179" t="s">
        <v>283</v>
      </c>
      <c r="F46" s="32" t="s">
        <v>234</v>
      </c>
      <c r="G46" s="180" t="s">
        <v>372</v>
      </c>
      <c r="H46" s="174" t="s">
        <v>373</v>
      </c>
      <c r="I46" s="32" t="s">
        <v>225</v>
      </c>
    </row>
    <row r="47" customFormat="false" ht="18" hidden="false" customHeight="true" outlineLevel="0" collapsed="false">
      <c r="A47" s="169"/>
      <c r="B47" s="192"/>
      <c r="C47" s="198" t="s">
        <v>368</v>
      </c>
      <c r="D47" s="37" t="s">
        <v>374</v>
      </c>
      <c r="E47" s="76" t="s">
        <v>283</v>
      </c>
      <c r="F47" s="32" t="s">
        <v>234</v>
      </c>
      <c r="G47" s="177" t="s">
        <v>375</v>
      </c>
      <c r="H47" s="171" t="s">
        <v>376</v>
      </c>
      <c r="I47" s="172" t="s">
        <v>222</v>
      </c>
    </row>
    <row r="48" customFormat="false" ht="18" hidden="false" customHeight="true" outlineLevel="0" collapsed="false">
      <c r="A48" s="169"/>
      <c r="B48" s="64"/>
      <c r="C48" s="198" t="s">
        <v>368</v>
      </c>
      <c r="D48" s="178" t="s">
        <v>377</v>
      </c>
      <c r="E48" s="179" t="s">
        <v>283</v>
      </c>
      <c r="F48" s="32" t="s">
        <v>234</v>
      </c>
      <c r="G48" s="180" t="s">
        <v>378</v>
      </c>
      <c r="H48" s="174" t="s">
        <v>379</v>
      </c>
      <c r="I48" s="32" t="s">
        <v>225</v>
      </c>
    </row>
    <row r="49" customFormat="false" ht="13.5" hidden="false" customHeight="true" outlineLevel="0" collapsed="false">
      <c r="A49" s="169"/>
      <c r="B49" s="64"/>
      <c r="C49" s="199" t="s">
        <v>380</v>
      </c>
      <c r="D49" s="199"/>
      <c r="E49" s="199"/>
      <c r="F49" s="199"/>
      <c r="G49" s="199"/>
      <c r="H49" s="171" t="s">
        <v>381</v>
      </c>
      <c r="I49" s="172" t="s">
        <v>289</v>
      </c>
    </row>
    <row r="50" customFormat="false" ht="18" hidden="false" customHeight="true" outlineLevel="0" collapsed="false">
      <c r="A50" s="169"/>
      <c r="B50" s="64"/>
      <c r="C50" s="200" t="s">
        <v>382</v>
      </c>
      <c r="D50" s="178" t="s">
        <v>383</v>
      </c>
      <c r="E50" s="179" t="s">
        <v>362</v>
      </c>
      <c r="F50" s="32" t="s">
        <v>234</v>
      </c>
      <c r="G50" s="180" t="s">
        <v>364</v>
      </c>
      <c r="H50" s="174" t="s">
        <v>384</v>
      </c>
      <c r="I50" s="32" t="s">
        <v>225</v>
      </c>
    </row>
    <row r="51" customFormat="false" ht="18" hidden="false" customHeight="true" outlineLevel="0" collapsed="false">
      <c r="A51" s="169"/>
      <c r="B51" s="64"/>
      <c r="C51" s="200" t="s">
        <v>382</v>
      </c>
      <c r="D51" s="37" t="s">
        <v>385</v>
      </c>
      <c r="E51" s="76" t="s">
        <v>362</v>
      </c>
      <c r="F51" s="32" t="s">
        <v>234</v>
      </c>
      <c r="G51" s="177" t="s">
        <v>364</v>
      </c>
      <c r="H51" s="171" t="s">
        <v>386</v>
      </c>
      <c r="I51" s="32" t="s">
        <v>225</v>
      </c>
    </row>
    <row r="52" customFormat="false" ht="18" hidden="false" customHeight="true" outlineLevel="0" collapsed="false">
      <c r="A52" s="169"/>
      <c r="B52" s="96"/>
      <c r="C52" s="200" t="s">
        <v>382</v>
      </c>
      <c r="D52" s="178" t="s">
        <v>387</v>
      </c>
      <c r="E52" s="179" t="s">
        <v>283</v>
      </c>
      <c r="F52" s="32" t="s">
        <v>234</v>
      </c>
      <c r="G52" s="180" t="s">
        <v>388</v>
      </c>
      <c r="H52" s="174" t="s">
        <v>389</v>
      </c>
      <c r="I52" s="32" t="s">
        <v>225</v>
      </c>
    </row>
    <row r="53" customFormat="false" ht="18" hidden="false" customHeight="true" outlineLevel="0" collapsed="false">
      <c r="A53" s="169"/>
      <c r="B53" s="96"/>
      <c r="C53" s="200" t="s">
        <v>382</v>
      </c>
      <c r="D53" s="37" t="s">
        <v>390</v>
      </c>
      <c r="E53" s="76" t="s">
        <v>391</v>
      </c>
      <c r="F53" s="176" t="s">
        <v>392</v>
      </c>
      <c r="G53" s="177" t="s">
        <v>393</v>
      </c>
      <c r="H53" s="171" t="s">
        <v>394</v>
      </c>
      <c r="I53" s="32" t="s">
        <v>225</v>
      </c>
    </row>
    <row r="54" customFormat="false" ht="13.5" hidden="false" customHeight="true" outlineLevel="0" collapsed="false">
      <c r="A54" s="169"/>
      <c r="B54" s="96"/>
      <c r="C54" s="184" t="s">
        <v>395</v>
      </c>
      <c r="D54" s="184"/>
      <c r="E54" s="184"/>
      <c r="F54" s="184"/>
      <c r="G54" s="184"/>
      <c r="H54" s="174" t="s">
        <v>396</v>
      </c>
      <c r="I54" s="32" t="s">
        <v>225</v>
      </c>
    </row>
    <row r="55" customFormat="false" ht="18" hidden="false" customHeight="true" outlineLevel="0" collapsed="false">
      <c r="A55" s="169"/>
      <c r="B55" s="96"/>
      <c r="C55" s="185" t="s">
        <v>397</v>
      </c>
      <c r="D55" s="37" t="s">
        <v>398</v>
      </c>
      <c r="E55" s="76" t="s">
        <v>248</v>
      </c>
      <c r="F55" s="54" t="s">
        <v>249</v>
      </c>
      <c r="G55" s="177" t="s">
        <v>250</v>
      </c>
      <c r="H55" s="171" t="s">
        <v>399</v>
      </c>
      <c r="I55" s="32" t="s">
        <v>225</v>
      </c>
    </row>
    <row r="56" customFormat="false" ht="18" hidden="false" customHeight="true" outlineLevel="0" collapsed="false">
      <c r="A56" s="169"/>
      <c r="B56" s="64"/>
      <c r="C56" s="185" t="s">
        <v>397</v>
      </c>
      <c r="D56" s="178" t="s">
        <v>400</v>
      </c>
      <c r="E56" s="179" t="s">
        <v>283</v>
      </c>
      <c r="F56" s="32" t="s">
        <v>234</v>
      </c>
      <c r="G56" s="180" t="s">
        <v>401</v>
      </c>
      <c r="H56" s="174" t="s">
        <v>402</v>
      </c>
      <c r="I56" s="32" t="s">
        <v>225</v>
      </c>
    </row>
    <row r="57" customFormat="false" ht="18" hidden="false" customHeight="true" outlineLevel="0" collapsed="false">
      <c r="A57" s="169"/>
      <c r="B57" s="64"/>
      <c r="C57" s="185" t="s">
        <v>397</v>
      </c>
      <c r="D57" s="37" t="s">
        <v>403</v>
      </c>
      <c r="E57" s="76" t="s">
        <v>228</v>
      </c>
      <c r="F57" s="176" t="s">
        <v>404</v>
      </c>
      <c r="G57" s="177" t="s">
        <v>405</v>
      </c>
      <c r="H57" s="171" t="s">
        <v>406</v>
      </c>
      <c r="I57" s="32" t="s">
        <v>225</v>
      </c>
    </row>
    <row r="58" customFormat="false" ht="18" hidden="false" customHeight="true" outlineLevel="0" collapsed="false">
      <c r="A58" s="169"/>
      <c r="B58" s="64"/>
      <c r="C58" s="185" t="s">
        <v>397</v>
      </c>
      <c r="D58" s="178" t="s">
        <v>407</v>
      </c>
      <c r="E58" s="179" t="s">
        <v>283</v>
      </c>
      <c r="F58" s="32" t="s">
        <v>234</v>
      </c>
      <c r="G58" s="180" t="s">
        <v>408</v>
      </c>
      <c r="H58" s="174" t="s">
        <v>409</v>
      </c>
      <c r="I58" s="32" t="s">
        <v>225</v>
      </c>
    </row>
    <row r="59" customFormat="false" ht="13.5" hidden="false" customHeight="true" outlineLevel="0" collapsed="false">
      <c r="A59" s="169"/>
      <c r="B59" s="186"/>
      <c r="C59" s="191" t="s">
        <v>410</v>
      </c>
      <c r="D59" s="191"/>
      <c r="E59" s="191"/>
      <c r="F59" s="191"/>
      <c r="G59" s="191"/>
      <c r="H59" s="171" t="s">
        <v>411</v>
      </c>
      <c r="I59" s="32" t="s">
        <v>225</v>
      </c>
    </row>
    <row r="60" customFormat="false" ht="18" hidden="false" customHeight="true" outlineLevel="0" collapsed="false">
      <c r="A60" s="169"/>
      <c r="B60" s="192"/>
      <c r="C60" s="193" t="s">
        <v>412</v>
      </c>
      <c r="D60" s="178" t="s">
        <v>413</v>
      </c>
      <c r="E60" s="179" t="s">
        <v>248</v>
      </c>
      <c r="F60" s="54" t="s">
        <v>249</v>
      </c>
      <c r="G60" s="180" t="s">
        <v>250</v>
      </c>
      <c r="H60" s="174" t="s">
        <v>414</v>
      </c>
      <c r="I60" s="32" t="s">
        <v>225</v>
      </c>
    </row>
    <row r="61" customFormat="false" ht="18" hidden="false" customHeight="true" outlineLevel="0" collapsed="false">
      <c r="A61" s="169"/>
      <c r="B61" s="192"/>
      <c r="C61" s="193" t="s">
        <v>412</v>
      </c>
      <c r="D61" s="37" t="s">
        <v>415</v>
      </c>
      <c r="E61" s="76" t="s">
        <v>228</v>
      </c>
      <c r="F61" s="176" t="s">
        <v>272</v>
      </c>
      <c r="G61" s="177" t="s">
        <v>300</v>
      </c>
      <c r="H61" s="171" t="s">
        <v>416</v>
      </c>
      <c r="I61" s="32" t="s">
        <v>225</v>
      </c>
    </row>
    <row r="62" customFormat="false" ht="18" hidden="false" customHeight="true" outlineLevel="0" collapsed="false">
      <c r="C62" s="193" t="s">
        <v>412</v>
      </c>
      <c r="D62" s="178" t="s">
        <v>417</v>
      </c>
      <c r="E62" s="179" t="s">
        <v>283</v>
      </c>
      <c r="F62" s="32" t="s">
        <v>234</v>
      </c>
      <c r="G62" s="180" t="s">
        <v>418</v>
      </c>
    </row>
    <row r="63" customFormat="false" ht="18" hidden="false" customHeight="true" outlineLevel="0" collapsed="false">
      <c r="C63" s="193" t="s">
        <v>412</v>
      </c>
      <c r="D63" s="37" t="s">
        <v>419</v>
      </c>
      <c r="E63" s="76" t="s">
        <v>283</v>
      </c>
      <c r="F63" s="32" t="s">
        <v>234</v>
      </c>
      <c r="G63" s="177" t="s">
        <v>420</v>
      </c>
    </row>
    <row r="64" customFormat="false" ht="18" hidden="false" customHeight="true" outlineLevel="0" collapsed="false">
      <c r="C64" s="193" t="s">
        <v>412</v>
      </c>
      <c r="D64" s="178" t="s">
        <v>421</v>
      </c>
      <c r="E64" s="179" t="s">
        <v>422</v>
      </c>
      <c r="F64" s="32" t="s">
        <v>234</v>
      </c>
      <c r="G64" s="180" t="s">
        <v>423</v>
      </c>
    </row>
    <row r="65" customFormat="false" ht="13.5" hidden="false" customHeight="true" outlineLevel="0" collapsed="false">
      <c r="C65" s="201" t="s">
        <v>424</v>
      </c>
      <c r="D65" s="201"/>
      <c r="E65" s="201"/>
      <c r="F65" s="201"/>
      <c r="G65" s="201"/>
    </row>
    <row r="66" customFormat="false" ht="18" hidden="false" customHeight="true" outlineLevel="0" collapsed="false">
      <c r="C66" s="196" t="s">
        <v>425</v>
      </c>
      <c r="D66" s="178" t="s">
        <v>426</v>
      </c>
      <c r="E66" s="179" t="s">
        <v>248</v>
      </c>
      <c r="F66" s="54" t="s">
        <v>249</v>
      </c>
      <c r="G66" s="180" t="s">
        <v>250</v>
      </c>
    </row>
    <row r="67" customFormat="false" ht="18" hidden="false" customHeight="true" outlineLevel="0" collapsed="false">
      <c r="C67" s="196" t="s">
        <v>425</v>
      </c>
      <c r="D67" s="37" t="s">
        <v>427</v>
      </c>
      <c r="E67" s="76" t="s">
        <v>228</v>
      </c>
      <c r="F67" s="176" t="s">
        <v>303</v>
      </c>
      <c r="G67" s="177" t="s">
        <v>304</v>
      </c>
    </row>
    <row r="68" customFormat="false" ht="18" hidden="false" customHeight="true" outlineLevel="0" collapsed="false">
      <c r="C68" s="196" t="s">
        <v>425</v>
      </c>
      <c r="D68" s="178" t="s">
        <v>428</v>
      </c>
      <c r="E68" s="179" t="s">
        <v>429</v>
      </c>
      <c r="F68" s="32" t="s">
        <v>234</v>
      </c>
      <c r="G68" s="180" t="s">
        <v>430</v>
      </c>
    </row>
    <row r="69" customFormat="false" ht="18" hidden="false" customHeight="true" outlineLevel="0" collapsed="false">
      <c r="C69" s="196" t="s">
        <v>425</v>
      </c>
      <c r="D69" s="37" t="s">
        <v>431</v>
      </c>
      <c r="E69" s="76" t="s">
        <v>283</v>
      </c>
      <c r="F69" s="32" t="s">
        <v>234</v>
      </c>
      <c r="G69" s="177" t="s">
        <v>432</v>
      </c>
    </row>
    <row r="70" customFormat="false" ht="13.5" hidden="false" customHeight="true" outlineLevel="0" collapsed="false">
      <c r="C70" s="202" t="s">
        <v>433</v>
      </c>
      <c r="D70" s="202"/>
      <c r="E70" s="202"/>
      <c r="F70" s="202"/>
      <c r="G70" s="202"/>
    </row>
    <row r="71" customFormat="false" ht="18" hidden="false" customHeight="true" outlineLevel="0" collapsed="false">
      <c r="C71" s="182" t="s">
        <v>434</v>
      </c>
      <c r="D71" s="37" t="s">
        <v>435</v>
      </c>
      <c r="E71" s="76" t="s">
        <v>248</v>
      </c>
      <c r="F71" s="54" t="s">
        <v>249</v>
      </c>
      <c r="G71" s="177" t="s">
        <v>250</v>
      </c>
    </row>
    <row r="72" customFormat="false" ht="18" hidden="false" customHeight="true" outlineLevel="0" collapsed="false">
      <c r="C72" s="182" t="s">
        <v>434</v>
      </c>
      <c r="D72" s="178" t="s">
        <v>436</v>
      </c>
      <c r="E72" s="179" t="s">
        <v>437</v>
      </c>
      <c r="F72" s="32" t="s">
        <v>234</v>
      </c>
      <c r="G72" s="180" t="s">
        <v>438</v>
      </c>
    </row>
    <row r="73" customFormat="false" ht="18" hidden="false" customHeight="true" outlineLevel="0" collapsed="false">
      <c r="C73" s="182" t="s">
        <v>434</v>
      </c>
      <c r="D73" s="37" t="s">
        <v>439</v>
      </c>
      <c r="E73" s="76" t="s">
        <v>440</v>
      </c>
      <c r="F73" s="176" t="s">
        <v>441</v>
      </c>
      <c r="G73" s="177" t="s">
        <v>442</v>
      </c>
    </row>
    <row r="74" customFormat="false" ht="18" hidden="false" customHeight="true" outlineLevel="0" collapsed="false">
      <c r="C74" s="182" t="s">
        <v>434</v>
      </c>
      <c r="D74" s="178" t="s">
        <v>443</v>
      </c>
      <c r="E74" s="179" t="s">
        <v>444</v>
      </c>
      <c r="F74" s="32" t="s">
        <v>234</v>
      </c>
      <c r="G74" s="180" t="s">
        <v>443</v>
      </c>
    </row>
    <row r="75" customFormat="false" ht="13.5" hidden="false" customHeight="true" outlineLevel="0" collapsed="false">
      <c r="C75" s="202" t="s">
        <v>445</v>
      </c>
      <c r="D75" s="202"/>
      <c r="E75" s="202"/>
      <c r="F75" s="202"/>
      <c r="G75" s="202"/>
    </row>
    <row r="76" customFormat="false" ht="18" hidden="false" customHeight="true" outlineLevel="0" collapsed="false">
      <c r="C76" s="182" t="s">
        <v>446</v>
      </c>
      <c r="D76" s="178" t="s">
        <v>447</v>
      </c>
      <c r="E76" s="179" t="s">
        <v>248</v>
      </c>
      <c r="F76" s="54" t="s">
        <v>249</v>
      </c>
      <c r="G76" s="180" t="s">
        <v>250</v>
      </c>
    </row>
    <row r="77" customFormat="false" ht="18" hidden="false" customHeight="true" outlineLevel="0" collapsed="false">
      <c r="C77" s="182" t="s">
        <v>446</v>
      </c>
      <c r="D77" s="37" t="s">
        <v>448</v>
      </c>
      <c r="E77" s="76" t="s">
        <v>449</v>
      </c>
      <c r="F77" s="32" t="s">
        <v>234</v>
      </c>
      <c r="G77" s="177" t="s">
        <v>450</v>
      </c>
    </row>
    <row r="78" customFormat="false" ht="18" hidden="false" customHeight="true" outlineLevel="0" collapsed="false">
      <c r="C78" s="182" t="s">
        <v>446</v>
      </c>
      <c r="D78" s="178" t="s">
        <v>451</v>
      </c>
      <c r="E78" s="179" t="s">
        <v>283</v>
      </c>
      <c r="F78" s="32" t="s">
        <v>234</v>
      </c>
      <c r="G78" s="180" t="s">
        <v>452</v>
      </c>
    </row>
    <row r="79" customFormat="false" ht="18" hidden="false" customHeight="true" outlineLevel="0" collapsed="false">
      <c r="C79" s="182" t="s">
        <v>446</v>
      </c>
      <c r="D79" s="37" t="s">
        <v>453</v>
      </c>
      <c r="E79" s="76" t="s">
        <v>237</v>
      </c>
      <c r="F79" s="32" t="s">
        <v>234</v>
      </c>
      <c r="G79" s="177" t="s">
        <v>454</v>
      </c>
    </row>
    <row r="80" customFormat="false" ht="18" hidden="false" customHeight="true" outlineLevel="0" collapsed="false">
      <c r="C80" s="182" t="s">
        <v>446</v>
      </c>
      <c r="D80" s="178" t="s">
        <v>455</v>
      </c>
      <c r="E80" s="179" t="s">
        <v>237</v>
      </c>
      <c r="F80" s="32" t="s">
        <v>234</v>
      </c>
      <c r="G80" s="180" t="s">
        <v>456</v>
      </c>
    </row>
    <row r="81" customFormat="false" ht="13.5" hidden="false" customHeight="true" outlineLevel="0" collapsed="false">
      <c r="C81" s="203" t="s">
        <v>457</v>
      </c>
      <c r="D81" s="203"/>
      <c r="E81" s="203"/>
      <c r="F81" s="203"/>
      <c r="G81" s="203"/>
    </row>
    <row r="82" customFormat="false" ht="18" hidden="false" customHeight="true" outlineLevel="0" collapsed="false">
      <c r="C82" s="190" t="s">
        <v>458</v>
      </c>
      <c r="D82" s="178" t="s">
        <v>459</v>
      </c>
      <c r="E82" s="179" t="s">
        <v>248</v>
      </c>
      <c r="F82" s="54" t="s">
        <v>249</v>
      </c>
      <c r="G82" s="180" t="s">
        <v>250</v>
      </c>
    </row>
    <row r="83" customFormat="false" ht="18" hidden="false" customHeight="true" outlineLevel="0" collapsed="false">
      <c r="C83" s="190" t="s">
        <v>458</v>
      </c>
      <c r="D83" s="37" t="s">
        <v>460</v>
      </c>
      <c r="E83" s="76" t="s">
        <v>440</v>
      </c>
      <c r="F83" s="176" t="s">
        <v>441</v>
      </c>
      <c r="G83" s="177" t="s">
        <v>442</v>
      </c>
    </row>
    <row r="84" customFormat="false" ht="18" hidden="false" customHeight="true" outlineLevel="0" collapsed="false">
      <c r="C84" s="190" t="s">
        <v>458</v>
      </c>
      <c r="D84" s="178" t="s">
        <v>461</v>
      </c>
      <c r="E84" s="179" t="s">
        <v>462</v>
      </c>
      <c r="F84" s="176" t="s">
        <v>441</v>
      </c>
      <c r="G84" s="180" t="s">
        <v>463</v>
      </c>
    </row>
    <row r="85" customFormat="false" ht="18" hidden="false" customHeight="true" outlineLevel="0" collapsed="false">
      <c r="C85" s="190" t="s">
        <v>458</v>
      </c>
      <c r="D85" s="37" t="s">
        <v>464</v>
      </c>
      <c r="E85" s="76" t="s">
        <v>465</v>
      </c>
      <c r="F85" s="32" t="s">
        <v>234</v>
      </c>
      <c r="G85" s="177" t="s">
        <v>466</v>
      </c>
    </row>
    <row r="86" customFormat="false" ht="18" hidden="false" customHeight="true" outlineLevel="0" collapsed="false">
      <c r="C86" s="190" t="s">
        <v>458</v>
      </c>
      <c r="D86" s="178" t="s">
        <v>467</v>
      </c>
      <c r="E86" s="179" t="s">
        <v>237</v>
      </c>
      <c r="F86" s="32" t="s">
        <v>234</v>
      </c>
      <c r="G86" s="180" t="s">
        <v>468</v>
      </c>
    </row>
    <row r="87" customFormat="false" ht="13.5" hidden="false" customHeight="true" outlineLevel="0" collapsed="false">
      <c r="C87" s="204" t="s">
        <v>469</v>
      </c>
      <c r="D87" s="204"/>
      <c r="E87" s="204"/>
      <c r="F87" s="204"/>
      <c r="G87" s="204"/>
    </row>
    <row r="88" customFormat="false" ht="18" hidden="false" customHeight="true" outlineLevel="0" collapsed="false">
      <c r="C88" s="198" t="s">
        <v>470</v>
      </c>
      <c r="D88" s="178" t="s">
        <v>471</v>
      </c>
      <c r="E88" s="179" t="s">
        <v>472</v>
      </c>
      <c r="F88" s="32" t="s">
        <v>234</v>
      </c>
      <c r="G88" s="180" t="s">
        <v>473</v>
      </c>
    </row>
    <row r="89" customFormat="false" ht="18" hidden="false" customHeight="true" outlineLevel="0" collapsed="false">
      <c r="C89" s="198" t="s">
        <v>470</v>
      </c>
      <c r="D89" s="37" t="s">
        <v>474</v>
      </c>
      <c r="E89" s="76" t="s">
        <v>472</v>
      </c>
      <c r="F89" s="32" t="s">
        <v>234</v>
      </c>
      <c r="G89" s="177" t="s">
        <v>473</v>
      </c>
    </row>
    <row r="90" customFormat="false" ht="18" hidden="false" customHeight="true" outlineLevel="0" collapsed="false">
      <c r="C90" s="198" t="s">
        <v>470</v>
      </c>
      <c r="D90" s="178" t="s">
        <v>475</v>
      </c>
      <c r="E90" s="179" t="s">
        <v>472</v>
      </c>
      <c r="F90" s="32" t="s">
        <v>234</v>
      </c>
      <c r="G90" s="180" t="s">
        <v>473</v>
      </c>
    </row>
    <row r="91" customFormat="false" ht="18" hidden="false" customHeight="true" outlineLevel="0" collapsed="false">
      <c r="C91" s="198" t="s">
        <v>470</v>
      </c>
      <c r="D91" s="37" t="s">
        <v>476</v>
      </c>
      <c r="E91" s="76" t="s">
        <v>477</v>
      </c>
      <c r="F91" s="32" t="s">
        <v>234</v>
      </c>
      <c r="G91" s="177" t="s">
        <v>478</v>
      </c>
    </row>
    <row r="92" customFormat="false" ht="18" hidden="false" customHeight="true" outlineLevel="0" collapsed="false">
      <c r="C92" s="198" t="s">
        <v>470</v>
      </c>
      <c r="D92" s="178" t="s">
        <v>479</v>
      </c>
      <c r="E92" s="179" t="s">
        <v>480</v>
      </c>
      <c r="F92" s="32" t="s">
        <v>234</v>
      </c>
      <c r="G92" s="180" t="s">
        <v>481</v>
      </c>
    </row>
    <row r="93" customFormat="false" ht="18" hidden="false" customHeight="true" outlineLevel="0" collapsed="false">
      <c r="C93" s="198" t="s">
        <v>470</v>
      </c>
      <c r="D93" s="37" t="s">
        <v>482</v>
      </c>
      <c r="E93" s="76" t="s">
        <v>483</v>
      </c>
      <c r="F93" s="32" t="s">
        <v>234</v>
      </c>
      <c r="G93" s="177" t="s">
        <v>484</v>
      </c>
    </row>
    <row r="94" customFormat="false" ht="13.5" hidden="false" customHeight="true" outlineLevel="0" collapsed="false">
      <c r="C94" s="205" t="s">
        <v>485</v>
      </c>
      <c r="D94" s="205"/>
      <c r="E94" s="205"/>
      <c r="F94" s="205"/>
      <c r="G94" s="205"/>
    </row>
    <row r="95" customFormat="false" ht="18" hidden="false" customHeight="true" outlineLevel="0" collapsed="false">
      <c r="C95" s="206" t="s">
        <v>486</v>
      </c>
      <c r="D95" s="37" t="s">
        <v>487</v>
      </c>
      <c r="E95" s="76" t="s">
        <v>228</v>
      </c>
      <c r="F95" s="176" t="s">
        <v>272</v>
      </c>
      <c r="G95" s="177" t="s">
        <v>304</v>
      </c>
    </row>
    <row r="96" customFormat="false" ht="18" hidden="false" customHeight="true" outlineLevel="0" collapsed="false">
      <c r="C96" s="206" t="s">
        <v>486</v>
      </c>
      <c r="D96" s="178" t="s">
        <v>488</v>
      </c>
      <c r="E96" s="179" t="s">
        <v>237</v>
      </c>
      <c r="F96" s="32" t="s">
        <v>234</v>
      </c>
      <c r="G96" s="180" t="s">
        <v>489</v>
      </c>
    </row>
    <row r="97" customFormat="false" ht="18" hidden="false" customHeight="true" outlineLevel="0" collapsed="false">
      <c r="C97" s="206" t="s">
        <v>486</v>
      </c>
      <c r="D97" s="37" t="s">
        <v>490</v>
      </c>
      <c r="E97" s="76" t="s">
        <v>237</v>
      </c>
      <c r="F97" s="32" t="s">
        <v>234</v>
      </c>
      <c r="G97" s="177" t="s">
        <v>491</v>
      </c>
    </row>
    <row r="98" customFormat="false" ht="18" hidden="false" customHeight="true" outlineLevel="0" collapsed="false">
      <c r="C98" s="206" t="s">
        <v>486</v>
      </c>
      <c r="D98" s="178" t="s">
        <v>492</v>
      </c>
      <c r="E98" s="179" t="s">
        <v>493</v>
      </c>
      <c r="F98" s="32" t="s">
        <v>234</v>
      </c>
      <c r="G98" s="180" t="s">
        <v>494</v>
      </c>
    </row>
    <row r="99" customFormat="false" ht="13.5" hidden="false" customHeight="true" outlineLevel="0" collapsed="false">
      <c r="C99" s="207" t="s">
        <v>495</v>
      </c>
      <c r="D99" s="207"/>
      <c r="E99" s="207"/>
      <c r="F99" s="207"/>
      <c r="G99" s="207"/>
    </row>
    <row r="100" customFormat="false" ht="18" hidden="false" customHeight="true" outlineLevel="0" collapsed="false">
      <c r="C100" s="188" t="s">
        <v>496</v>
      </c>
      <c r="D100" s="178" t="s">
        <v>497</v>
      </c>
      <c r="E100" s="179" t="s">
        <v>241</v>
      </c>
      <c r="F100" s="32" t="s">
        <v>234</v>
      </c>
      <c r="G100" s="180" t="s">
        <v>242</v>
      </c>
    </row>
    <row r="101" customFormat="false" ht="18" hidden="false" customHeight="true" outlineLevel="0" collapsed="false">
      <c r="C101" s="188" t="s">
        <v>496</v>
      </c>
      <c r="D101" s="37" t="s">
        <v>498</v>
      </c>
      <c r="E101" s="76" t="s">
        <v>499</v>
      </c>
      <c r="F101" s="32" t="s">
        <v>234</v>
      </c>
      <c r="G101" s="177" t="s">
        <v>500</v>
      </c>
    </row>
    <row r="102" customFormat="false" ht="18" hidden="false" customHeight="true" outlineLevel="0" collapsed="false">
      <c r="C102" s="188" t="s">
        <v>496</v>
      </c>
      <c r="D102" s="178" t="s">
        <v>501</v>
      </c>
      <c r="E102" s="179" t="s">
        <v>502</v>
      </c>
      <c r="F102" s="32" t="s">
        <v>234</v>
      </c>
      <c r="G102" s="180" t="s">
        <v>503</v>
      </c>
    </row>
    <row r="103" customFormat="false" ht="18" hidden="false" customHeight="true" outlineLevel="0" collapsed="false">
      <c r="C103" s="188" t="s">
        <v>496</v>
      </c>
      <c r="D103" s="37" t="s">
        <v>504</v>
      </c>
      <c r="E103" s="76" t="s">
        <v>391</v>
      </c>
      <c r="F103" s="176" t="s">
        <v>392</v>
      </c>
      <c r="G103" s="177" t="s">
        <v>393</v>
      </c>
    </row>
    <row r="104" customFormat="false" ht="18" hidden="false" customHeight="true" outlineLevel="0" collapsed="false">
      <c r="C104" s="188" t="s">
        <v>496</v>
      </c>
      <c r="D104" s="178" t="s">
        <v>505</v>
      </c>
      <c r="E104" s="179" t="s">
        <v>462</v>
      </c>
      <c r="F104" s="176" t="s">
        <v>441</v>
      </c>
      <c r="G104" s="180" t="s">
        <v>463</v>
      </c>
    </row>
    <row r="105" customFormat="false" ht="18" hidden="false" customHeight="true" outlineLevel="0" collapsed="false">
      <c r="C105" s="188" t="s">
        <v>496</v>
      </c>
      <c r="D105" s="37" t="s">
        <v>506</v>
      </c>
      <c r="E105" s="76" t="s">
        <v>440</v>
      </c>
      <c r="F105" s="176" t="s">
        <v>441</v>
      </c>
      <c r="G105" s="177" t="s">
        <v>442</v>
      </c>
    </row>
  </sheetData>
  <autoFilter ref="B2:I61"/>
  <mergeCells count="20">
    <mergeCell ref="A1:I1"/>
    <mergeCell ref="A2:G2"/>
    <mergeCell ref="C4:G4"/>
    <mergeCell ref="C9:G9"/>
    <mergeCell ref="C15:G15"/>
    <mergeCell ref="C21:G21"/>
    <mergeCell ref="C26:G26"/>
    <mergeCell ref="C31:G31"/>
    <mergeCell ref="C39:G39"/>
    <mergeCell ref="C44:G44"/>
    <mergeCell ref="C49:G49"/>
    <mergeCell ref="C54:G54"/>
    <mergeCell ref="C59:G59"/>
    <mergeCell ref="C65:G65"/>
    <mergeCell ref="C70:G70"/>
    <mergeCell ref="C75:G75"/>
    <mergeCell ref="C81:G81"/>
    <mergeCell ref="C87:G87"/>
    <mergeCell ref="C94:G94"/>
    <mergeCell ref="C99:G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K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10" min="3" style="1" width="10"/>
    <col collapsed="false" customWidth="true" hidden="false" outlineLevel="0" max="11" min="11" style="1" width="14"/>
  </cols>
  <sheetData>
    <row r="1" customFormat="false" ht="21.75" hidden="false" customHeight="true" outlineLevel="0" collapsed="false">
      <c r="A1" s="2" t="s">
        <v>507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customFormat="false" ht="13.5" hidden="false" customHeight="true" outlineLevel="0" collapsed="false">
      <c r="B3" s="208" t="s">
        <v>508</v>
      </c>
      <c r="C3" s="208"/>
      <c r="D3" s="209" t="s">
        <v>509</v>
      </c>
      <c r="E3" s="209"/>
      <c r="F3" s="210" t="s">
        <v>510</v>
      </c>
      <c r="G3" s="210"/>
      <c r="H3" s="211" t="s">
        <v>511</v>
      </c>
      <c r="I3" s="211"/>
    </row>
    <row r="4" customFormat="false" ht="21.75" hidden="false" customHeight="true" outlineLevel="0" collapsed="false">
      <c r="B4" s="212" t="n">
        <f aca="true">IFERROR(SUMPRODUCT((WEEKDAY(TODAY()-ROW(INDIRECT("1:"&amp;(TODAY()-DATE(2026,3,30)+1))),2)&lt;6)*1),0)</f>
        <v>0</v>
      </c>
      <c r="C4" s="212"/>
      <c r="D4" s="213" t="n">
        <f aca="false">COUNTIF('📝 Daily Log'!G3:G500,"✅ Done")</f>
        <v>4</v>
      </c>
      <c r="E4" s="213"/>
      <c r="F4" s="214" t="n">
        <f aca="false">IFERROR(MAX('🔢 Stats (Do Not Edit)'!B2:B40),0)</f>
        <v>10.5</v>
      </c>
      <c r="G4" s="214"/>
      <c r="H4" s="215" t="n">
        <f aca="false">COUNTIF('📝 Daily Log'!G3:G500,"❌ Missed")</f>
        <v>0</v>
      </c>
      <c r="I4" s="215"/>
    </row>
    <row r="5" customFormat="false" ht="13.5" hidden="false" customHeight="true" outlineLevel="0" collapsed="false">
      <c r="B5" s="216" t="s">
        <v>512</v>
      </c>
      <c r="C5" s="216"/>
      <c r="D5" s="217" t="s">
        <v>513</v>
      </c>
      <c r="E5" s="217"/>
      <c r="F5" s="218" t="s">
        <v>514</v>
      </c>
      <c r="G5" s="218"/>
      <c r="H5" s="219" t="s">
        <v>513</v>
      </c>
      <c r="I5" s="219"/>
    </row>
    <row r="7" customFormat="false" ht="15.75" hidden="false" customHeight="true" outlineLevel="0" collapsed="false">
      <c r="B7" s="220" t="s">
        <v>515</v>
      </c>
      <c r="C7" s="220"/>
      <c r="D7" s="220"/>
      <c r="E7" s="220"/>
      <c r="F7" s="220"/>
      <c r="G7" s="220"/>
      <c r="H7" s="220"/>
      <c r="I7" s="220"/>
      <c r="J7" s="220"/>
      <c r="K7" s="220"/>
    </row>
    <row r="8" customFormat="false" ht="15" hidden="false" customHeight="true" outlineLevel="0" collapsed="false">
      <c r="B8" s="123" t="s">
        <v>137</v>
      </c>
      <c r="C8" s="123" t="s">
        <v>118</v>
      </c>
      <c r="D8" s="123" t="s">
        <v>123</v>
      </c>
      <c r="E8" s="123" t="s">
        <v>126</v>
      </c>
      <c r="F8" s="123" t="s">
        <v>130</v>
      </c>
      <c r="G8" s="123" t="s">
        <v>133</v>
      </c>
      <c r="H8" s="123" t="s">
        <v>516</v>
      </c>
      <c r="I8" s="123" t="s">
        <v>517</v>
      </c>
      <c r="J8" s="123" t="s">
        <v>518</v>
      </c>
      <c r="K8" s="123" t="s">
        <v>113</v>
      </c>
    </row>
    <row r="9" customFormat="false" ht="15.75" hidden="false" customHeight="true" outlineLevel="0" collapsed="false">
      <c r="B9" s="221" t="s">
        <v>145</v>
      </c>
      <c r="C9" s="44" t="str">
        <f aca="false">IFERROR(IF(COUNTIFS('📝 Daily Log'!C$3:C$500,1,'📝 Daily Log'!G$3:G$500,"✅ Done",WEEKDAY('📝 Daily Log'!B$3:B$500,2),2)&gt;0,"✅",""),"")</f>
        <v/>
      </c>
      <c r="D9" s="44" t="str">
        <f aca="false">IFERROR(IF(COUNTIFS('📝 Daily Log'!C$3:C$500,1,'📝 Daily Log'!G$3:G$500,"✅ Done",WEEKDAY('📝 Daily Log'!B$3:B$500,2),3)&gt;0,"✅",""),"")</f>
        <v/>
      </c>
      <c r="E9" s="44" t="str">
        <f aca="false">IFERROR(IF(COUNTIFS('📝 Daily Log'!C$3:C$500,1,'📝 Daily Log'!G$3:G$500,"✅ Done",WEEKDAY('📝 Daily Log'!B$3:B$500,2),4)&gt;0,"✅",""),"")</f>
        <v/>
      </c>
      <c r="F9" s="44" t="str">
        <f aca="false">IFERROR(IF(COUNTIFS('📝 Daily Log'!C$3:C$500,1,'📝 Daily Log'!G$3:G$500,"✅ Done",WEEKDAY('📝 Daily Log'!B$3:B$500,2),5)&gt;0,"✅",""),"")</f>
        <v/>
      </c>
      <c r="G9" s="44" t="str">
        <f aca="false">IFERROR(IF(COUNTIFS('📝 Daily Log'!C$3:C$500,1,'📝 Daily Log'!G$3:G$500,"✅ Done",WEEKDAY('📝 Daily Log'!B$3:B$500,2),6)&gt;0,"✅",""),"")</f>
        <v/>
      </c>
      <c r="H9" s="44" t="str">
        <f aca="false">IFERROR(IF(COUNTIFS('📝 Daily Log'!C$3:C$500,1,'📝 Daily Log'!G$3:G$500,"✅ Done",WEEKDAY('📝 Daily Log'!B$3:B$500,2),7)&gt;0,"✅",""),"")</f>
        <v/>
      </c>
      <c r="I9" s="44" t="str">
        <f aca="false">IFERROR(IF(COUNTIFS('📝 Daily Log'!C$3:C$500,1,'📝 Daily Log'!G$3:G$500,"✅ Done",WEEKDAY('📝 Daily Log'!B$3:B$500,2),1)&gt;0,"✅",""),"")</f>
        <v/>
      </c>
      <c r="J9" s="222" t="n">
        <f aca="false">IFERROR(COUNTIFS('📝 Daily Log'!C$3:C$500,1,'📝 Daily Log'!G$3:G$500,"✅ Done")/COUNTIF('📝 Daily Log'!C$3:C$500,1),"")</f>
        <v>0.8</v>
      </c>
      <c r="K9" s="223" t="n">
        <f aca="false">IFERROR(SUMIF('📝 Daily Log'!C$3:C$500,1,'📝 Daily Log'!H$3:H$500),"")</f>
        <v>10.5</v>
      </c>
    </row>
    <row r="10" customFormat="false" ht="15.75" hidden="false" customHeight="true" outlineLevel="0" collapsed="false">
      <c r="B10" s="224" t="s">
        <v>146</v>
      </c>
      <c r="C10" s="225" t="str">
        <f aca="false">IFERROR(IF(COUNTIFS('📝 Daily Log'!C$3:C$500,2,'📝 Daily Log'!G$3:G$500,"✅ Done",WEEKDAY('📝 Daily Log'!B$3:B$500,2),2)&gt;0,"✅",""),"")</f>
        <v/>
      </c>
      <c r="D10" s="225" t="str">
        <f aca="false">IFERROR(IF(COUNTIFS('📝 Daily Log'!C$3:C$500,2,'📝 Daily Log'!G$3:G$500,"✅ Done",WEEKDAY('📝 Daily Log'!B$3:B$500,2),3)&gt;0,"✅",""),"")</f>
        <v/>
      </c>
      <c r="E10" s="225" t="str">
        <f aca="false">IFERROR(IF(COUNTIFS('📝 Daily Log'!C$3:C$500,2,'📝 Daily Log'!G$3:G$500,"✅ Done",WEEKDAY('📝 Daily Log'!B$3:B$500,2),4)&gt;0,"✅",""),"")</f>
        <v/>
      </c>
      <c r="F10" s="225" t="str">
        <f aca="false">IFERROR(IF(COUNTIFS('📝 Daily Log'!C$3:C$500,2,'📝 Daily Log'!G$3:G$500,"✅ Done",WEEKDAY('📝 Daily Log'!B$3:B$500,2),5)&gt;0,"✅",""),"")</f>
        <v/>
      </c>
      <c r="G10" s="225" t="str">
        <f aca="false">IFERROR(IF(COUNTIFS('📝 Daily Log'!C$3:C$500,2,'📝 Daily Log'!G$3:G$500,"✅ Done",WEEKDAY('📝 Daily Log'!B$3:B$500,2),6)&gt;0,"✅",""),"")</f>
        <v/>
      </c>
      <c r="H10" s="225" t="str">
        <f aca="false">IFERROR(IF(COUNTIFS('📝 Daily Log'!C$3:C$500,2,'📝 Daily Log'!G$3:G$500,"✅ Done",WEEKDAY('📝 Daily Log'!B$3:B$500,2),7)&gt;0,"✅",""),"")</f>
        <v/>
      </c>
      <c r="I10" s="225" t="str">
        <f aca="false">IFERROR(IF(COUNTIFS('📝 Daily Log'!C$3:C$500,2,'📝 Daily Log'!G$3:G$500,"✅ Done",WEEKDAY('📝 Daily Log'!B$3:B$500,2),1)&gt;0,"✅",""),"")</f>
        <v/>
      </c>
      <c r="J10" s="226" t="str">
        <f aca="false">IFERROR(COUNTIFS('📝 Daily Log'!C$3:C$500,2,'📝 Daily Log'!G$3:G$500,"✅ Done")/COUNTIF('📝 Daily Log'!C$3:C$500,2),"")</f>
        <v/>
      </c>
      <c r="K10" s="227" t="n">
        <f aca="false">IFERROR(SUMIF('📝 Daily Log'!C$3:C$500,2,'📝 Daily Log'!H$3:H$500),"")</f>
        <v>0</v>
      </c>
    </row>
    <row r="11" customFormat="false" ht="15.75" hidden="false" customHeight="true" outlineLevel="0" collapsed="false">
      <c r="B11" s="221" t="s">
        <v>147</v>
      </c>
      <c r="C11" s="44" t="str">
        <f aca="false">IFERROR(IF(COUNTIFS('📝 Daily Log'!C$3:C$500,3,'📝 Daily Log'!G$3:G$500,"✅ Done",WEEKDAY('📝 Daily Log'!B$3:B$500,2),2)&gt;0,"✅",""),"")</f>
        <v/>
      </c>
      <c r="D11" s="44" t="str">
        <f aca="false">IFERROR(IF(COUNTIFS('📝 Daily Log'!C$3:C$500,3,'📝 Daily Log'!G$3:G$500,"✅ Done",WEEKDAY('📝 Daily Log'!B$3:B$500,2),3)&gt;0,"✅",""),"")</f>
        <v/>
      </c>
      <c r="E11" s="44" t="str">
        <f aca="false">IFERROR(IF(COUNTIFS('📝 Daily Log'!C$3:C$500,3,'📝 Daily Log'!G$3:G$500,"✅ Done",WEEKDAY('📝 Daily Log'!B$3:B$500,2),4)&gt;0,"✅",""),"")</f>
        <v/>
      </c>
      <c r="F11" s="44" t="str">
        <f aca="false">IFERROR(IF(COUNTIFS('📝 Daily Log'!C$3:C$500,3,'📝 Daily Log'!G$3:G$500,"✅ Done",WEEKDAY('📝 Daily Log'!B$3:B$500,2),5)&gt;0,"✅",""),"")</f>
        <v/>
      </c>
      <c r="G11" s="44" t="str">
        <f aca="false">IFERROR(IF(COUNTIFS('📝 Daily Log'!C$3:C$500,3,'📝 Daily Log'!G$3:G$500,"✅ Done",WEEKDAY('📝 Daily Log'!B$3:B$500,2),6)&gt;0,"✅",""),"")</f>
        <v/>
      </c>
      <c r="H11" s="44" t="str">
        <f aca="false">IFERROR(IF(COUNTIFS('📝 Daily Log'!C$3:C$500,3,'📝 Daily Log'!G$3:G$500,"✅ Done",WEEKDAY('📝 Daily Log'!B$3:B$500,2),7)&gt;0,"✅",""),"")</f>
        <v/>
      </c>
      <c r="I11" s="44" t="str">
        <f aca="false">IFERROR(IF(COUNTIFS('📝 Daily Log'!C$3:C$500,3,'📝 Daily Log'!G$3:G$500,"✅ Done",WEEKDAY('📝 Daily Log'!B$3:B$500,2),1)&gt;0,"✅",""),"")</f>
        <v/>
      </c>
      <c r="J11" s="222" t="str">
        <f aca="false">IFERROR(COUNTIFS('📝 Daily Log'!C$3:C$500,3,'📝 Daily Log'!G$3:G$500,"✅ Done")/COUNTIF('📝 Daily Log'!C$3:C$500,3),"")</f>
        <v/>
      </c>
      <c r="K11" s="223" t="n">
        <f aca="false">IFERROR(SUMIF('📝 Daily Log'!C$3:C$500,3,'📝 Daily Log'!H$3:H$500),"")</f>
        <v>0</v>
      </c>
    </row>
    <row r="12" customFormat="false" ht="15.75" hidden="false" customHeight="true" outlineLevel="0" collapsed="false">
      <c r="B12" s="224" t="s">
        <v>148</v>
      </c>
      <c r="C12" s="225" t="str">
        <f aca="false">IFERROR(IF(COUNTIFS('📝 Daily Log'!C$3:C$500,4,'📝 Daily Log'!G$3:G$500,"✅ Done",WEEKDAY('📝 Daily Log'!B$3:B$500,2),2)&gt;0,"✅",""),"")</f>
        <v/>
      </c>
      <c r="D12" s="225" t="str">
        <f aca="false">IFERROR(IF(COUNTIFS('📝 Daily Log'!C$3:C$500,4,'📝 Daily Log'!G$3:G$500,"✅ Done",WEEKDAY('📝 Daily Log'!B$3:B$500,2),3)&gt;0,"✅",""),"")</f>
        <v/>
      </c>
      <c r="E12" s="225" t="str">
        <f aca="false">IFERROR(IF(COUNTIFS('📝 Daily Log'!C$3:C$500,4,'📝 Daily Log'!G$3:G$500,"✅ Done",WEEKDAY('📝 Daily Log'!B$3:B$500,2),4)&gt;0,"✅",""),"")</f>
        <v/>
      </c>
      <c r="F12" s="225" t="str">
        <f aca="false">IFERROR(IF(COUNTIFS('📝 Daily Log'!C$3:C$500,4,'📝 Daily Log'!G$3:G$500,"✅ Done",WEEKDAY('📝 Daily Log'!B$3:B$500,2),5)&gt;0,"✅",""),"")</f>
        <v/>
      </c>
      <c r="G12" s="225" t="str">
        <f aca="false">IFERROR(IF(COUNTIFS('📝 Daily Log'!C$3:C$500,4,'📝 Daily Log'!G$3:G$500,"✅ Done",WEEKDAY('📝 Daily Log'!B$3:B$500,2),6)&gt;0,"✅",""),"")</f>
        <v/>
      </c>
      <c r="H12" s="225" t="str">
        <f aca="false">IFERROR(IF(COUNTIFS('📝 Daily Log'!C$3:C$500,4,'📝 Daily Log'!G$3:G$500,"✅ Done",WEEKDAY('📝 Daily Log'!B$3:B$500,2),7)&gt;0,"✅",""),"")</f>
        <v/>
      </c>
      <c r="I12" s="225" t="str">
        <f aca="false">IFERROR(IF(COUNTIFS('📝 Daily Log'!C$3:C$500,4,'📝 Daily Log'!G$3:G$500,"✅ Done",WEEKDAY('📝 Daily Log'!B$3:B$500,2),1)&gt;0,"✅",""),"")</f>
        <v/>
      </c>
      <c r="J12" s="226" t="str">
        <f aca="false">IFERROR(COUNTIFS('📝 Daily Log'!C$3:C$500,4,'📝 Daily Log'!G$3:G$500,"✅ Done")/COUNTIF('📝 Daily Log'!C$3:C$500,4),"")</f>
        <v/>
      </c>
      <c r="K12" s="227" t="n">
        <f aca="false">IFERROR(SUMIF('📝 Daily Log'!C$3:C$500,4,'📝 Daily Log'!H$3:H$500),"")</f>
        <v>0</v>
      </c>
    </row>
    <row r="13" customFormat="false" ht="15.75" hidden="false" customHeight="true" outlineLevel="0" collapsed="false">
      <c r="B13" s="221" t="s">
        <v>149</v>
      </c>
      <c r="C13" s="44" t="str">
        <f aca="false">IFERROR(IF(COUNTIFS('📝 Daily Log'!C$3:C$500,5,'📝 Daily Log'!G$3:G$500,"✅ Done",WEEKDAY('📝 Daily Log'!B$3:B$500,2),2)&gt;0,"✅",""),"")</f>
        <v/>
      </c>
      <c r="D13" s="44" t="str">
        <f aca="false">IFERROR(IF(COUNTIFS('📝 Daily Log'!C$3:C$500,5,'📝 Daily Log'!G$3:G$500,"✅ Done",WEEKDAY('📝 Daily Log'!B$3:B$500,2),3)&gt;0,"✅",""),"")</f>
        <v/>
      </c>
      <c r="E13" s="44" t="str">
        <f aca="false">IFERROR(IF(COUNTIFS('📝 Daily Log'!C$3:C$500,5,'📝 Daily Log'!G$3:G$500,"✅ Done",WEEKDAY('📝 Daily Log'!B$3:B$500,2),4)&gt;0,"✅",""),"")</f>
        <v/>
      </c>
      <c r="F13" s="44" t="str">
        <f aca="false">IFERROR(IF(COUNTIFS('📝 Daily Log'!C$3:C$500,5,'📝 Daily Log'!G$3:G$500,"✅ Done",WEEKDAY('📝 Daily Log'!B$3:B$500,2),5)&gt;0,"✅",""),"")</f>
        <v/>
      </c>
      <c r="G13" s="44" t="str">
        <f aca="false">IFERROR(IF(COUNTIFS('📝 Daily Log'!C$3:C$500,5,'📝 Daily Log'!G$3:G$500,"✅ Done",WEEKDAY('📝 Daily Log'!B$3:B$500,2),6)&gt;0,"✅",""),"")</f>
        <v/>
      </c>
      <c r="H13" s="44" t="str">
        <f aca="false">IFERROR(IF(COUNTIFS('📝 Daily Log'!C$3:C$500,5,'📝 Daily Log'!G$3:G$500,"✅ Done",WEEKDAY('📝 Daily Log'!B$3:B$500,2),7)&gt;0,"✅",""),"")</f>
        <v/>
      </c>
      <c r="I13" s="44" t="str">
        <f aca="false">IFERROR(IF(COUNTIFS('📝 Daily Log'!C$3:C$500,5,'📝 Daily Log'!G$3:G$500,"✅ Done",WEEKDAY('📝 Daily Log'!B$3:B$500,2),1)&gt;0,"✅",""),"")</f>
        <v/>
      </c>
      <c r="J13" s="222" t="str">
        <f aca="false">IFERROR(COUNTIFS('📝 Daily Log'!C$3:C$500,5,'📝 Daily Log'!G$3:G$500,"✅ Done")/COUNTIF('📝 Daily Log'!C$3:C$500,5),"")</f>
        <v/>
      </c>
      <c r="K13" s="223" t="n">
        <f aca="false">IFERROR(SUMIF('📝 Daily Log'!C$3:C$500,5,'📝 Daily Log'!H$3:H$500),"")</f>
        <v>0</v>
      </c>
    </row>
    <row r="14" customFormat="false" ht="15.75" hidden="false" customHeight="true" outlineLevel="0" collapsed="false">
      <c r="B14" s="224" t="s">
        <v>150</v>
      </c>
      <c r="C14" s="225" t="str">
        <f aca="false">IFERROR(IF(COUNTIFS('📝 Daily Log'!C$3:C$500,6,'📝 Daily Log'!G$3:G$500,"✅ Done",WEEKDAY('📝 Daily Log'!B$3:B$500,2),2)&gt;0,"✅",""),"")</f>
        <v/>
      </c>
      <c r="D14" s="225" t="str">
        <f aca="false">IFERROR(IF(COUNTIFS('📝 Daily Log'!C$3:C$500,6,'📝 Daily Log'!G$3:G$500,"✅ Done",WEEKDAY('📝 Daily Log'!B$3:B$500,2),3)&gt;0,"✅",""),"")</f>
        <v/>
      </c>
      <c r="E14" s="225" t="str">
        <f aca="false">IFERROR(IF(COUNTIFS('📝 Daily Log'!C$3:C$500,6,'📝 Daily Log'!G$3:G$500,"✅ Done",WEEKDAY('📝 Daily Log'!B$3:B$500,2),4)&gt;0,"✅",""),"")</f>
        <v/>
      </c>
      <c r="F14" s="225" t="str">
        <f aca="false">IFERROR(IF(COUNTIFS('📝 Daily Log'!C$3:C$500,6,'📝 Daily Log'!G$3:G$500,"✅ Done",WEEKDAY('📝 Daily Log'!B$3:B$500,2),5)&gt;0,"✅",""),"")</f>
        <v/>
      </c>
      <c r="G14" s="225" t="str">
        <f aca="false">IFERROR(IF(COUNTIFS('📝 Daily Log'!C$3:C$500,6,'📝 Daily Log'!G$3:G$500,"✅ Done",WEEKDAY('📝 Daily Log'!B$3:B$500,2),6)&gt;0,"✅",""),"")</f>
        <v/>
      </c>
      <c r="H14" s="225" t="str">
        <f aca="false">IFERROR(IF(COUNTIFS('📝 Daily Log'!C$3:C$500,6,'📝 Daily Log'!G$3:G$500,"✅ Done",WEEKDAY('📝 Daily Log'!B$3:B$500,2),7)&gt;0,"✅",""),"")</f>
        <v/>
      </c>
      <c r="I14" s="225" t="str">
        <f aca="false">IFERROR(IF(COUNTIFS('📝 Daily Log'!C$3:C$500,6,'📝 Daily Log'!G$3:G$500,"✅ Done",WEEKDAY('📝 Daily Log'!B$3:B$500,2),1)&gt;0,"✅",""),"")</f>
        <v/>
      </c>
      <c r="J14" s="226" t="str">
        <f aca="false">IFERROR(COUNTIFS('📝 Daily Log'!C$3:C$500,6,'📝 Daily Log'!G$3:G$500,"✅ Done")/COUNTIF('📝 Daily Log'!C$3:C$500,6),"")</f>
        <v/>
      </c>
      <c r="K14" s="227" t="n">
        <f aca="false">IFERROR(SUMIF('📝 Daily Log'!C$3:C$500,6,'📝 Daily Log'!H$3:H$500),"")</f>
        <v>0</v>
      </c>
    </row>
    <row r="15" customFormat="false" ht="15.75" hidden="false" customHeight="true" outlineLevel="0" collapsed="false">
      <c r="B15" s="221" t="s">
        <v>151</v>
      </c>
      <c r="C15" s="44" t="str">
        <f aca="false">IFERROR(IF(COUNTIFS('📝 Daily Log'!C$3:C$500,7,'📝 Daily Log'!G$3:G$500,"✅ Done",WEEKDAY('📝 Daily Log'!B$3:B$500,2),2)&gt;0,"✅",""),"")</f>
        <v/>
      </c>
      <c r="D15" s="44" t="str">
        <f aca="false">IFERROR(IF(COUNTIFS('📝 Daily Log'!C$3:C$500,7,'📝 Daily Log'!G$3:G$500,"✅ Done",WEEKDAY('📝 Daily Log'!B$3:B$500,2),3)&gt;0,"✅",""),"")</f>
        <v/>
      </c>
      <c r="E15" s="44" t="str">
        <f aca="false">IFERROR(IF(COUNTIFS('📝 Daily Log'!C$3:C$500,7,'📝 Daily Log'!G$3:G$500,"✅ Done",WEEKDAY('📝 Daily Log'!B$3:B$500,2),4)&gt;0,"✅",""),"")</f>
        <v/>
      </c>
      <c r="F15" s="44" t="str">
        <f aca="false">IFERROR(IF(COUNTIFS('📝 Daily Log'!C$3:C$500,7,'📝 Daily Log'!G$3:G$500,"✅ Done",WEEKDAY('📝 Daily Log'!B$3:B$500,2),5)&gt;0,"✅",""),"")</f>
        <v/>
      </c>
      <c r="G15" s="44" t="str">
        <f aca="false">IFERROR(IF(COUNTIFS('📝 Daily Log'!C$3:C$500,7,'📝 Daily Log'!G$3:G$500,"✅ Done",WEEKDAY('📝 Daily Log'!B$3:B$500,2),6)&gt;0,"✅",""),"")</f>
        <v/>
      </c>
      <c r="H15" s="44" t="str">
        <f aca="false">IFERROR(IF(COUNTIFS('📝 Daily Log'!C$3:C$500,7,'📝 Daily Log'!G$3:G$500,"✅ Done",WEEKDAY('📝 Daily Log'!B$3:B$500,2),7)&gt;0,"✅",""),"")</f>
        <v/>
      </c>
      <c r="I15" s="44" t="str">
        <f aca="false">IFERROR(IF(COUNTIFS('📝 Daily Log'!C$3:C$500,7,'📝 Daily Log'!G$3:G$500,"✅ Done",WEEKDAY('📝 Daily Log'!B$3:B$500,2),1)&gt;0,"✅",""),"")</f>
        <v/>
      </c>
      <c r="J15" s="222" t="str">
        <f aca="false">IFERROR(COUNTIFS('📝 Daily Log'!C$3:C$500,7,'📝 Daily Log'!G$3:G$500,"✅ Done")/COUNTIF('📝 Daily Log'!C$3:C$500,7),"")</f>
        <v/>
      </c>
      <c r="K15" s="223" t="n">
        <f aca="false">IFERROR(SUMIF('📝 Daily Log'!C$3:C$500,7,'📝 Daily Log'!H$3:H$500),"")</f>
        <v>0</v>
      </c>
    </row>
    <row r="16" customFormat="false" ht="15.75" hidden="false" customHeight="true" outlineLevel="0" collapsed="false">
      <c r="B16" s="224" t="s">
        <v>152</v>
      </c>
      <c r="C16" s="225" t="str">
        <f aca="false">IFERROR(IF(COUNTIFS('📝 Daily Log'!C$3:C$500,8,'📝 Daily Log'!G$3:G$500,"✅ Done",WEEKDAY('📝 Daily Log'!B$3:B$500,2),2)&gt;0,"✅",""),"")</f>
        <v/>
      </c>
      <c r="D16" s="225" t="str">
        <f aca="false">IFERROR(IF(COUNTIFS('📝 Daily Log'!C$3:C$500,8,'📝 Daily Log'!G$3:G$500,"✅ Done",WEEKDAY('📝 Daily Log'!B$3:B$500,2),3)&gt;0,"✅",""),"")</f>
        <v/>
      </c>
      <c r="E16" s="225" t="str">
        <f aca="false">IFERROR(IF(COUNTIFS('📝 Daily Log'!C$3:C$500,8,'📝 Daily Log'!G$3:G$500,"✅ Done",WEEKDAY('📝 Daily Log'!B$3:B$500,2),4)&gt;0,"✅",""),"")</f>
        <v/>
      </c>
      <c r="F16" s="225" t="str">
        <f aca="false">IFERROR(IF(COUNTIFS('📝 Daily Log'!C$3:C$500,8,'📝 Daily Log'!G$3:G$500,"✅ Done",WEEKDAY('📝 Daily Log'!B$3:B$500,2),5)&gt;0,"✅",""),"")</f>
        <v/>
      </c>
      <c r="G16" s="225" t="str">
        <f aca="false">IFERROR(IF(COUNTIFS('📝 Daily Log'!C$3:C$500,8,'📝 Daily Log'!G$3:G$500,"✅ Done",WEEKDAY('📝 Daily Log'!B$3:B$500,2),6)&gt;0,"✅",""),"")</f>
        <v/>
      </c>
      <c r="H16" s="225" t="str">
        <f aca="false">IFERROR(IF(COUNTIFS('📝 Daily Log'!C$3:C$500,8,'📝 Daily Log'!G$3:G$500,"✅ Done",WEEKDAY('📝 Daily Log'!B$3:B$500,2),7)&gt;0,"✅",""),"")</f>
        <v/>
      </c>
      <c r="I16" s="225" t="str">
        <f aca="false">IFERROR(IF(COUNTIFS('📝 Daily Log'!C$3:C$500,8,'📝 Daily Log'!G$3:G$500,"✅ Done",WEEKDAY('📝 Daily Log'!B$3:B$500,2),1)&gt;0,"✅",""),"")</f>
        <v/>
      </c>
      <c r="J16" s="226" t="str">
        <f aca="false">IFERROR(COUNTIFS('📝 Daily Log'!C$3:C$500,8,'📝 Daily Log'!G$3:G$500,"✅ Done")/COUNTIF('📝 Daily Log'!C$3:C$500,8),"")</f>
        <v/>
      </c>
      <c r="K16" s="227" t="n">
        <f aca="false">IFERROR(SUMIF('📝 Daily Log'!C$3:C$500,8,'📝 Daily Log'!H$3:H$500),"")</f>
        <v>0</v>
      </c>
    </row>
    <row r="17" customFormat="false" ht="15.75" hidden="false" customHeight="true" outlineLevel="0" collapsed="false">
      <c r="B17" s="221" t="s">
        <v>153</v>
      </c>
      <c r="C17" s="44" t="str">
        <f aca="false">IFERROR(IF(COUNTIFS('📝 Daily Log'!C$3:C$500,9,'📝 Daily Log'!G$3:G$500,"✅ Done",WEEKDAY('📝 Daily Log'!B$3:B$500,2),2)&gt;0,"✅",""),"")</f>
        <v/>
      </c>
      <c r="D17" s="44" t="str">
        <f aca="false">IFERROR(IF(COUNTIFS('📝 Daily Log'!C$3:C$500,9,'📝 Daily Log'!G$3:G$500,"✅ Done",WEEKDAY('📝 Daily Log'!B$3:B$500,2),3)&gt;0,"✅",""),"")</f>
        <v/>
      </c>
      <c r="E17" s="44" t="str">
        <f aca="false">IFERROR(IF(COUNTIFS('📝 Daily Log'!C$3:C$500,9,'📝 Daily Log'!G$3:G$500,"✅ Done",WEEKDAY('📝 Daily Log'!B$3:B$500,2),4)&gt;0,"✅",""),"")</f>
        <v/>
      </c>
      <c r="F17" s="44" t="str">
        <f aca="false">IFERROR(IF(COUNTIFS('📝 Daily Log'!C$3:C$500,9,'📝 Daily Log'!G$3:G$500,"✅ Done",WEEKDAY('📝 Daily Log'!B$3:B$500,2),5)&gt;0,"✅",""),"")</f>
        <v/>
      </c>
      <c r="G17" s="44" t="str">
        <f aca="false">IFERROR(IF(COUNTIFS('📝 Daily Log'!C$3:C$500,9,'📝 Daily Log'!G$3:G$500,"✅ Done",WEEKDAY('📝 Daily Log'!B$3:B$500,2),6)&gt;0,"✅",""),"")</f>
        <v/>
      </c>
      <c r="H17" s="44" t="str">
        <f aca="false">IFERROR(IF(COUNTIFS('📝 Daily Log'!C$3:C$500,9,'📝 Daily Log'!G$3:G$500,"✅ Done",WEEKDAY('📝 Daily Log'!B$3:B$500,2),7)&gt;0,"✅",""),"")</f>
        <v/>
      </c>
      <c r="I17" s="44" t="str">
        <f aca="false">IFERROR(IF(COUNTIFS('📝 Daily Log'!C$3:C$500,9,'📝 Daily Log'!G$3:G$500,"✅ Done",WEEKDAY('📝 Daily Log'!B$3:B$500,2),1)&gt;0,"✅",""),"")</f>
        <v/>
      </c>
      <c r="J17" s="222" t="str">
        <f aca="false">IFERROR(COUNTIFS('📝 Daily Log'!C$3:C$500,9,'📝 Daily Log'!G$3:G$500,"✅ Done")/COUNTIF('📝 Daily Log'!C$3:C$500,9),"")</f>
        <v/>
      </c>
      <c r="K17" s="223" t="n">
        <f aca="false">IFERROR(SUMIF('📝 Daily Log'!C$3:C$500,9,'📝 Daily Log'!H$3:H$500),"")</f>
        <v>0</v>
      </c>
    </row>
    <row r="18" customFormat="false" ht="15.75" hidden="false" customHeight="true" outlineLevel="0" collapsed="false">
      <c r="B18" s="224" t="s">
        <v>154</v>
      </c>
      <c r="C18" s="225" t="str">
        <f aca="false">IFERROR(IF(COUNTIFS('📝 Daily Log'!C$3:C$500,10,'📝 Daily Log'!G$3:G$500,"✅ Done",WEEKDAY('📝 Daily Log'!B$3:B$500,2),2)&gt;0,"✅",""),"")</f>
        <v/>
      </c>
      <c r="D18" s="225" t="str">
        <f aca="false">IFERROR(IF(COUNTIFS('📝 Daily Log'!C$3:C$500,10,'📝 Daily Log'!G$3:G$500,"✅ Done",WEEKDAY('📝 Daily Log'!B$3:B$500,2),3)&gt;0,"✅",""),"")</f>
        <v/>
      </c>
      <c r="E18" s="225" t="str">
        <f aca="false">IFERROR(IF(COUNTIFS('📝 Daily Log'!C$3:C$500,10,'📝 Daily Log'!G$3:G$500,"✅ Done",WEEKDAY('📝 Daily Log'!B$3:B$500,2),4)&gt;0,"✅",""),"")</f>
        <v/>
      </c>
      <c r="F18" s="225" t="str">
        <f aca="false">IFERROR(IF(COUNTIFS('📝 Daily Log'!C$3:C$500,10,'📝 Daily Log'!G$3:G$500,"✅ Done",WEEKDAY('📝 Daily Log'!B$3:B$500,2),5)&gt;0,"✅",""),"")</f>
        <v/>
      </c>
      <c r="G18" s="225" t="str">
        <f aca="false">IFERROR(IF(COUNTIFS('📝 Daily Log'!C$3:C$500,10,'📝 Daily Log'!G$3:G$500,"✅ Done",WEEKDAY('📝 Daily Log'!B$3:B$500,2),6)&gt;0,"✅",""),"")</f>
        <v/>
      </c>
      <c r="H18" s="225" t="str">
        <f aca="false">IFERROR(IF(COUNTIFS('📝 Daily Log'!C$3:C$500,10,'📝 Daily Log'!G$3:G$500,"✅ Done",WEEKDAY('📝 Daily Log'!B$3:B$500,2),7)&gt;0,"✅",""),"")</f>
        <v/>
      </c>
      <c r="I18" s="225" t="str">
        <f aca="false">IFERROR(IF(COUNTIFS('📝 Daily Log'!C$3:C$500,10,'📝 Daily Log'!G$3:G$500,"✅ Done",WEEKDAY('📝 Daily Log'!B$3:B$500,2),1)&gt;0,"✅",""),"")</f>
        <v/>
      </c>
      <c r="J18" s="226" t="str">
        <f aca="false">IFERROR(COUNTIFS('📝 Daily Log'!C$3:C$500,10,'📝 Daily Log'!G$3:G$500,"✅ Done")/COUNTIF('📝 Daily Log'!C$3:C$500,10),"")</f>
        <v/>
      </c>
      <c r="K18" s="227" t="n">
        <f aca="false">IFERROR(SUMIF('📝 Daily Log'!C$3:C$500,10,'📝 Daily Log'!H$3:H$500),"")</f>
        <v>0</v>
      </c>
    </row>
    <row r="19" customFormat="false" ht="15.75" hidden="false" customHeight="true" outlineLevel="0" collapsed="false">
      <c r="B19" s="221" t="s">
        <v>155</v>
      </c>
      <c r="C19" s="44" t="str">
        <f aca="false">IFERROR(IF(COUNTIFS('📝 Daily Log'!C$3:C$500,11,'📝 Daily Log'!G$3:G$500,"✅ Done",WEEKDAY('📝 Daily Log'!B$3:B$500,2),2)&gt;0,"✅",""),"")</f>
        <v/>
      </c>
      <c r="D19" s="44" t="str">
        <f aca="false">IFERROR(IF(COUNTIFS('📝 Daily Log'!C$3:C$500,11,'📝 Daily Log'!G$3:G$500,"✅ Done",WEEKDAY('📝 Daily Log'!B$3:B$500,2),3)&gt;0,"✅",""),"")</f>
        <v/>
      </c>
      <c r="E19" s="44" t="str">
        <f aca="false">IFERROR(IF(COUNTIFS('📝 Daily Log'!C$3:C$500,11,'📝 Daily Log'!G$3:G$500,"✅ Done",WEEKDAY('📝 Daily Log'!B$3:B$500,2),4)&gt;0,"✅",""),"")</f>
        <v/>
      </c>
      <c r="F19" s="44" t="str">
        <f aca="false">IFERROR(IF(COUNTIFS('📝 Daily Log'!C$3:C$500,11,'📝 Daily Log'!G$3:G$500,"✅ Done",WEEKDAY('📝 Daily Log'!B$3:B$500,2),5)&gt;0,"✅",""),"")</f>
        <v/>
      </c>
      <c r="G19" s="44" t="str">
        <f aca="false">IFERROR(IF(COUNTIFS('📝 Daily Log'!C$3:C$500,11,'📝 Daily Log'!G$3:G$500,"✅ Done",WEEKDAY('📝 Daily Log'!B$3:B$500,2),6)&gt;0,"✅",""),"")</f>
        <v/>
      </c>
      <c r="H19" s="44" t="str">
        <f aca="false">IFERROR(IF(COUNTIFS('📝 Daily Log'!C$3:C$500,11,'📝 Daily Log'!G$3:G$500,"✅ Done",WEEKDAY('📝 Daily Log'!B$3:B$500,2),7)&gt;0,"✅",""),"")</f>
        <v/>
      </c>
      <c r="I19" s="44" t="str">
        <f aca="false">IFERROR(IF(COUNTIFS('📝 Daily Log'!C$3:C$500,11,'📝 Daily Log'!G$3:G$500,"✅ Done",WEEKDAY('📝 Daily Log'!B$3:B$500,2),1)&gt;0,"✅",""),"")</f>
        <v/>
      </c>
      <c r="J19" s="222" t="str">
        <f aca="false">IFERROR(COUNTIFS('📝 Daily Log'!C$3:C$500,11,'📝 Daily Log'!G$3:G$500,"✅ Done")/COUNTIF('📝 Daily Log'!C$3:C$500,11),"")</f>
        <v/>
      </c>
      <c r="K19" s="223" t="n">
        <f aca="false">IFERROR(SUMIF('📝 Daily Log'!C$3:C$500,11,'📝 Daily Log'!H$3:H$500),"")</f>
        <v>0</v>
      </c>
    </row>
    <row r="20" customFormat="false" ht="15.75" hidden="false" customHeight="true" outlineLevel="0" collapsed="false">
      <c r="B20" s="224" t="s">
        <v>156</v>
      </c>
      <c r="C20" s="225" t="str">
        <f aca="false">IFERROR(IF(COUNTIFS('📝 Daily Log'!C$3:C$500,12,'📝 Daily Log'!G$3:G$500,"✅ Done",WEEKDAY('📝 Daily Log'!B$3:B$500,2),2)&gt;0,"✅",""),"")</f>
        <v/>
      </c>
      <c r="D20" s="225" t="str">
        <f aca="false">IFERROR(IF(COUNTIFS('📝 Daily Log'!C$3:C$500,12,'📝 Daily Log'!G$3:G$500,"✅ Done",WEEKDAY('📝 Daily Log'!B$3:B$500,2),3)&gt;0,"✅",""),"")</f>
        <v/>
      </c>
      <c r="E20" s="225" t="str">
        <f aca="false">IFERROR(IF(COUNTIFS('📝 Daily Log'!C$3:C$500,12,'📝 Daily Log'!G$3:G$500,"✅ Done",WEEKDAY('📝 Daily Log'!B$3:B$500,2),4)&gt;0,"✅",""),"")</f>
        <v/>
      </c>
      <c r="F20" s="225" t="str">
        <f aca="false">IFERROR(IF(COUNTIFS('📝 Daily Log'!C$3:C$500,12,'📝 Daily Log'!G$3:G$500,"✅ Done",WEEKDAY('📝 Daily Log'!B$3:B$500,2),5)&gt;0,"✅",""),"")</f>
        <v/>
      </c>
      <c r="G20" s="225" t="str">
        <f aca="false">IFERROR(IF(COUNTIFS('📝 Daily Log'!C$3:C$500,12,'📝 Daily Log'!G$3:G$500,"✅ Done",WEEKDAY('📝 Daily Log'!B$3:B$500,2),6)&gt;0,"✅",""),"")</f>
        <v/>
      </c>
      <c r="H20" s="225" t="str">
        <f aca="false">IFERROR(IF(COUNTIFS('📝 Daily Log'!C$3:C$500,12,'📝 Daily Log'!G$3:G$500,"✅ Done",WEEKDAY('📝 Daily Log'!B$3:B$500,2),7)&gt;0,"✅",""),"")</f>
        <v/>
      </c>
      <c r="I20" s="225" t="str">
        <f aca="false">IFERROR(IF(COUNTIFS('📝 Daily Log'!C$3:C$500,12,'📝 Daily Log'!G$3:G$500,"✅ Done",WEEKDAY('📝 Daily Log'!B$3:B$500,2),1)&gt;0,"✅",""),"")</f>
        <v/>
      </c>
      <c r="J20" s="226" t="str">
        <f aca="false">IFERROR(COUNTIFS('📝 Daily Log'!C$3:C$500,12,'📝 Daily Log'!G$3:G$500,"✅ Done")/COUNTIF('📝 Daily Log'!C$3:C$500,12),"")</f>
        <v/>
      </c>
      <c r="K20" s="227" t="n">
        <f aca="false">IFERROR(SUMIF('📝 Daily Log'!C$3:C$500,12,'📝 Daily Log'!H$3:H$500),"")</f>
        <v>0</v>
      </c>
    </row>
    <row r="21" customFormat="false" ht="15.75" hidden="false" customHeight="true" outlineLevel="0" collapsed="false">
      <c r="B21" s="221" t="s">
        <v>157</v>
      </c>
      <c r="C21" s="44" t="str">
        <f aca="false">IFERROR(IF(COUNTIFS('📝 Daily Log'!C$3:C$500,13,'📝 Daily Log'!G$3:G$500,"✅ Done",WEEKDAY('📝 Daily Log'!B$3:B$500,2),2)&gt;0,"✅",""),"")</f>
        <v/>
      </c>
      <c r="D21" s="44" t="str">
        <f aca="false">IFERROR(IF(COUNTIFS('📝 Daily Log'!C$3:C$500,13,'📝 Daily Log'!G$3:G$500,"✅ Done",WEEKDAY('📝 Daily Log'!B$3:B$500,2),3)&gt;0,"✅",""),"")</f>
        <v/>
      </c>
      <c r="E21" s="44" t="str">
        <f aca="false">IFERROR(IF(COUNTIFS('📝 Daily Log'!C$3:C$500,13,'📝 Daily Log'!G$3:G$500,"✅ Done",WEEKDAY('📝 Daily Log'!B$3:B$500,2),4)&gt;0,"✅",""),"")</f>
        <v/>
      </c>
      <c r="F21" s="44" t="str">
        <f aca="false">IFERROR(IF(COUNTIFS('📝 Daily Log'!C$3:C$500,13,'📝 Daily Log'!G$3:G$500,"✅ Done",WEEKDAY('📝 Daily Log'!B$3:B$500,2),5)&gt;0,"✅",""),"")</f>
        <v/>
      </c>
      <c r="G21" s="44" t="str">
        <f aca="false">IFERROR(IF(COUNTIFS('📝 Daily Log'!C$3:C$500,13,'📝 Daily Log'!G$3:G$500,"✅ Done",WEEKDAY('📝 Daily Log'!B$3:B$500,2),6)&gt;0,"✅",""),"")</f>
        <v/>
      </c>
      <c r="H21" s="44" t="str">
        <f aca="false">IFERROR(IF(COUNTIFS('📝 Daily Log'!C$3:C$500,13,'📝 Daily Log'!G$3:G$500,"✅ Done",WEEKDAY('📝 Daily Log'!B$3:B$500,2),7)&gt;0,"✅",""),"")</f>
        <v/>
      </c>
      <c r="I21" s="44" t="str">
        <f aca="false">IFERROR(IF(COUNTIFS('📝 Daily Log'!C$3:C$500,13,'📝 Daily Log'!G$3:G$500,"✅ Done",WEEKDAY('📝 Daily Log'!B$3:B$500,2),1)&gt;0,"✅",""),"")</f>
        <v/>
      </c>
      <c r="J21" s="222" t="str">
        <f aca="false">IFERROR(COUNTIFS('📝 Daily Log'!C$3:C$500,13,'📝 Daily Log'!G$3:G$500,"✅ Done")/COUNTIF('📝 Daily Log'!C$3:C$500,13),"")</f>
        <v/>
      </c>
      <c r="K21" s="223" t="n">
        <f aca="false">IFERROR(SUMIF('📝 Daily Log'!C$3:C$500,13,'📝 Daily Log'!H$3:H$500),"")</f>
        <v>0</v>
      </c>
    </row>
    <row r="22" customFormat="false" ht="15.75" hidden="false" customHeight="true" outlineLevel="0" collapsed="false">
      <c r="B22" s="224" t="s">
        <v>158</v>
      </c>
      <c r="C22" s="225" t="str">
        <f aca="false">IFERROR(IF(COUNTIFS('📝 Daily Log'!C$3:C$500,14,'📝 Daily Log'!G$3:G$500,"✅ Done",WEEKDAY('📝 Daily Log'!B$3:B$500,2),2)&gt;0,"✅",""),"")</f>
        <v/>
      </c>
      <c r="D22" s="225" t="str">
        <f aca="false">IFERROR(IF(COUNTIFS('📝 Daily Log'!C$3:C$500,14,'📝 Daily Log'!G$3:G$500,"✅ Done",WEEKDAY('📝 Daily Log'!B$3:B$500,2),3)&gt;0,"✅",""),"")</f>
        <v/>
      </c>
      <c r="E22" s="225" t="str">
        <f aca="false">IFERROR(IF(COUNTIFS('📝 Daily Log'!C$3:C$500,14,'📝 Daily Log'!G$3:G$500,"✅ Done",WEEKDAY('📝 Daily Log'!B$3:B$500,2),4)&gt;0,"✅",""),"")</f>
        <v/>
      </c>
      <c r="F22" s="225" t="str">
        <f aca="false">IFERROR(IF(COUNTIFS('📝 Daily Log'!C$3:C$500,14,'📝 Daily Log'!G$3:G$500,"✅ Done",WEEKDAY('📝 Daily Log'!B$3:B$500,2),5)&gt;0,"✅",""),"")</f>
        <v/>
      </c>
      <c r="G22" s="225" t="str">
        <f aca="false">IFERROR(IF(COUNTIFS('📝 Daily Log'!C$3:C$500,14,'📝 Daily Log'!G$3:G$500,"✅ Done",WEEKDAY('📝 Daily Log'!B$3:B$500,2),6)&gt;0,"✅",""),"")</f>
        <v/>
      </c>
      <c r="H22" s="225" t="str">
        <f aca="false">IFERROR(IF(COUNTIFS('📝 Daily Log'!C$3:C$500,14,'📝 Daily Log'!G$3:G$500,"✅ Done",WEEKDAY('📝 Daily Log'!B$3:B$500,2),7)&gt;0,"✅",""),"")</f>
        <v/>
      </c>
      <c r="I22" s="225" t="str">
        <f aca="false">IFERROR(IF(COUNTIFS('📝 Daily Log'!C$3:C$500,14,'📝 Daily Log'!G$3:G$500,"✅ Done",WEEKDAY('📝 Daily Log'!B$3:B$500,2),1)&gt;0,"✅",""),"")</f>
        <v/>
      </c>
      <c r="J22" s="226" t="str">
        <f aca="false">IFERROR(COUNTIFS('📝 Daily Log'!C$3:C$500,14,'📝 Daily Log'!G$3:G$500,"✅ Done")/COUNTIF('📝 Daily Log'!C$3:C$500,14),"")</f>
        <v/>
      </c>
      <c r="K22" s="227" t="n">
        <f aca="false">IFERROR(SUMIF('📝 Daily Log'!C$3:C$500,14,'📝 Daily Log'!H$3:H$500),"")</f>
        <v>0</v>
      </c>
    </row>
    <row r="23" customFormat="false" ht="15.75" hidden="false" customHeight="true" outlineLevel="0" collapsed="false">
      <c r="B23" s="221" t="s">
        <v>159</v>
      </c>
      <c r="C23" s="44" t="str">
        <f aca="false">IFERROR(IF(COUNTIFS('📝 Daily Log'!C$3:C$500,15,'📝 Daily Log'!G$3:G$500,"✅ Done",WEEKDAY('📝 Daily Log'!B$3:B$500,2),2)&gt;0,"✅",""),"")</f>
        <v/>
      </c>
      <c r="D23" s="44" t="str">
        <f aca="false">IFERROR(IF(COUNTIFS('📝 Daily Log'!C$3:C$500,15,'📝 Daily Log'!G$3:G$500,"✅ Done",WEEKDAY('📝 Daily Log'!B$3:B$500,2),3)&gt;0,"✅",""),"")</f>
        <v/>
      </c>
      <c r="E23" s="44" t="str">
        <f aca="false">IFERROR(IF(COUNTIFS('📝 Daily Log'!C$3:C$500,15,'📝 Daily Log'!G$3:G$500,"✅ Done",WEEKDAY('📝 Daily Log'!B$3:B$500,2),4)&gt;0,"✅",""),"")</f>
        <v/>
      </c>
      <c r="F23" s="44" t="str">
        <f aca="false">IFERROR(IF(COUNTIFS('📝 Daily Log'!C$3:C$500,15,'📝 Daily Log'!G$3:G$500,"✅ Done",WEEKDAY('📝 Daily Log'!B$3:B$500,2),5)&gt;0,"✅",""),"")</f>
        <v/>
      </c>
      <c r="G23" s="44" t="str">
        <f aca="false">IFERROR(IF(COUNTIFS('📝 Daily Log'!C$3:C$500,15,'📝 Daily Log'!G$3:G$500,"✅ Done",WEEKDAY('📝 Daily Log'!B$3:B$500,2),6)&gt;0,"✅",""),"")</f>
        <v/>
      </c>
      <c r="H23" s="44" t="str">
        <f aca="false">IFERROR(IF(COUNTIFS('📝 Daily Log'!C$3:C$500,15,'📝 Daily Log'!G$3:G$500,"✅ Done",WEEKDAY('📝 Daily Log'!B$3:B$500,2),7)&gt;0,"✅",""),"")</f>
        <v/>
      </c>
      <c r="I23" s="44" t="str">
        <f aca="false">IFERROR(IF(COUNTIFS('📝 Daily Log'!C$3:C$500,15,'📝 Daily Log'!G$3:G$500,"✅ Done",WEEKDAY('📝 Daily Log'!B$3:B$500,2),1)&gt;0,"✅",""),"")</f>
        <v/>
      </c>
      <c r="J23" s="222" t="str">
        <f aca="false">IFERROR(COUNTIFS('📝 Daily Log'!C$3:C$500,15,'📝 Daily Log'!G$3:G$500,"✅ Done")/COUNTIF('📝 Daily Log'!C$3:C$500,15),"")</f>
        <v/>
      </c>
      <c r="K23" s="223" t="n">
        <f aca="false">IFERROR(SUMIF('📝 Daily Log'!C$3:C$500,15,'📝 Daily Log'!H$3:H$500),"")</f>
        <v>0</v>
      </c>
    </row>
    <row r="24" customFormat="false" ht="15.75" hidden="false" customHeight="true" outlineLevel="0" collapsed="false">
      <c r="B24" s="224" t="s">
        <v>160</v>
      </c>
      <c r="C24" s="225" t="str">
        <f aca="false">IFERROR(IF(COUNTIFS('📝 Daily Log'!C$3:C$500,16,'📝 Daily Log'!G$3:G$500,"✅ Done",WEEKDAY('📝 Daily Log'!B$3:B$500,2),2)&gt;0,"✅",""),"")</f>
        <v/>
      </c>
      <c r="D24" s="225" t="str">
        <f aca="false">IFERROR(IF(COUNTIFS('📝 Daily Log'!C$3:C$500,16,'📝 Daily Log'!G$3:G$500,"✅ Done",WEEKDAY('📝 Daily Log'!B$3:B$500,2),3)&gt;0,"✅",""),"")</f>
        <v/>
      </c>
      <c r="E24" s="225" t="str">
        <f aca="false">IFERROR(IF(COUNTIFS('📝 Daily Log'!C$3:C$500,16,'📝 Daily Log'!G$3:G$500,"✅ Done",WEEKDAY('📝 Daily Log'!B$3:B$500,2),4)&gt;0,"✅",""),"")</f>
        <v/>
      </c>
      <c r="F24" s="225" t="str">
        <f aca="false">IFERROR(IF(COUNTIFS('📝 Daily Log'!C$3:C$500,16,'📝 Daily Log'!G$3:G$500,"✅ Done",WEEKDAY('📝 Daily Log'!B$3:B$500,2),5)&gt;0,"✅",""),"")</f>
        <v/>
      </c>
      <c r="G24" s="225" t="str">
        <f aca="false">IFERROR(IF(COUNTIFS('📝 Daily Log'!C$3:C$500,16,'📝 Daily Log'!G$3:G$500,"✅ Done",WEEKDAY('📝 Daily Log'!B$3:B$500,2),6)&gt;0,"✅",""),"")</f>
        <v/>
      </c>
      <c r="H24" s="225" t="str">
        <f aca="false">IFERROR(IF(COUNTIFS('📝 Daily Log'!C$3:C$500,16,'📝 Daily Log'!G$3:G$500,"✅ Done",WEEKDAY('📝 Daily Log'!B$3:B$500,2),7)&gt;0,"✅",""),"")</f>
        <v/>
      </c>
      <c r="I24" s="225" t="str">
        <f aca="false">IFERROR(IF(COUNTIFS('📝 Daily Log'!C$3:C$500,16,'📝 Daily Log'!G$3:G$500,"✅ Done",WEEKDAY('📝 Daily Log'!B$3:B$500,2),1)&gt;0,"✅",""),"")</f>
        <v/>
      </c>
      <c r="J24" s="226" t="str">
        <f aca="false">IFERROR(COUNTIFS('📝 Daily Log'!C$3:C$500,16,'📝 Daily Log'!G$3:G$500,"✅ Done")/COUNTIF('📝 Daily Log'!C$3:C$500,16),"")</f>
        <v/>
      </c>
      <c r="K24" s="227" t="n">
        <f aca="false">IFERROR(SUMIF('📝 Daily Log'!C$3:C$500,16,'📝 Daily Log'!H$3:H$500),"")</f>
        <v>0</v>
      </c>
    </row>
    <row r="25" customFormat="false" ht="15.75" hidden="false" customHeight="true" outlineLevel="0" collapsed="false">
      <c r="B25" s="221" t="s">
        <v>161</v>
      </c>
      <c r="C25" s="44" t="str">
        <f aca="false">IFERROR(IF(COUNTIFS('📝 Daily Log'!C$3:C$500,17,'📝 Daily Log'!G$3:G$500,"✅ Done",WEEKDAY('📝 Daily Log'!B$3:B$500,2),2)&gt;0,"✅",""),"")</f>
        <v/>
      </c>
      <c r="D25" s="44" t="str">
        <f aca="false">IFERROR(IF(COUNTIFS('📝 Daily Log'!C$3:C$500,17,'📝 Daily Log'!G$3:G$500,"✅ Done",WEEKDAY('📝 Daily Log'!B$3:B$500,2),3)&gt;0,"✅",""),"")</f>
        <v/>
      </c>
      <c r="E25" s="44" t="str">
        <f aca="false">IFERROR(IF(COUNTIFS('📝 Daily Log'!C$3:C$500,17,'📝 Daily Log'!G$3:G$500,"✅ Done",WEEKDAY('📝 Daily Log'!B$3:B$500,2),4)&gt;0,"✅",""),"")</f>
        <v/>
      </c>
      <c r="F25" s="44" t="str">
        <f aca="false">IFERROR(IF(COUNTIFS('📝 Daily Log'!C$3:C$500,17,'📝 Daily Log'!G$3:G$500,"✅ Done",WEEKDAY('📝 Daily Log'!B$3:B$500,2),5)&gt;0,"✅",""),"")</f>
        <v/>
      </c>
      <c r="G25" s="44" t="str">
        <f aca="false">IFERROR(IF(COUNTIFS('📝 Daily Log'!C$3:C$500,17,'📝 Daily Log'!G$3:G$500,"✅ Done",WEEKDAY('📝 Daily Log'!B$3:B$500,2),6)&gt;0,"✅",""),"")</f>
        <v/>
      </c>
      <c r="H25" s="44" t="str">
        <f aca="false">IFERROR(IF(COUNTIFS('📝 Daily Log'!C$3:C$500,17,'📝 Daily Log'!G$3:G$500,"✅ Done",WEEKDAY('📝 Daily Log'!B$3:B$500,2),7)&gt;0,"✅",""),"")</f>
        <v/>
      </c>
      <c r="I25" s="44" t="str">
        <f aca="false">IFERROR(IF(COUNTIFS('📝 Daily Log'!C$3:C$500,17,'📝 Daily Log'!G$3:G$500,"✅ Done",WEEKDAY('📝 Daily Log'!B$3:B$500,2),1)&gt;0,"✅",""),"")</f>
        <v/>
      </c>
      <c r="J25" s="222" t="str">
        <f aca="false">IFERROR(COUNTIFS('📝 Daily Log'!C$3:C$500,17,'📝 Daily Log'!G$3:G$500,"✅ Done")/COUNTIF('📝 Daily Log'!C$3:C$500,17),"")</f>
        <v/>
      </c>
      <c r="K25" s="223" t="n">
        <f aca="false">IFERROR(SUMIF('📝 Daily Log'!C$3:C$500,17,'📝 Daily Log'!H$3:H$500),"")</f>
        <v>0</v>
      </c>
    </row>
    <row r="26" customFormat="false" ht="15.75" hidden="false" customHeight="true" outlineLevel="0" collapsed="false">
      <c r="B26" s="224" t="s">
        <v>162</v>
      </c>
      <c r="C26" s="225" t="str">
        <f aca="false">IFERROR(IF(COUNTIFS('📝 Daily Log'!C$3:C$500,18,'📝 Daily Log'!G$3:G$500,"✅ Done",WEEKDAY('📝 Daily Log'!B$3:B$500,2),2)&gt;0,"✅",""),"")</f>
        <v/>
      </c>
      <c r="D26" s="225" t="str">
        <f aca="false">IFERROR(IF(COUNTIFS('📝 Daily Log'!C$3:C$500,18,'📝 Daily Log'!G$3:G$500,"✅ Done",WEEKDAY('📝 Daily Log'!B$3:B$500,2),3)&gt;0,"✅",""),"")</f>
        <v/>
      </c>
      <c r="E26" s="225" t="str">
        <f aca="false">IFERROR(IF(COUNTIFS('📝 Daily Log'!C$3:C$500,18,'📝 Daily Log'!G$3:G$500,"✅ Done",WEEKDAY('📝 Daily Log'!B$3:B$500,2),4)&gt;0,"✅",""),"")</f>
        <v/>
      </c>
      <c r="F26" s="225" t="str">
        <f aca="false">IFERROR(IF(COUNTIFS('📝 Daily Log'!C$3:C$500,18,'📝 Daily Log'!G$3:G$500,"✅ Done",WEEKDAY('📝 Daily Log'!B$3:B$500,2),5)&gt;0,"✅",""),"")</f>
        <v/>
      </c>
      <c r="G26" s="225" t="str">
        <f aca="false">IFERROR(IF(COUNTIFS('📝 Daily Log'!C$3:C$500,18,'📝 Daily Log'!G$3:G$500,"✅ Done",WEEKDAY('📝 Daily Log'!B$3:B$500,2),6)&gt;0,"✅",""),"")</f>
        <v/>
      </c>
      <c r="H26" s="225" t="str">
        <f aca="false">IFERROR(IF(COUNTIFS('📝 Daily Log'!C$3:C$500,18,'📝 Daily Log'!G$3:G$500,"✅ Done",WEEKDAY('📝 Daily Log'!B$3:B$500,2),7)&gt;0,"✅",""),"")</f>
        <v/>
      </c>
      <c r="I26" s="225" t="str">
        <f aca="false">IFERROR(IF(COUNTIFS('📝 Daily Log'!C$3:C$500,18,'📝 Daily Log'!G$3:G$500,"✅ Done",WEEKDAY('📝 Daily Log'!B$3:B$500,2),1)&gt;0,"✅",""),"")</f>
        <v/>
      </c>
      <c r="J26" s="226" t="str">
        <f aca="false">IFERROR(COUNTIFS('📝 Daily Log'!C$3:C$500,18,'📝 Daily Log'!G$3:G$500,"✅ Done")/COUNTIF('📝 Daily Log'!C$3:C$500,18),"")</f>
        <v/>
      </c>
      <c r="K26" s="227" t="n">
        <f aca="false">IFERROR(SUMIF('📝 Daily Log'!C$3:C$500,18,'📝 Daily Log'!H$3:H$500),"")</f>
        <v>0</v>
      </c>
    </row>
    <row r="27" customFormat="false" ht="15.75" hidden="false" customHeight="true" outlineLevel="0" collapsed="false">
      <c r="B27" s="221" t="s">
        <v>163</v>
      </c>
      <c r="C27" s="44" t="str">
        <f aca="false">IFERROR(IF(COUNTIFS('📝 Daily Log'!C$3:C$500,19,'📝 Daily Log'!G$3:G$500,"✅ Done",WEEKDAY('📝 Daily Log'!B$3:B$500,2),2)&gt;0,"✅",""),"")</f>
        <v/>
      </c>
      <c r="D27" s="44" t="str">
        <f aca="false">IFERROR(IF(COUNTIFS('📝 Daily Log'!C$3:C$500,19,'📝 Daily Log'!G$3:G$500,"✅ Done",WEEKDAY('📝 Daily Log'!B$3:B$500,2),3)&gt;0,"✅",""),"")</f>
        <v/>
      </c>
      <c r="E27" s="44" t="str">
        <f aca="false">IFERROR(IF(COUNTIFS('📝 Daily Log'!C$3:C$500,19,'📝 Daily Log'!G$3:G$500,"✅ Done",WEEKDAY('📝 Daily Log'!B$3:B$500,2),4)&gt;0,"✅",""),"")</f>
        <v/>
      </c>
      <c r="F27" s="44" t="str">
        <f aca="false">IFERROR(IF(COUNTIFS('📝 Daily Log'!C$3:C$500,19,'📝 Daily Log'!G$3:G$500,"✅ Done",WEEKDAY('📝 Daily Log'!B$3:B$500,2),5)&gt;0,"✅",""),"")</f>
        <v/>
      </c>
      <c r="G27" s="44" t="str">
        <f aca="false">IFERROR(IF(COUNTIFS('📝 Daily Log'!C$3:C$500,19,'📝 Daily Log'!G$3:G$500,"✅ Done",WEEKDAY('📝 Daily Log'!B$3:B$500,2),6)&gt;0,"✅",""),"")</f>
        <v/>
      </c>
      <c r="H27" s="44" t="str">
        <f aca="false">IFERROR(IF(COUNTIFS('📝 Daily Log'!C$3:C$500,19,'📝 Daily Log'!G$3:G$500,"✅ Done",WEEKDAY('📝 Daily Log'!B$3:B$500,2),7)&gt;0,"✅",""),"")</f>
        <v/>
      </c>
      <c r="I27" s="44" t="str">
        <f aca="false">IFERROR(IF(COUNTIFS('📝 Daily Log'!C$3:C$500,19,'📝 Daily Log'!G$3:G$500,"✅ Done",WEEKDAY('📝 Daily Log'!B$3:B$500,2),1)&gt;0,"✅",""),"")</f>
        <v/>
      </c>
      <c r="J27" s="222" t="str">
        <f aca="false">IFERROR(COUNTIFS('📝 Daily Log'!C$3:C$500,19,'📝 Daily Log'!G$3:G$500,"✅ Done")/COUNTIF('📝 Daily Log'!C$3:C$500,19),"")</f>
        <v/>
      </c>
      <c r="K27" s="223" t="n">
        <f aca="false">IFERROR(SUMIF('📝 Daily Log'!C$3:C$500,19,'📝 Daily Log'!H$3:H$500),"")</f>
        <v>0</v>
      </c>
    </row>
    <row r="28" customFormat="false" ht="15.75" hidden="false" customHeight="true" outlineLevel="0" collapsed="false">
      <c r="B28" s="224" t="s">
        <v>164</v>
      </c>
      <c r="C28" s="225" t="str">
        <f aca="false">IFERROR(IF(COUNTIFS('📝 Daily Log'!C$3:C$500,20,'📝 Daily Log'!G$3:G$500,"✅ Done",WEEKDAY('📝 Daily Log'!B$3:B$500,2),2)&gt;0,"✅",""),"")</f>
        <v/>
      </c>
      <c r="D28" s="225" t="str">
        <f aca="false">IFERROR(IF(COUNTIFS('📝 Daily Log'!C$3:C$500,20,'📝 Daily Log'!G$3:G$500,"✅ Done",WEEKDAY('📝 Daily Log'!B$3:B$500,2),3)&gt;0,"✅",""),"")</f>
        <v/>
      </c>
      <c r="E28" s="225" t="str">
        <f aca="false">IFERROR(IF(COUNTIFS('📝 Daily Log'!C$3:C$500,20,'📝 Daily Log'!G$3:G$500,"✅ Done",WEEKDAY('📝 Daily Log'!B$3:B$500,2),4)&gt;0,"✅",""),"")</f>
        <v/>
      </c>
      <c r="F28" s="225" t="str">
        <f aca="false">IFERROR(IF(COUNTIFS('📝 Daily Log'!C$3:C$500,20,'📝 Daily Log'!G$3:G$500,"✅ Done",WEEKDAY('📝 Daily Log'!B$3:B$500,2),5)&gt;0,"✅",""),"")</f>
        <v/>
      </c>
      <c r="G28" s="225" t="str">
        <f aca="false">IFERROR(IF(COUNTIFS('📝 Daily Log'!C$3:C$500,20,'📝 Daily Log'!G$3:G$500,"✅ Done",WEEKDAY('📝 Daily Log'!B$3:B$500,2),6)&gt;0,"✅",""),"")</f>
        <v/>
      </c>
      <c r="H28" s="225" t="str">
        <f aca="false">IFERROR(IF(COUNTIFS('📝 Daily Log'!C$3:C$500,20,'📝 Daily Log'!G$3:G$500,"✅ Done",WEEKDAY('📝 Daily Log'!B$3:B$500,2),7)&gt;0,"✅",""),"")</f>
        <v/>
      </c>
      <c r="I28" s="225" t="str">
        <f aca="false">IFERROR(IF(COUNTIFS('📝 Daily Log'!C$3:C$500,20,'📝 Daily Log'!G$3:G$500,"✅ Done",WEEKDAY('📝 Daily Log'!B$3:B$500,2),1)&gt;0,"✅",""),"")</f>
        <v/>
      </c>
      <c r="J28" s="226" t="str">
        <f aca="false">IFERROR(COUNTIFS('📝 Daily Log'!C$3:C$500,20,'📝 Daily Log'!G$3:G$500,"✅ Done")/COUNTIF('📝 Daily Log'!C$3:C$500,20),"")</f>
        <v/>
      </c>
      <c r="K28" s="227" t="n">
        <f aca="false">IFERROR(SUMIF('📝 Daily Log'!C$3:C$500,20,'📝 Daily Log'!H$3:H$500),"")</f>
        <v>0</v>
      </c>
    </row>
    <row r="29" customFormat="false" ht="15.75" hidden="false" customHeight="true" outlineLevel="0" collapsed="false">
      <c r="B29" s="221" t="s">
        <v>165</v>
      </c>
      <c r="C29" s="44" t="str">
        <f aca="false">IFERROR(IF(COUNTIFS('📝 Daily Log'!C$3:C$500,21,'📝 Daily Log'!G$3:G$500,"✅ Done",WEEKDAY('📝 Daily Log'!B$3:B$500,2),2)&gt;0,"✅",""),"")</f>
        <v/>
      </c>
      <c r="D29" s="44" t="str">
        <f aca="false">IFERROR(IF(COUNTIFS('📝 Daily Log'!C$3:C$500,21,'📝 Daily Log'!G$3:G$500,"✅ Done",WEEKDAY('📝 Daily Log'!B$3:B$500,2),3)&gt;0,"✅",""),"")</f>
        <v/>
      </c>
      <c r="E29" s="44" t="str">
        <f aca="false">IFERROR(IF(COUNTIFS('📝 Daily Log'!C$3:C$500,21,'📝 Daily Log'!G$3:G$500,"✅ Done",WEEKDAY('📝 Daily Log'!B$3:B$500,2),4)&gt;0,"✅",""),"")</f>
        <v/>
      </c>
      <c r="F29" s="44" t="str">
        <f aca="false">IFERROR(IF(COUNTIFS('📝 Daily Log'!C$3:C$500,21,'📝 Daily Log'!G$3:G$500,"✅ Done",WEEKDAY('📝 Daily Log'!B$3:B$500,2),5)&gt;0,"✅",""),"")</f>
        <v/>
      </c>
      <c r="G29" s="44" t="str">
        <f aca="false">IFERROR(IF(COUNTIFS('📝 Daily Log'!C$3:C$500,21,'📝 Daily Log'!G$3:G$500,"✅ Done",WEEKDAY('📝 Daily Log'!B$3:B$500,2),6)&gt;0,"✅",""),"")</f>
        <v/>
      </c>
      <c r="H29" s="44" t="str">
        <f aca="false">IFERROR(IF(COUNTIFS('📝 Daily Log'!C$3:C$500,21,'📝 Daily Log'!G$3:G$500,"✅ Done",WEEKDAY('📝 Daily Log'!B$3:B$500,2),7)&gt;0,"✅",""),"")</f>
        <v/>
      </c>
      <c r="I29" s="44" t="str">
        <f aca="false">IFERROR(IF(COUNTIFS('📝 Daily Log'!C$3:C$500,21,'📝 Daily Log'!G$3:G$500,"✅ Done",WEEKDAY('📝 Daily Log'!B$3:B$500,2),1)&gt;0,"✅",""),"")</f>
        <v/>
      </c>
      <c r="J29" s="222" t="str">
        <f aca="false">IFERROR(COUNTIFS('📝 Daily Log'!C$3:C$500,21,'📝 Daily Log'!G$3:G$500,"✅ Done")/COUNTIF('📝 Daily Log'!C$3:C$500,21),"")</f>
        <v/>
      </c>
      <c r="K29" s="223" t="n">
        <f aca="false">IFERROR(SUMIF('📝 Daily Log'!C$3:C$500,21,'📝 Daily Log'!H$3:H$500),"")</f>
        <v>0</v>
      </c>
    </row>
    <row r="30" customFormat="false" ht="15.75" hidden="false" customHeight="true" outlineLevel="0" collapsed="false">
      <c r="B30" s="224" t="s">
        <v>166</v>
      </c>
      <c r="C30" s="225" t="str">
        <f aca="false">IFERROR(IF(COUNTIFS('📝 Daily Log'!C$3:C$500,22,'📝 Daily Log'!G$3:G$500,"✅ Done",WEEKDAY('📝 Daily Log'!B$3:B$500,2),2)&gt;0,"✅",""),"")</f>
        <v/>
      </c>
      <c r="D30" s="225" t="str">
        <f aca="false">IFERROR(IF(COUNTIFS('📝 Daily Log'!C$3:C$500,22,'📝 Daily Log'!G$3:G$500,"✅ Done",WEEKDAY('📝 Daily Log'!B$3:B$500,2),3)&gt;0,"✅",""),"")</f>
        <v/>
      </c>
      <c r="E30" s="225" t="str">
        <f aca="false">IFERROR(IF(COUNTIFS('📝 Daily Log'!C$3:C$500,22,'📝 Daily Log'!G$3:G$500,"✅ Done",WEEKDAY('📝 Daily Log'!B$3:B$500,2),4)&gt;0,"✅",""),"")</f>
        <v/>
      </c>
      <c r="F30" s="225" t="str">
        <f aca="false">IFERROR(IF(COUNTIFS('📝 Daily Log'!C$3:C$500,22,'📝 Daily Log'!G$3:G$500,"✅ Done",WEEKDAY('📝 Daily Log'!B$3:B$500,2),5)&gt;0,"✅",""),"")</f>
        <v/>
      </c>
      <c r="G30" s="225" t="str">
        <f aca="false">IFERROR(IF(COUNTIFS('📝 Daily Log'!C$3:C$500,22,'📝 Daily Log'!G$3:G$500,"✅ Done",WEEKDAY('📝 Daily Log'!B$3:B$500,2),6)&gt;0,"✅",""),"")</f>
        <v/>
      </c>
      <c r="H30" s="225" t="str">
        <f aca="false">IFERROR(IF(COUNTIFS('📝 Daily Log'!C$3:C$500,22,'📝 Daily Log'!G$3:G$500,"✅ Done",WEEKDAY('📝 Daily Log'!B$3:B$500,2),7)&gt;0,"✅",""),"")</f>
        <v/>
      </c>
      <c r="I30" s="225" t="str">
        <f aca="false">IFERROR(IF(COUNTIFS('📝 Daily Log'!C$3:C$500,22,'📝 Daily Log'!G$3:G$500,"✅ Done",WEEKDAY('📝 Daily Log'!B$3:B$500,2),1)&gt;0,"✅",""),"")</f>
        <v/>
      </c>
      <c r="J30" s="226" t="str">
        <f aca="false">IFERROR(COUNTIFS('📝 Daily Log'!C$3:C$500,22,'📝 Daily Log'!G$3:G$500,"✅ Done")/COUNTIF('📝 Daily Log'!C$3:C$500,22),"")</f>
        <v/>
      </c>
      <c r="K30" s="227" t="n">
        <f aca="false">IFERROR(SUMIF('📝 Daily Log'!C$3:C$500,22,'📝 Daily Log'!H$3:H$500),"")</f>
        <v>0</v>
      </c>
    </row>
    <row r="31" customFormat="false" ht="15.75" hidden="false" customHeight="true" outlineLevel="0" collapsed="false">
      <c r="B31" s="221" t="s">
        <v>167</v>
      </c>
      <c r="C31" s="44" t="str">
        <f aca="false">IFERROR(IF(COUNTIFS('📝 Daily Log'!C$3:C$500,23,'📝 Daily Log'!G$3:G$500,"✅ Done",WEEKDAY('📝 Daily Log'!B$3:B$500,2),2)&gt;0,"✅",""),"")</f>
        <v/>
      </c>
      <c r="D31" s="44" t="str">
        <f aca="false">IFERROR(IF(COUNTIFS('📝 Daily Log'!C$3:C$500,23,'📝 Daily Log'!G$3:G$500,"✅ Done",WEEKDAY('📝 Daily Log'!B$3:B$500,2),3)&gt;0,"✅",""),"")</f>
        <v/>
      </c>
      <c r="E31" s="44" t="str">
        <f aca="false">IFERROR(IF(COUNTIFS('📝 Daily Log'!C$3:C$500,23,'📝 Daily Log'!G$3:G$500,"✅ Done",WEEKDAY('📝 Daily Log'!B$3:B$500,2),4)&gt;0,"✅",""),"")</f>
        <v/>
      </c>
      <c r="F31" s="44" t="str">
        <f aca="false">IFERROR(IF(COUNTIFS('📝 Daily Log'!C$3:C$500,23,'📝 Daily Log'!G$3:G$500,"✅ Done",WEEKDAY('📝 Daily Log'!B$3:B$500,2),5)&gt;0,"✅",""),"")</f>
        <v/>
      </c>
      <c r="G31" s="44" t="str">
        <f aca="false">IFERROR(IF(COUNTIFS('📝 Daily Log'!C$3:C$500,23,'📝 Daily Log'!G$3:G$500,"✅ Done",WEEKDAY('📝 Daily Log'!B$3:B$500,2),6)&gt;0,"✅",""),"")</f>
        <v/>
      </c>
      <c r="H31" s="44" t="str">
        <f aca="false">IFERROR(IF(COUNTIFS('📝 Daily Log'!C$3:C$500,23,'📝 Daily Log'!G$3:G$500,"✅ Done",WEEKDAY('📝 Daily Log'!B$3:B$500,2),7)&gt;0,"✅",""),"")</f>
        <v/>
      </c>
      <c r="I31" s="44" t="str">
        <f aca="false">IFERROR(IF(COUNTIFS('📝 Daily Log'!C$3:C$500,23,'📝 Daily Log'!G$3:G$500,"✅ Done",WEEKDAY('📝 Daily Log'!B$3:B$500,2),1)&gt;0,"✅",""),"")</f>
        <v/>
      </c>
      <c r="J31" s="222" t="str">
        <f aca="false">IFERROR(COUNTIFS('📝 Daily Log'!C$3:C$500,23,'📝 Daily Log'!G$3:G$500,"✅ Done")/COUNTIF('📝 Daily Log'!C$3:C$500,23),"")</f>
        <v/>
      </c>
      <c r="K31" s="223" t="n">
        <f aca="false">IFERROR(SUMIF('📝 Daily Log'!C$3:C$500,23,'📝 Daily Log'!H$3:H$500),"")</f>
        <v>0</v>
      </c>
    </row>
    <row r="32" customFormat="false" ht="15.75" hidden="false" customHeight="true" outlineLevel="0" collapsed="false">
      <c r="B32" s="224" t="s">
        <v>168</v>
      </c>
      <c r="C32" s="225" t="str">
        <f aca="false">IFERROR(IF(COUNTIFS('📝 Daily Log'!C$3:C$500,24,'📝 Daily Log'!G$3:G$500,"✅ Done",WEEKDAY('📝 Daily Log'!B$3:B$500,2),2)&gt;0,"✅",""),"")</f>
        <v/>
      </c>
      <c r="D32" s="225" t="str">
        <f aca="false">IFERROR(IF(COUNTIFS('📝 Daily Log'!C$3:C$500,24,'📝 Daily Log'!G$3:G$500,"✅ Done",WEEKDAY('📝 Daily Log'!B$3:B$500,2),3)&gt;0,"✅",""),"")</f>
        <v/>
      </c>
      <c r="E32" s="225" t="str">
        <f aca="false">IFERROR(IF(COUNTIFS('📝 Daily Log'!C$3:C$500,24,'📝 Daily Log'!G$3:G$500,"✅ Done",WEEKDAY('📝 Daily Log'!B$3:B$500,2),4)&gt;0,"✅",""),"")</f>
        <v/>
      </c>
      <c r="F32" s="225" t="str">
        <f aca="false">IFERROR(IF(COUNTIFS('📝 Daily Log'!C$3:C$500,24,'📝 Daily Log'!G$3:G$500,"✅ Done",WEEKDAY('📝 Daily Log'!B$3:B$500,2),5)&gt;0,"✅",""),"")</f>
        <v/>
      </c>
      <c r="G32" s="225" t="str">
        <f aca="false">IFERROR(IF(COUNTIFS('📝 Daily Log'!C$3:C$500,24,'📝 Daily Log'!G$3:G$500,"✅ Done",WEEKDAY('📝 Daily Log'!B$3:B$500,2),6)&gt;0,"✅",""),"")</f>
        <v/>
      </c>
      <c r="H32" s="225" t="str">
        <f aca="false">IFERROR(IF(COUNTIFS('📝 Daily Log'!C$3:C$500,24,'📝 Daily Log'!G$3:G$500,"✅ Done",WEEKDAY('📝 Daily Log'!B$3:B$500,2),7)&gt;0,"✅",""),"")</f>
        <v/>
      </c>
      <c r="I32" s="225" t="str">
        <f aca="false">IFERROR(IF(COUNTIFS('📝 Daily Log'!C$3:C$500,24,'📝 Daily Log'!G$3:G$500,"✅ Done",WEEKDAY('📝 Daily Log'!B$3:B$500,2),1)&gt;0,"✅",""),"")</f>
        <v/>
      </c>
      <c r="J32" s="226" t="str">
        <f aca="false">IFERROR(COUNTIFS('📝 Daily Log'!C$3:C$500,24,'📝 Daily Log'!G$3:G$500,"✅ Done")/COUNTIF('📝 Daily Log'!C$3:C$500,24),"")</f>
        <v/>
      </c>
      <c r="K32" s="227" t="n">
        <f aca="false">IFERROR(SUMIF('📝 Daily Log'!C$3:C$500,24,'📝 Daily Log'!H$3:H$500),"")</f>
        <v>0</v>
      </c>
    </row>
    <row r="33" customFormat="false" ht="15.75" hidden="false" customHeight="true" outlineLevel="0" collapsed="false">
      <c r="B33" s="221" t="s">
        <v>169</v>
      </c>
      <c r="C33" s="44" t="str">
        <f aca="false">IFERROR(IF(COUNTIFS('📝 Daily Log'!C$3:C$500,25,'📝 Daily Log'!G$3:G$500,"✅ Done",WEEKDAY('📝 Daily Log'!B$3:B$500,2),2)&gt;0,"✅",""),"")</f>
        <v/>
      </c>
      <c r="D33" s="44" t="str">
        <f aca="false">IFERROR(IF(COUNTIFS('📝 Daily Log'!C$3:C$500,25,'📝 Daily Log'!G$3:G$500,"✅ Done",WEEKDAY('📝 Daily Log'!B$3:B$500,2),3)&gt;0,"✅",""),"")</f>
        <v/>
      </c>
      <c r="E33" s="44" t="str">
        <f aca="false">IFERROR(IF(COUNTIFS('📝 Daily Log'!C$3:C$500,25,'📝 Daily Log'!G$3:G$500,"✅ Done",WEEKDAY('📝 Daily Log'!B$3:B$500,2),4)&gt;0,"✅",""),"")</f>
        <v/>
      </c>
      <c r="F33" s="44" t="str">
        <f aca="false">IFERROR(IF(COUNTIFS('📝 Daily Log'!C$3:C$500,25,'📝 Daily Log'!G$3:G$500,"✅ Done",WEEKDAY('📝 Daily Log'!B$3:B$500,2),5)&gt;0,"✅",""),"")</f>
        <v/>
      </c>
      <c r="G33" s="44" t="str">
        <f aca="false">IFERROR(IF(COUNTIFS('📝 Daily Log'!C$3:C$500,25,'📝 Daily Log'!G$3:G$500,"✅ Done",WEEKDAY('📝 Daily Log'!B$3:B$500,2),6)&gt;0,"✅",""),"")</f>
        <v/>
      </c>
      <c r="H33" s="44" t="str">
        <f aca="false">IFERROR(IF(COUNTIFS('📝 Daily Log'!C$3:C$500,25,'📝 Daily Log'!G$3:G$500,"✅ Done",WEEKDAY('📝 Daily Log'!B$3:B$500,2),7)&gt;0,"✅",""),"")</f>
        <v/>
      </c>
      <c r="I33" s="44" t="str">
        <f aca="false">IFERROR(IF(COUNTIFS('📝 Daily Log'!C$3:C$500,25,'📝 Daily Log'!G$3:G$500,"✅ Done",WEEKDAY('📝 Daily Log'!B$3:B$500,2),1)&gt;0,"✅",""),"")</f>
        <v/>
      </c>
      <c r="J33" s="222" t="str">
        <f aca="false">IFERROR(COUNTIFS('📝 Daily Log'!C$3:C$500,25,'📝 Daily Log'!G$3:G$500,"✅ Done")/COUNTIF('📝 Daily Log'!C$3:C$500,25),"")</f>
        <v/>
      </c>
      <c r="K33" s="223" t="n">
        <f aca="false">IFERROR(SUMIF('📝 Daily Log'!C$3:C$500,25,'📝 Daily Log'!H$3:H$500),"")</f>
        <v>0</v>
      </c>
    </row>
    <row r="34" customFormat="false" ht="15.75" hidden="false" customHeight="true" outlineLevel="0" collapsed="false">
      <c r="B34" s="224" t="s">
        <v>170</v>
      </c>
      <c r="C34" s="225" t="str">
        <f aca="false">IFERROR(IF(COUNTIFS('📝 Daily Log'!C$3:C$500,26,'📝 Daily Log'!G$3:G$500,"✅ Done",WEEKDAY('📝 Daily Log'!B$3:B$500,2),2)&gt;0,"✅",""),"")</f>
        <v/>
      </c>
      <c r="D34" s="225" t="str">
        <f aca="false">IFERROR(IF(COUNTIFS('📝 Daily Log'!C$3:C$500,26,'📝 Daily Log'!G$3:G$500,"✅ Done",WEEKDAY('📝 Daily Log'!B$3:B$500,2),3)&gt;0,"✅",""),"")</f>
        <v/>
      </c>
      <c r="E34" s="225" t="str">
        <f aca="false">IFERROR(IF(COUNTIFS('📝 Daily Log'!C$3:C$500,26,'📝 Daily Log'!G$3:G$500,"✅ Done",WEEKDAY('📝 Daily Log'!B$3:B$500,2),4)&gt;0,"✅",""),"")</f>
        <v/>
      </c>
      <c r="F34" s="225" t="str">
        <f aca="false">IFERROR(IF(COUNTIFS('📝 Daily Log'!C$3:C$500,26,'📝 Daily Log'!G$3:G$500,"✅ Done",WEEKDAY('📝 Daily Log'!B$3:B$500,2),5)&gt;0,"✅",""),"")</f>
        <v/>
      </c>
      <c r="G34" s="225" t="str">
        <f aca="false">IFERROR(IF(COUNTIFS('📝 Daily Log'!C$3:C$500,26,'📝 Daily Log'!G$3:G$500,"✅ Done",WEEKDAY('📝 Daily Log'!B$3:B$500,2),6)&gt;0,"✅",""),"")</f>
        <v/>
      </c>
      <c r="H34" s="225" t="str">
        <f aca="false">IFERROR(IF(COUNTIFS('📝 Daily Log'!C$3:C$500,26,'📝 Daily Log'!G$3:G$500,"✅ Done",WEEKDAY('📝 Daily Log'!B$3:B$500,2),7)&gt;0,"✅",""),"")</f>
        <v/>
      </c>
      <c r="I34" s="225" t="str">
        <f aca="false">IFERROR(IF(COUNTIFS('📝 Daily Log'!C$3:C$500,26,'📝 Daily Log'!G$3:G$500,"✅ Done",WEEKDAY('📝 Daily Log'!B$3:B$500,2),1)&gt;0,"✅",""),"")</f>
        <v/>
      </c>
      <c r="J34" s="226" t="str">
        <f aca="false">IFERROR(COUNTIFS('📝 Daily Log'!C$3:C$500,26,'📝 Daily Log'!G$3:G$500,"✅ Done")/COUNTIF('📝 Daily Log'!C$3:C$500,26),"")</f>
        <v/>
      </c>
      <c r="K34" s="227" t="n">
        <f aca="false">IFERROR(SUMIF('📝 Daily Log'!C$3:C$500,26,'📝 Daily Log'!H$3:H$500),"")</f>
        <v>0</v>
      </c>
    </row>
    <row r="35" customFormat="false" ht="15.75" hidden="false" customHeight="true" outlineLevel="0" collapsed="false">
      <c r="B35" s="221" t="s">
        <v>171</v>
      </c>
      <c r="C35" s="44" t="str">
        <f aca="false">IFERROR(IF(COUNTIFS('📝 Daily Log'!C$3:C$500,27,'📝 Daily Log'!G$3:G$500,"✅ Done",WEEKDAY('📝 Daily Log'!B$3:B$500,2),2)&gt;0,"✅",""),"")</f>
        <v/>
      </c>
      <c r="D35" s="44" t="str">
        <f aca="false">IFERROR(IF(COUNTIFS('📝 Daily Log'!C$3:C$500,27,'📝 Daily Log'!G$3:G$500,"✅ Done",WEEKDAY('📝 Daily Log'!B$3:B$500,2),3)&gt;0,"✅",""),"")</f>
        <v/>
      </c>
      <c r="E35" s="44" t="str">
        <f aca="false">IFERROR(IF(COUNTIFS('📝 Daily Log'!C$3:C$500,27,'📝 Daily Log'!G$3:G$500,"✅ Done",WEEKDAY('📝 Daily Log'!B$3:B$500,2),4)&gt;0,"✅",""),"")</f>
        <v/>
      </c>
      <c r="F35" s="44" t="str">
        <f aca="false">IFERROR(IF(COUNTIFS('📝 Daily Log'!C$3:C$500,27,'📝 Daily Log'!G$3:G$500,"✅ Done",WEEKDAY('📝 Daily Log'!B$3:B$500,2),5)&gt;0,"✅",""),"")</f>
        <v/>
      </c>
      <c r="G35" s="44" t="str">
        <f aca="false">IFERROR(IF(COUNTIFS('📝 Daily Log'!C$3:C$500,27,'📝 Daily Log'!G$3:G$500,"✅ Done",WEEKDAY('📝 Daily Log'!B$3:B$500,2),6)&gt;0,"✅",""),"")</f>
        <v/>
      </c>
      <c r="H35" s="44" t="str">
        <f aca="false">IFERROR(IF(COUNTIFS('📝 Daily Log'!C$3:C$500,27,'📝 Daily Log'!G$3:G$500,"✅ Done",WEEKDAY('📝 Daily Log'!B$3:B$500,2),7)&gt;0,"✅",""),"")</f>
        <v/>
      </c>
      <c r="I35" s="44" t="str">
        <f aca="false">IFERROR(IF(COUNTIFS('📝 Daily Log'!C$3:C$500,27,'📝 Daily Log'!G$3:G$500,"✅ Done",WEEKDAY('📝 Daily Log'!B$3:B$500,2),1)&gt;0,"✅",""),"")</f>
        <v/>
      </c>
      <c r="J35" s="222" t="str">
        <f aca="false">IFERROR(COUNTIFS('📝 Daily Log'!C$3:C$500,27,'📝 Daily Log'!G$3:G$500,"✅ Done")/COUNTIF('📝 Daily Log'!C$3:C$500,27),"")</f>
        <v/>
      </c>
      <c r="K35" s="223" t="n">
        <f aca="false">IFERROR(SUMIF('📝 Daily Log'!C$3:C$500,27,'📝 Daily Log'!H$3:H$500),"")</f>
        <v>0</v>
      </c>
    </row>
    <row r="36" customFormat="false" ht="15.75" hidden="false" customHeight="true" outlineLevel="0" collapsed="false">
      <c r="B36" s="224" t="s">
        <v>172</v>
      </c>
      <c r="C36" s="225" t="str">
        <f aca="false">IFERROR(IF(COUNTIFS('📝 Daily Log'!C$3:C$500,28,'📝 Daily Log'!G$3:G$500,"✅ Done",WEEKDAY('📝 Daily Log'!B$3:B$500,2),2)&gt;0,"✅",""),"")</f>
        <v/>
      </c>
      <c r="D36" s="225" t="str">
        <f aca="false">IFERROR(IF(COUNTIFS('📝 Daily Log'!C$3:C$500,28,'📝 Daily Log'!G$3:G$500,"✅ Done",WEEKDAY('📝 Daily Log'!B$3:B$500,2),3)&gt;0,"✅",""),"")</f>
        <v/>
      </c>
      <c r="E36" s="225" t="str">
        <f aca="false">IFERROR(IF(COUNTIFS('📝 Daily Log'!C$3:C$500,28,'📝 Daily Log'!G$3:G$500,"✅ Done",WEEKDAY('📝 Daily Log'!B$3:B$500,2),4)&gt;0,"✅",""),"")</f>
        <v/>
      </c>
      <c r="F36" s="225" t="str">
        <f aca="false">IFERROR(IF(COUNTIFS('📝 Daily Log'!C$3:C$500,28,'📝 Daily Log'!G$3:G$500,"✅ Done",WEEKDAY('📝 Daily Log'!B$3:B$500,2),5)&gt;0,"✅",""),"")</f>
        <v/>
      </c>
      <c r="G36" s="225" t="str">
        <f aca="false">IFERROR(IF(COUNTIFS('📝 Daily Log'!C$3:C$500,28,'📝 Daily Log'!G$3:G$500,"✅ Done",WEEKDAY('📝 Daily Log'!B$3:B$500,2),6)&gt;0,"✅",""),"")</f>
        <v/>
      </c>
      <c r="H36" s="225" t="str">
        <f aca="false">IFERROR(IF(COUNTIFS('📝 Daily Log'!C$3:C$500,28,'📝 Daily Log'!G$3:G$500,"✅ Done",WEEKDAY('📝 Daily Log'!B$3:B$500,2),7)&gt;0,"✅",""),"")</f>
        <v/>
      </c>
      <c r="I36" s="225" t="str">
        <f aca="false">IFERROR(IF(COUNTIFS('📝 Daily Log'!C$3:C$500,28,'📝 Daily Log'!G$3:G$500,"✅ Done",WEEKDAY('📝 Daily Log'!B$3:B$500,2),1)&gt;0,"✅",""),"")</f>
        <v/>
      </c>
      <c r="J36" s="226" t="str">
        <f aca="false">IFERROR(COUNTIFS('📝 Daily Log'!C$3:C$500,28,'📝 Daily Log'!G$3:G$500,"✅ Done")/COUNTIF('📝 Daily Log'!C$3:C$500,28),"")</f>
        <v/>
      </c>
      <c r="K36" s="227" t="n">
        <f aca="false">IFERROR(SUMIF('📝 Daily Log'!C$3:C$500,28,'📝 Daily Log'!H$3:H$500),"")</f>
        <v>0</v>
      </c>
    </row>
    <row r="37" customFormat="false" ht="15.75" hidden="false" customHeight="true" outlineLevel="0" collapsed="false">
      <c r="B37" s="221" t="s">
        <v>173</v>
      </c>
      <c r="C37" s="44" t="str">
        <f aca="false">IFERROR(IF(COUNTIFS('📝 Daily Log'!C$3:C$500,29,'📝 Daily Log'!G$3:G$500,"✅ Done",WEEKDAY('📝 Daily Log'!B$3:B$500,2),2)&gt;0,"✅",""),"")</f>
        <v/>
      </c>
      <c r="D37" s="44" t="str">
        <f aca="false">IFERROR(IF(COUNTIFS('📝 Daily Log'!C$3:C$500,29,'📝 Daily Log'!G$3:G$500,"✅ Done",WEEKDAY('📝 Daily Log'!B$3:B$500,2),3)&gt;0,"✅",""),"")</f>
        <v/>
      </c>
      <c r="E37" s="44" t="str">
        <f aca="false">IFERROR(IF(COUNTIFS('📝 Daily Log'!C$3:C$500,29,'📝 Daily Log'!G$3:G$500,"✅ Done",WEEKDAY('📝 Daily Log'!B$3:B$500,2),4)&gt;0,"✅",""),"")</f>
        <v/>
      </c>
      <c r="F37" s="44" t="str">
        <f aca="false">IFERROR(IF(COUNTIFS('📝 Daily Log'!C$3:C$500,29,'📝 Daily Log'!G$3:G$500,"✅ Done",WEEKDAY('📝 Daily Log'!B$3:B$500,2),5)&gt;0,"✅",""),"")</f>
        <v/>
      </c>
      <c r="G37" s="44" t="str">
        <f aca="false">IFERROR(IF(COUNTIFS('📝 Daily Log'!C$3:C$500,29,'📝 Daily Log'!G$3:G$500,"✅ Done",WEEKDAY('📝 Daily Log'!B$3:B$500,2),6)&gt;0,"✅",""),"")</f>
        <v/>
      </c>
      <c r="H37" s="44" t="str">
        <f aca="false">IFERROR(IF(COUNTIFS('📝 Daily Log'!C$3:C$500,29,'📝 Daily Log'!G$3:G$500,"✅ Done",WEEKDAY('📝 Daily Log'!B$3:B$500,2),7)&gt;0,"✅",""),"")</f>
        <v/>
      </c>
      <c r="I37" s="44" t="str">
        <f aca="false">IFERROR(IF(COUNTIFS('📝 Daily Log'!C$3:C$500,29,'📝 Daily Log'!G$3:G$500,"✅ Done",WEEKDAY('📝 Daily Log'!B$3:B$500,2),1)&gt;0,"✅",""),"")</f>
        <v/>
      </c>
      <c r="J37" s="222" t="str">
        <f aca="false">IFERROR(COUNTIFS('📝 Daily Log'!C$3:C$500,29,'📝 Daily Log'!G$3:G$500,"✅ Done")/COUNTIF('📝 Daily Log'!C$3:C$500,29),"")</f>
        <v/>
      </c>
      <c r="K37" s="223" t="n">
        <f aca="false">IFERROR(SUMIF('📝 Daily Log'!C$3:C$500,29,'📝 Daily Log'!H$3:H$500),"")</f>
        <v>0</v>
      </c>
    </row>
    <row r="38" customFormat="false" ht="15.75" hidden="false" customHeight="true" outlineLevel="0" collapsed="false">
      <c r="B38" s="224" t="s">
        <v>174</v>
      </c>
      <c r="C38" s="225" t="str">
        <f aca="false">IFERROR(IF(COUNTIFS('📝 Daily Log'!C$3:C$500,30,'📝 Daily Log'!G$3:G$500,"✅ Done",WEEKDAY('📝 Daily Log'!B$3:B$500,2),2)&gt;0,"✅",""),"")</f>
        <v/>
      </c>
      <c r="D38" s="225" t="str">
        <f aca="false">IFERROR(IF(COUNTIFS('📝 Daily Log'!C$3:C$500,30,'📝 Daily Log'!G$3:G$500,"✅ Done",WEEKDAY('📝 Daily Log'!B$3:B$500,2),3)&gt;0,"✅",""),"")</f>
        <v/>
      </c>
      <c r="E38" s="225" t="str">
        <f aca="false">IFERROR(IF(COUNTIFS('📝 Daily Log'!C$3:C$500,30,'📝 Daily Log'!G$3:G$500,"✅ Done",WEEKDAY('📝 Daily Log'!B$3:B$500,2),4)&gt;0,"✅",""),"")</f>
        <v/>
      </c>
      <c r="F38" s="225" t="str">
        <f aca="false">IFERROR(IF(COUNTIFS('📝 Daily Log'!C$3:C$500,30,'📝 Daily Log'!G$3:G$500,"✅ Done",WEEKDAY('📝 Daily Log'!B$3:B$500,2),5)&gt;0,"✅",""),"")</f>
        <v/>
      </c>
      <c r="G38" s="225" t="str">
        <f aca="false">IFERROR(IF(COUNTIFS('📝 Daily Log'!C$3:C$500,30,'📝 Daily Log'!G$3:G$500,"✅ Done",WEEKDAY('📝 Daily Log'!B$3:B$500,2),6)&gt;0,"✅",""),"")</f>
        <v/>
      </c>
      <c r="H38" s="225" t="str">
        <f aca="false">IFERROR(IF(COUNTIFS('📝 Daily Log'!C$3:C$500,30,'📝 Daily Log'!G$3:G$500,"✅ Done",WEEKDAY('📝 Daily Log'!B$3:B$500,2),7)&gt;0,"✅",""),"")</f>
        <v/>
      </c>
      <c r="I38" s="225" t="str">
        <f aca="false">IFERROR(IF(COUNTIFS('📝 Daily Log'!C$3:C$500,30,'📝 Daily Log'!G$3:G$500,"✅ Done",WEEKDAY('📝 Daily Log'!B$3:B$500,2),1)&gt;0,"✅",""),"")</f>
        <v/>
      </c>
      <c r="J38" s="226" t="str">
        <f aca="false">IFERROR(COUNTIFS('📝 Daily Log'!C$3:C$500,30,'📝 Daily Log'!G$3:G$500,"✅ Done")/COUNTIF('📝 Daily Log'!C$3:C$500,30),"")</f>
        <v/>
      </c>
      <c r="K38" s="227" t="n">
        <f aca="false">IFERROR(SUMIF('📝 Daily Log'!C$3:C$500,30,'📝 Daily Log'!H$3:H$500),"")</f>
        <v>0</v>
      </c>
    </row>
    <row r="39" customFormat="false" ht="15.75" hidden="false" customHeight="true" outlineLevel="0" collapsed="false">
      <c r="B39" s="221" t="s">
        <v>175</v>
      </c>
      <c r="C39" s="44" t="str">
        <f aca="false">IFERROR(IF(COUNTIFS('📝 Daily Log'!C$3:C$500,31,'📝 Daily Log'!G$3:G$500,"✅ Done",WEEKDAY('📝 Daily Log'!B$3:B$500,2),2)&gt;0,"✅",""),"")</f>
        <v/>
      </c>
      <c r="D39" s="44" t="str">
        <f aca="false">IFERROR(IF(COUNTIFS('📝 Daily Log'!C$3:C$500,31,'📝 Daily Log'!G$3:G$500,"✅ Done",WEEKDAY('📝 Daily Log'!B$3:B$500,2),3)&gt;0,"✅",""),"")</f>
        <v/>
      </c>
      <c r="E39" s="44" t="str">
        <f aca="false">IFERROR(IF(COUNTIFS('📝 Daily Log'!C$3:C$500,31,'📝 Daily Log'!G$3:G$500,"✅ Done",WEEKDAY('📝 Daily Log'!B$3:B$500,2),4)&gt;0,"✅",""),"")</f>
        <v/>
      </c>
      <c r="F39" s="44" t="str">
        <f aca="false">IFERROR(IF(COUNTIFS('📝 Daily Log'!C$3:C$500,31,'📝 Daily Log'!G$3:G$500,"✅ Done",WEEKDAY('📝 Daily Log'!B$3:B$500,2),5)&gt;0,"✅",""),"")</f>
        <v/>
      </c>
      <c r="G39" s="44" t="str">
        <f aca="false">IFERROR(IF(COUNTIFS('📝 Daily Log'!C$3:C$500,31,'📝 Daily Log'!G$3:G$500,"✅ Done",WEEKDAY('📝 Daily Log'!B$3:B$500,2),6)&gt;0,"✅",""),"")</f>
        <v/>
      </c>
      <c r="H39" s="44" t="str">
        <f aca="false">IFERROR(IF(COUNTIFS('📝 Daily Log'!C$3:C$500,31,'📝 Daily Log'!G$3:G$500,"✅ Done",WEEKDAY('📝 Daily Log'!B$3:B$500,2),7)&gt;0,"✅",""),"")</f>
        <v/>
      </c>
      <c r="I39" s="44" t="str">
        <f aca="false">IFERROR(IF(COUNTIFS('📝 Daily Log'!C$3:C$500,31,'📝 Daily Log'!G$3:G$500,"✅ Done",WEEKDAY('📝 Daily Log'!B$3:B$500,2),1)&gt;0,"✅",""),"")</f>
        <v/>
      </c>
      <c r="J39" s="222" t="str">
        <f aca="false">IFERROR(COUNTIFS('📝 Daily Log'!C$3:C$500,31,'📝 Daily Log'!G$3:G$500,"✅ Done")/COUNTIF('📝 Daily Log'!C$3:C$500,31),"")</f>
        <v/>
      </c>
      <c r="K39" s="223" t="n">
        <f aca="false">IFERROR(SUMIF('📝 Daily Log'!C$3:C$500,31,'📝 Daily Log'!H$3:H$500),"")</f>
        <v>0</v>
      </c>
    </row>
    <row r="40" customFormat="false" ht="15.75" hidden="false" customHeight="true" outlineLevel="0" collapsed="false">
      <c r="B40" s="224" t="s">
        <v>176</v>
      </c>
      <c r="C40" s="225" t="str">
        <f aca="false">IFERROR(IF(COUNTIFS('📝 Daily Log'!C$3:C$500,32,'📝 Daily Log'!G$3:G$500,"✅ Done",WEEKDAY('📝 Daily Log'!B$3:B$500,2),2)&gt;0,"✅",""),"")</f>
        <v/>
      </c>
      <c r="D40" s="225" t="str">
        <f aca="false">IFERROR(IF(COUNTIFS('📝 Daily Log'!C$3:C$500,32,'📝 Daily Log'!G$3:G$500,"✅ Done",WEEKDAY('📝 Daily Log'!B$3:B$500,2),3)&gt;0,"✅",""),"")</f>
        <v/>
      </c>
      <c r="E40" s="225" t="str">
        <f aca="false">IFERROR(IF(COUNTIFS('📝 Daily Log'!C$3:C$500,32,'📝 Daily Log'!G$3:G$500,"✅ Done",WEEKDAY('📝 Daily Log'!B$3:B$500,2),4)&gt;0,"✅",""),"")</f>
        <v/>
      </c>
      <c r="F40" s="225" t="str">
        <f aca="false">IFERROR(IF(COUNTIFS('📝 Daily Log'!C$3:C$500,32,'📝 Daily Log'!G$3:G$500,"✅ Done",WEEKDAY('📝 Daily Log'!B$3:B$500,2),5)&gt;0,"✅",""),"")</f>
        <v/>
      </c>
      <c r="G40" s="225" t="str">
        <f aca="false">IFERROR(IF(COUNTIFS('📝 Daily Log'!C$3:C$500,32,'📝 Daily Log'!G$3:G$500,"✅ Done",WEEKDAY('📝 Daily Log'!B$3:B$500,2),6)&gt;0,"✅",""),"")</f>
        <v/>
      </c>
      <c r="H40" s="225" t="str">
        <f aca="false">IFERROR(IF(COUNTIFS('📝 Daily Log'!C$3:C$500,32,'📝 Daily Log'!G$3:G$500,"✅ Done",WEEKDAY('📝 Daily Log'!B$3:B$500,2),7)&gt;0,"✅",""),"")</f>
        <v/>
      </c>
      <c r="I40" s="225" t="str">
        <f aca="false">IFERROR(IF(COUNTIFS('📝 Daily Log'!C$3:C$500,32,'📝 Daily Log'!G$3:G$500,"✅ Done",WEEKDAY('📝 Daily Log'!B$3:B$500,2),1)&gt;0,"✅",""),"")</f>
        <v/>
      </c>
      <c r="J40" s="226" t="str">
        <f aca="false">IFERROR(COUNTIFS('📝 Daily Log'!C$3:C$500,32,'📝 Daily Log'!G$3:G$500,"✅ Done")/COUNTIF('📝 Daily Log'!C$3:C$500,32),"")</f>
        <v/>
      </c>
      <c r="K40" s="227" t="n">
        <f aca="false">IFERROR(SUMIF('📝 Daily Log'!C$3:C$500,32,'📝 Daily Log'!H$3:H$500),"")</f>
        <v>0</v>
      </c>
    </row>
    <row r="41" customFormat="false" ht="15.75" hidden="false" customHeight="true" outlineLevel="0" collapsed="false">
      <c r="B41" s="221" t="s">
        <v>177</v>
      </c>
      <c r="C41" s="44" t="str">
        <f aca="false">IFERROR(IF(COUNTIFS('📝 Daily Log'!C$3:C$500,33,'📝 Daily Log'!G$3:G$500,"✅ Done",WEEKDAY('📝 Daily Log'!B$3:B$500,2),2)&gt;0,"✅",""),"")</f>
        <v/>
      </c>
      <c r="D41" s="44" t="str">
        <f aca="false">IFERROR(IF(COUNTIFS('📝 Daily Log'!C$3:C$500,33,'📝 Daily Log'!G$3:G$500,"✅ Done",WEEKDAY('📝 Daily Log'!B$3:B$500,2),3)&gt;0,"✅",""),"")</f>
        <v/>
      </c>
      <c r="E41" s="44" t="str">
        <f aca="false">IFERROR(IF(COUNTIFS('📝 Daily Log'!C$3:C$500,33,'📝 Daily Log'!G$3:G$500,"✅ Done",WEEKDAY('📝 Daily Log'!B$3:B$500,2),4)&gt;0,"✅",""),"")</f>
        <v/>
      </c>
      <c r="F41" s="44" t="str">
        <f aca="false">IFERROR(IF(COUNTIFS('📝 Daily Log'!C$3:C$500,33,'📝 Daily Log'!G$3:G$500,"✅ Done",WEEKDAY('📝 Daily Log'!B$3:B$500,2),5)&gt;0,"✅",""),"")</f>
        <v/>
      </c>
      <c r="G41" s="44" t="str">
        <f aca="false">IFERROR(IF(COUNTIFS('📝 Daily Log'!C$3:C$500,33,'📝 Daily Log'!G$3:G$500,"✅ Done",WEEKDAY('📝 Daily Log'!B$3:B$500,2),6)&gt;0,"✅",""),"")</f>
        <v/>
      </c>
      <c r="H41" s="44" t="str">
        <f aca="false">IFERROR(IF(COUNTIFS('📝 Daily Log'!C$3:C$500,33,'📝 Daily Log'!G$3:G$500,"✅ Done",WEEKDAY('📝 Daily Log'!B$3:B$500,2),7)&gt;0,"✅",""),"")</f>
        <v/>
      </c>
      <c r="I41" s="44" t="str">
        <f aca="false">IFERROR(IF(COUNTIFS('📝 Daily Log'!C$3:C$500,33,'📝 Daily Log'!G$3:G$500,"✅ Done",WEEKDAY('📝 Daily Log'!B$3:B$500,2),1)&gt;0,"✅",""),"")</f>
        <v/>
      </c>
      <c r="J41" s="222" t="str">
        <f aca="false">IFERROR(COUNTIFS('📝 Daily Log'!C$3:C$500,33,'📝 Daily Log'!G$3:G$500,"✅ Done")/COUNTIF('📝 Daily Log'!C$3:C$500,33),"")</f>
        <v/>
      </c>
      <c r="K41" s="223" t="n">
        <f aca="false">IFERROR(SUMIF('📝 Daily Log'!C$3:C$500,33,'📝 Daily Log'!H$3:H$500),"")</f>
        <v>0</v>
      </c>
    </row>
    <row r="42" customFormat="false" ht="15.75" hidden="false" customHeight="true" outlineLevel="0" collapsed="false">
      <c r="B42" s="224" t="s">
        <v>178</v>
      </c>
      <c r="C42" s="225" t="str">
        <f aca="false">IFERROR(IF(COUNTIFS('📝 Daily Log'!C$3:C$500,34,'📝 Daily Log'!G$3:G$500,"✅ Done",WEEKDAY('📝 Daily Log'!B$3:B$500,2),2)&gt;0,"✅",""),"")</f>
        <v/>
      </c>
      <c r="D42" s="225" t="str">
        <f aca="false">IFERROR(IF(COUNTIFS('📝 Daily Log'!C$3:C$500,34,'📝 Daily Log'!G$3:G$500,"✅ Done",WEEKDAY('📝 Daily Log'!B$3:B$500,2),3)&gt;0,"✅",""),"")</f>
        <v/>
      </c>
      <c r="E42" s="225" t="str">
        <f aca="false">IFERROR(IF(COUNTIFS('📝 Daily Log'!C$3:C$500,34,'📝 Daily Log'!G$3:G$500,"✅ Done",WEEKDAY('📝 Daily Log'!B$3:B$500,2),4)&gt;0,"✅",""),"")</f>
        <v/>
      </c>
      <c r="F42" s="225" t="str">
        <f aca="false">IFERROR(IF(COUNTIFS('📝 Daily Log'!C$3:C$500,34,'📝 Daily Log'!G$3:G$500,"✅ Done",WEEKDAY('📝 Daily Log'!B$3:B$500,2),5)&gt;0,"✅",""),"")</f>
        <v/>
      </c>
      <c r="G42" s="225" t="str">
        <f aca="false">IFERROR(IF(COUNTIFS('📝 Daily Log'!C$3:C$500,34,'📝 Daily Log'!G$3:G$500,"✅ Done",WEEKDAY('📝 Daily Log'!B$3:B$500,2),6)&gt;0,"✅",""),"")</f>
        <v/>
      </c>
      <c r="H42" s="225" t="str">
        <f aca="false">IFERROR(IF(COUNTIFS('📝 Daily Log'!C$3:C$500,34,'📝 Daily Log'!G$3:G$500,"✅ Done",WEEKDAY('📝 Daily Log'!B$3:B$500,2),7)&gt;0,"✅",""),"")</f>
        <v/>
      </c>
      <c r="I42" s="225" t="str">
        <f aca="false">IFERROR(IF(COUNTIFS('📝 Daily Log'!C$3:C$500,34,'📝 Daily Log'!G$3:G$500,"✅ Done",WEEKDAY('📝 Daily Log'!B$3:B$500,2),1)&gt;0,"✅",""),"")</f>
        <v/>
      </c>
      <c r="J42" s="226" t="str">
        <f aca="false">IFERROR(COUNTIFS('📝 Daily Log'!C$3:C$500,34,'📝 Daily Log'!G$3:G$500,"✅ Done")/COUNTIF('📝 Daily Log'!C$3:C$500,34),"")</f>
        <v/>
      </c>
      <c r="K42" s="227" t="n">
        <f aca="false">IFERROR(SUMIF('📝 Daily Log'!C$3:C$500,34,'📝 Daily Log'!H$3:H$500),"")</f>
        <v>0</v>
      </c>
    </row>
    <row r="43" customFormat="false" ht="15.75" hidden="false" customHeight="true" outlineLevel="0" collapsed="false">
      <c r="B43" s="221" t="s">
        <v>179</v>
      </c>
      <c r="C43" s="44" t="str">
        <f aca="false">IFERROR(IF(COUNTIFS('📝 Daily Log'!C$3:C$500,35,'📝 Daily Log'!G$3:G$500,"✅ Done",WEEKDAY('📝 Daily Log'!B$3:B$500,2),2)&gt;0,"✅",""),"")</f>
        <v/>
      </c>
      <c r="D43" s="44" t="str">
        <f aca="false">IFERROR(IF(COUNTIFS('📝 Daily Log'!C$3:C$500,35,'📝 Daily Log'!G$3:G$500,"✅ Done",WEEKDAY('📝 Daily Log'!B$3:B$500,2),3)&gt;0,"✅",""),"")</f>
        <v/>
      </c>
      <c r="E43" s="44" t="str">
        <f aca="false">IFERROR(IF(COUNTIFS('📝 Daily Log'!C$3:C$500,35,'📝 Daily Log'!G$3:G$500,"✅ Done",WEEKDAY('📝 Daily Log'!B$3:B$500,2),4)&gt;0,"✅",""),"")</f>
        <v/>
      </c>
      <c r="F43" s="44" t="str">
        <f aca="false">IFERROR(IF(COUNTIFS('📝 Daily Log'!C$3:C$500,35,'📝 Daily Log'!G$3:G$500,"✅ Done",WEEKDAY('📝 Daily Log'!B$3:B$500,2),5)&gt;0,"✅",""),"")</f>
        <v/>
      </c>
      <c r="G43" s="44" t="str">
        <f aca="false">IFERROR(IF(COUNTIFS('📝 Daily Log'!C$3:C$500,35,'📝 Daily Log'!G$3:G$500,"✅ Done",WEEKDAY('📝 Daily Log'!B$3:B$500,2),6)&gt;0,"✅",""),"")</f>
        <v/>
      </c>
      <c r="H43" s="44" t="str">
        <f aca="false">IFERROR(IF(COUNTIFS('📝 Daily Log'!C$3:C$500,35,'📝 Daily Log'!G$3:G$500,"✅ Done",WEEKDAY('📝 Daily Log'!B$3:B$500,2),7)&gt;0,"✅",""),"")</f>
        <v/>
      </c>
      <c r="I43" s="44" t="str">
        <f aca="false">IFERROR(IF(COUNTIFS('📝 Daily Log'!C$3:C$500,35,'📝 Daily Log'!G$3:G$500,"✅ Done",WEEKDAY('📝 Daily Log'!B$3:B$500,2),1)&gt;0,"✅",""),"")</f>
        <v/>
      </c>
      <c r="J43" s="222" t="str">
        <f aca="false">IFERROR(COUNTIFS('📝 Daily Log'!C$3:C$500,35,'📝 Daily Log'!G$3:G$500,"✅ Done")/COUNTIF('📝 Daily Log'!C$3:C$500,35),"")</f>
        <v/>
      </c>
      <c r="K43" s="223" t="n">
        <f aca="false">IFERROR(SUMIF('📝 Daily Log'!C$3:C$500,35,'📝 Daily Log'!H$3:H$500),"")</f>
        <v>0</v>
      </c>
    </row>
    <row r="44" customFormat="false" ht="15.75" hidden="false" customHeight="true" outlineLevel="0" collapsed="false">
      <c r="B44" s="224" t="s">
        <v>180</v>
      </c>
      <c r="C44" s="225" t="str">
        <f aca="false">IFERROR(IF(COUNTIFS('📝 Daily Log'!C$3:C$500,36,'📝 Daily Log'!G$3:G$500,"✅ Done",WEEKDAY('📝 Daily Log'!B$3:B$500,2),2)&gt;0,"✅",""),"")</f>
        <v/>
      </c>
      <c r="D44" s="225" t="str">
        <f aca="false">IFERROR(IF(COUNTIFS('📝 Daily Log'!C$3:C$500,36,'📝 Daily Log'!G$3:G$500,"✅ Done",WEEKDAY('📝 Daily Log'!B$3:B$500,2),3)&gt;0,"✅",""),"")</f>
        <v/>
      </c>
      <c r="E44" s="225" t="str">
        <f aca="false">IFERROR(IF(COUNTIFS('📝 Daily Log'!C$3:C$500,36,'📝 Daily Log'!G$3:G$500,"✅ Done",WEEKDAY('📝 Daily Log'!B$3:B$500,2),4)&gt;0,"✅",""),"")</f>
        <v/>
      </c>
      <c r="F44" s="225" t="str">
        <f aca="false">IFERROR(IF(COUNTIFS('📝 Daily Log'!C$3:C$500,36,'📝 Daily Log'!G$3:G$500,"✅ Done",WEEKDAY('📝 Daily Log'!B$3:B$500,2),5)&gt;0,"✅",""),"")</f>
        <v/>
      </c>
      <c r="G44" s="225" t="str">
        <f aca="false">IFERROR(IF(COUNTIFS('📝 Daily Log'!C$3:C$500,36,'📝 Daily Log'!G$3:G$500,"✅ Done",WEEKDAY('📝 Daily Log'!B$3:B$500,2),6)&gt;0,"✅",""),"")</f>
        <v/>
      </c>
      <c r="H44" s="225" t="str">
        <f aca="false">IFERROR(IF(COUNTIFS('📝 Daily Log'!C$3:C$500,36,'📝 Daily Log'!G$3:G$500,"✅ Done",WEEKDAY('📝 Daily Log'!B$3:B$500,2),7)&gt;0,"✅",""),"")</f>
        <v/>
      </c>
      <c r="I44" s="225" t="str">
        <f aca="false">IFERROR(IF(COUNTIFS('📝 Daily Log'!C$3:C$500,36,'📝 Daily Log'!G$3:G$500,"✅ Done",WEEKDAY('📝 Daily Log'!B$3:B$500,2),1)&gt;0,"✅",""),"")</f>
        <v/>
      </c>
      <c r="J44" s="226" t="str">
        <f aca="false">IFERROR(COUNTIFS('📝 Daily Log'!C$3:C$500,36,'📝 Daily Log'!G$3:G$500,"✅ Done")/COUNTIF('📝 Daily Log'!C$3:C$500,36),"")</f>
        <v/>
      </c>
      <c r="K44" s="227" t="n">
        <f aca="false">IFERROR(SUMIF('📝 Daily Log'!C$3:C$500,36,'📝 Daily Log'!H$3:H$500),"")</f>
        <v>0</v>
      </c>
    </row>
    <row r="45" customFormat="false" ht="15.75" hidden="false" customHeight="true" outlineLevel="0" collapsed="false">
      <c r="B45" s="221" t="s">
        <v>181</v>
      </c>
      <c r="C45" s="44" t="str">
        <f aca="false">IFERROR(IF(COUNTIFS('📝 Daily Log'!C$3:C$500,37,'📝 Daily Log'!G$3:G$500,"✅ Done",WEEKDAY('📝 Daily Log'!B$3:B$500,2),2)&gt;0,"✅",""),"")</f>
        <v/>
      </c>
      <c r="D45" s="44" t="str">
        <f aca="false">IFERROR(IF(COUNTIFS('📝 Daily Log'!C$3:C$500,37,'📝 Daily Log'!G$3:G$500,"✅ Done",WEEKDAY('📝 Daily Log'!B$3:B$500,2),3)&gt;0,"✅",""),"")</f>
        <v/>
      </c>
      <c r="E45" s="44" t="str">
        <f aca="false">IFERROR(IF(COUNTIFS('📝 Daily Log'!C$3:C$500,37,'📝 Daily Log'!G$3:G$500,"✅ Done",WEEKDAY('📝 Daily Log'!B$3:B$500,2),4)&gt;0,"✅",""),"")</f>
        <v/>
      </c>
      <c r="F45" s="44" t="str">
        <f aca="false">IFERROR(IF(COUNTIFS('📝 Daily Log'!C$3:C$500,37,'📝 Daily Log'!G$3:G$500,"✅ Done",WEEKDAY('📝 Daily Log'!B$3:B$500,2),5)&gt;0,"✅",""),"")</f>
        <v/>
      </c>
      <c r="G45" s="44" t="str">
        <f aca="false">IFERROR(IF(COUNTIFS('📝 Daily Log'!C$3:C$500,37,'📝 Daily Log'!G$3:G$500,"✅ Done",WEEKDAY('📝 Daily Log'!B$3:B$500,2),6)&gt;0,"✅",""),"")</f>
        <v/>
      </c>
      <c r="H45" s="44" t="str">
        <f aca="false">IFERROR(IF(COUNTIFS('📝 Daily Log'!C$3:C$500,37,'📝 Daily Log'!G$3:G$500,"✅ Done",WEEKDAY('📝 Daily Log'!B$3:B$500,2),7)&gt;0,"✅",""),"")</f>
        <v/>
      </c>
      <c r="I45" s="44" t="str">
        <f aca="false">IFERROR(IF(COUNTIFS('📝 Daily Log'!C$3:C$500,37,'📝 Daily Log'!G$3:G$500,"✅ Done",WEEKDAY('📝 Daily Log'!B$3:B$500,2),1)&gt;0,"✅",""),"")</f>
        <v/>
      </c>
      <c r="J45" s="222" t="str">
        <f aca="false">IFERROR(COUNTIFS('📝 Daily Log'!C$3:C$500,37,'📝 Daily Log'!G$3:G$500,"✅ Done")/COUNTIF('📝 Daily Log'!C$3:C$500,37),"")</f>
        <v/>
      </c>
      <c r="K45" s="223" t="n">
        <f aca="false">IFERROR(SUMIF('📝 Daily Log'!C$3:C$500,37,'📝 Daily Log'!H$3:H$500),"")</f>
        <v>0</v>
      </c>
    </row>
    <row r="46" customFormat="false" ht="15.75" hidden="false" customHeight="true" outlineLevel="0" collapsed="false">
      <c r="B46" s="224" t="s">
        <v>182</v>
      </c>
      <c r="C46" s="225" t="str">
        <f aca="false">IFERROR(IF(COUNTIFS('📝 Daily Log'!C$3:C$500,38,'📝 Daily Log'!G$3:G$500,"✅ Done",WEEKDAY('📝 Daily Log'!B$3:B$500,2),2)&gt;0,"✅",""),"")</f>
        <v/>
      </c>
      <c r="D46" s="225" t="str">
        <f aca="false">IFERROR(IF(COUNTIFS('📝 Daily Log'!C$3:C$500,38,'📝 Daily Log'!G$3:G$500,"✅ Done",WEEKDAY('📝 Daily Log'!B$3:B$500,2),3)&gt;0,"✅",""),"")</f>
        <v/>
      </c>
      <c r="E46" s="225" t="str">
        <f aca="false">IFERROR(IF(COUNTIFS('📝 Daily Log'!C$3:C$500,38,'📝 Daily Log'!G$3:G$500,"✅ Done",WEEKDAY('📝 Daily Log'!B$3:B$500,2),4)&gt;0,"✅",""),"")</f>
        <v/>
      </c>
      <c r="F46" s="225" t="str">
        <f aca="false">IFERROR(IF(COUNTIFS('📝 Daily Log'!C$3:C$500,38,'📝 Daily Log'!G$3:G$500,"✅ Done",WEEKDAY('📝 Daily Log'!B$3:B$500,2),5)&gt;0,"✅",""),"")</f>
        <v/>
      </c>
      <c r="G46" s="225" t="str">
        <f aca="false">IFERROR(IF(COUNTIFS('📝 Daily Log'!C$3:C$500,38,'📝 Daily Log'!G$3:G$500,"✅ Done",WEEKDAY('📝 Daily Log'!B$3:B$500,2),6)&gt;0,"✅",""),"")</f>
        <v/>
      </c>
      <c r="H46" s="225" t="str">
        <f aca="false">IFERROR(IF(COUNTIFS('📝 Daily Log'!C$3:C$500,38,'📝 Daily Log'!G$3:G$500,"✅ Done",WEEKDAY('📝 Daily Log'!B$3:B$500,2),7)&gt;0,"✅",""),"")</f>
        <v/>
      </c>
      <c r="I46" s="225" t="str">
        <f aca="false">IFERROR(IF(COUNTIFS('📝 Daily Log'!C$3:C$500,38,'📝 Daily Log'!G$3:G$500,"✅ Done",WEEKDAY('📝 Daily Log'!B$3:B$500,2),1)&gt;0,"✅",""),"")</f>
        <v/>
      </c>
      <c r="J46" s="226" t="str">
        <f aca="false">IFERROR(COUNTIFS('📝 Daily Log'!C$3:C$500,38,'📝 Daily Log'!G$3:G$500,"✅ Done")/COUNTIF('📝 Daily Log'!C$3:C$500,38),"")</f>
        <v/>
      </c>
      <c r="K46" s="227" t="n">
        <f aca="false">IFERROR(SUMIF('📝 Daily Log'!C$3:C$500,38,'📝 Daily Log'!H$3:H$500),"")</f>
        <v>0</v>
      </c>
    </row>
    <row r="47" customFormat="false" ht="15.75" hidden="false" customHeight="true" outlineLevel="0" collapsed="false">
      <c r="B47" s="221" t="s">
        <v>183</v>
      </c>
      <c r="C47" s="44" t="str">
        <f aca="false">IFERROR(IF(COUNTIFS('📝 Daily Log'!C$3:C$500,39,'📝 Daily Log'!G$3:G$500,"✅ Done",WEEKDAY('📝 Daily Log'!B$3:B$500,2),2)&gt;0,"✅",""),"")</f>
        <v/>
      </c>
      <c r="D47" s="44" t="str">
        <f aca="false">IFERROR(IF(COUNTIFS('📝 Daily Log'!C$3:C$500,39,'📝 Daily Log'!G$3:G$500,"✅ Done",WEEKDAY('📝 Daily Log'!B$3:B$500,2),3)&gt;0,"✅",""),"")</f>
        <v/>
      </c>
      <c r="E47" s="44" t="str">
        <f aca="false">IFERROR(IF(COUNTIFS('📝 Daily Log'!C$3:C$500,39,'📝 Daily Log'!G$3:G$500,"✅ Done",WEEKDAY('📝 Daily Log'!B$3:B$500,2),4)&gt;0,"✅",""),"")</f>
        <v/>
      </c>
      <c r="F47" s="44" t="str">
        <f aca="false">IFERROR(IF(COUNTIFS('📝 Daily Log'!C$3:C$500,39,'📝 Daily Log'!G$3:G$500,"✅ Done",WEEKDAY('📝 Daily Log'!B$3:B$500,2),5)&gt;0,"✅",""),"")</f>
        <v/>
      </c>
      <c r="G47" s="44" t="str">
        <f aca="false">IFERROR(IF(COUNTIFS('📝 Daily Log'!C$3:C$500,39,'📝 Daily Log'!G$3:G$500,"✅ Done",WEEKDAY('📝 Daily Log'!B$3:B$500,2),6)&gt;0,"✅",""),"")</f>
        <v/>
      </c>
      <c r="H47" s="44" t="str">
        <f aca="false">IFERROR(IF(COUNTIFS('📝 Daily Log'!C$3:C$500,39,'📝 Daily Log'!G$3:G$500,"✅ Done",WEEKDAY('📝 Daily Log'!B$3:B$500,2),7)&gt;0,"✅",""),"")</f>
        <v/>
      </c>
      <c r="I47" s="44" t="str">
        <f aca="false">IFERROR(IF(COUNTIFS('📝 Daily Log'!C$3:C$500,39,'📝 Daily Log'!G$3:G$500,"✅ Done",WEEKDAY('📝 Daily Log'!B$3:B$500,2),1)&gt;0,"✅",""),"")</f>
        <v/>
      </c>
      <c r="J47" s="222" t="str">
        <f aca="false">IFERROR(COUNTIFS('📝 Daily Log'!C$3:C$500,39,'📝 Daily Log'!G$3:G$500,"✅ Done")/COUNTIF('📝 Daily Log'!C$3:C$500,39),"")</f>
        <v/>
      </c>
      <c r="K47" s="223" t="n">
        <f aca="false">IFERROR(SUMIF('📝 Daily Log'!C$3:C$500,39,'📝 Daily Log'!H$3:H$500),"")</f>
        <v>0</v>
      </c>
    </row>
  </sheetData>
  <mergeCells count="14">
    <mergeCell ref="A1:K1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7:K7"/>
  </mergeCells>
  <conditionalFormatting sqref="J9:J47">
    <cfRule type="colorScale" priority="2">
      <colorScale>
        <cfvo type="num" val="0"/>
        <cfvo type="num" val="0.6"/>
        <cfvo type="num" val="1"/>
        <color rgb="FFF1948A"/>
        <color rgb="FFF9E79F"/>
        <color rgb="FF82E0A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7D0A"/>
    <pageSetUpPr fitToPage="false"/>
  </sheetPr>
  <dimension ref="A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7" min="5" style="1" width="12"/>
    <col collapsed="false" customWidth="true" hidden="false" outlineLevel="0" max="9" min="8" style="1" width="22"/>
    <col collapsed="false" customWidth="true" hidden="false" outlineLevel="0" max="10" min="10" style="1" width="20"/>
  </cols>
  <sheetData>
    <row r="1" customFormat="false" ht="19.5" hidden="false" customHeight="true" outlineLevel="0" collapsed="false">
      <c r="A1" s="228" t="s">
        <v>519</v>
      </c>
      <c r="B1" s="228"/>
      <c r="C1" s="228"/>
      <c r="D1" s="228"/>
      <c r="E1" s="228"/>
      <c r="F1" s="228"/>
      <c r="G1" s="228"/>
      <c r="H1" s="228"/>
      <c r="I1" s="169"/>
      <c r="J1" s="169"/>
      <c r="K1" s="169"/>
    </row>
    <row r="2" customFormat="false" ht="12.75" hidden="false" customHeight="true" outlineLevel="0" collapsed="false">
      <c r="A2" s="168" t="s">
        <v>520</v>
      </c>
      <c r="B2" s="168"/>
      <c r="C2" s="168"/>
      <c r="D2" s="168"/>
      <c r="E2" s="168"/>
      <c r="F2" s="168"/>
      <c r="G2" s="168"/>
      <c r="H2" s="168"/>
      <c r="I2" s="169"/>
      <c r="J2" s="169"/>
      <c r="K2" s="169"/>
    </row>
    <row r="3" customFormat="false" ht="24" hidden="false" customHeight="true" outlineLevel="0" collapsed="false">
      <c r="A3" s="169"/>
      <c r="B3" s="170" t="s">
        <v>521</v>
      </c>
      <c r="C3" s="170" t="s">
        <v>522</v>
      </c>
      <c r="D3" s="170" t="s">
        <v>523</v>
      </c>
      <c r="E3" s="170" t="s">
        <v>524</v>
      </c>
      <c r="F3" s="170" t="s">
        <v>219</v>
      </c>
      <c r="G3" s="170" t="s">
        <v>525</v>
      </c>
      <c r="H3" s="170" t="s">
        <v>526</v>
      </c>
      <c r="I3" s="229"/>
      <c r="J3" s="229"/>
      <c r="K3" s="169"/>
    </row>
    <row r="4" customFormat="false" ht="27.75" hidden="false" customHeight="true" outlineLevel="0" collapsed="false">
      <c r="A4" s="169"/>
      <c r="B4" s="178" t="s">
        <v>527</v>
      </c>
      <c r="C4" s="230" t="n">
        <v>46229</v>
      </c>
      <c r="D4" s="231" t="n">
        <f aca="true">IFERROR(C4-TODAY(),"")</f>
        <v>118</v>
      </c>
      <c r="E4" s="232" t="s">
        <v>528</v>
      </c>
      <c r="F4" s="40" t="s">
        <v>529</v>
      </c>
      <c r="G4" s="233" t="str">
        <f aca="true">IF(C4-TODAY()&lt;14,"🔴 URGENT",IF(C4-TODAY()&lt;30,"🟠 Soon",IF(C4-TODAY()&lt;60,"🟡 Prep now","🟢 On track")))</f>
        <v>🟢 On track</v>
      </c>
      <c r="H4" s="174" t="s">
        <v>530</v>
      </c>
      <c r="I4" s="174"/>
      <c r="J4" s="174"/>
      <c r="K4" s="169"/>
    </row>
    <row r="5" customFormat="false" ht="27.75" hidden="false" customHeight="true" outlineLevel="0" collapsed="false">
      <c r="A5" s="169"/>
      <c r="B5" s="37" t="s">
        <v>531</v>
      </c>
      <c r="C5" s="230" t="n">
        <v>46334</v>
      </c>
      <c r="D5" s="234" t="n">
        <f aca="true">IFERROR(C5-TODAY(),"")</f>
        <v>223</v>
      </c>
      <c r="E5" s="232" t="s">
        <v>528</v>
      </c>
      <c r="F5" s="40" t="s">
        <v>532</v>
      </c>
      <c r="G5" s="233" t="str">
        <f aca="true">IF(C5-TODAY()&lt;14,"🔴 URGENT",IF(C5-TODAY()&lt;30,"🟠 Soon",IF(C5-TODAY()&lt;60,"🟡 Prep now","🟢 On track")))</f>
        <v>🟢 On track</v>
      </c>
      <c r="H5" s="171" t="s">
        <v>533</v>
      </c>
      <c r="I5" s="171"/>
      <c r="J5" s="171"/>
      <c r="K5" s="169"/>
    </row>
    <row r="6" customFormat="false" ht="27.75" hidden="false" customHeight="true" outlineLevel="0" collapsed="false">
      <c r="A6" s="169"/>
      <c r="B6" s="178" t="s">
        <v>534</v>
      </c>
      <c r="C6" s="230" t="n">
        <v>46341</v>
      </c>
      <c r="D6" s="231" t="n">
        <f aca="true">IFERROR(C6-TODAY(),"")</f>
        <v>230</v>
      </c>
      <c r="E6" s="232" t="s">
        <v>535</v>
      </c>
      <c r="F6" s="40" t="s">
        <v>532</v>
      </c>
      <c r="G6" s="233" t="str">
        <f aca="true">IF(C6-TODAY()&lt;14,"🔴 URGENT",IF(C6-TODAY()&lt;30,"🟠 Soon",IF(C6-TODAY()&lt;60,"🟡 Prep now","🟢 On track")))</f>
        <v>🟢 On track</v>
      </c>
      <c r="H6" s="174" t="s">
        <v>536</v>
      </c>
      <c r="I6" s="174"/>
      <c r="J6" s="174"/>
      <c r="K6" s="169"/>
    </row>
    <row r="7" customFormat="false" ht="27.75" hidden="false" customHeight="true" outlineLevel="0" collapsed="false">
      <c r="A7" s="169"/>
      <c r="B7" s="37" t="s">
        <v>537</v>
      </c>
      <c r="C7" s="230" t="n">
        <v>46257</v>
      </c>
      <c r="D7" s="234" t="n">
        <f aca="true">IFERROR(C7-TODAY(),"")</f>
        <v>146</v>
      </c>
      <c r="E7" s="232" t="s">
        <v>538</v>
      </c>
      <c r="F7" s="40" t="s">
        <v>529</v>
      </c>
      <c r="G7" s="233" t="str">
        <f aca="true">IF(C7-TODAY()&lt;14,"🔴 URGENT",IF(C7-TODAY()&lt;30,"🟠 Soon",IF(C7-TODAY()&lt;60,"🟡 Prep now","🟢 On track")))</f>
        <v>🟢 On track</v>
      </c>
      <c r="H7" s="171" t="s">
        <v>539</v>
      </c>
      <c r="I7" s="171"/>
      <c r="J7" s="171"/>
      <c r="K7" s="169"/>
    </row>
    <row r="8" customFormat="false" ht="27.75" hidden="false" customHeight="true" outlineLevel="0" collapsed="false">
      <c r="A8" s="169"/>
      <c r="B8" s="178" t="s">
        <v>540</v>
      </c>
      <c r="C8" s="230" t="n">
        <v>46257</v>
      </c>
      <c r="D8" s="231" t="n">
        <f aca="true">IFERROR(C8-TODAY(),"")</f>
        <v>146</v>
      </c>
      <c r="E8" s="232" t="s">
        <v>541</v>
      </c>
      <c r="F8" s="40" t="s">
        <v>542</v>
      </c>
      <c r="G8" s="233" t="str">
        <f aca="true">IF(C8-TODAY()&lt;14,"🔴 URGENT",IF(C8-TODAY()&lt;30,"🟠 Soon",IF(C8-TODAY()&lt;60,"🟡 Prep now","🟢 On track")))</f>
        <v>🟢 On track</v>
      </c>
      <c r="H8" s="174" t="s">
        <v>543</v>
      </c>
      <c r="I8" s="174"/>
      <c r="J8" s="174"/>
      <c r="K8" s="169"/>
    </row>
    <row r="9" customFormat="false" ht="27.75" hidden="false" customHeight="true" outlineLevel="0" collapsed="false">
      <c r="A9" s="169"/>
      <c r="B9" s="37" t="s">
        <v>544</v>
      </c>
      <c r="C9" s="230" t="n">
        <v>46348</v>
      </c>
      <c r="D9" s="234" t="n">
        <f aca="true">IFERROR(C9-TODAY(),"")</f>
        <v>237</v>
      </c>
      <c r="E9" s="232" t="s">
        <v>545</v>
      </c>
      <c r="F9" s="235" t="s">
        <v>546</v>
      </c>
      <c r="G9" s="26" t="str">
        <f aca="true">IF(C9-TODAY()&lt;14,"🔴 URGENT",IF(C9-TODAY()&lt;30,"🟠 Soon",IF(C9-TODAY()&lt;60,"🟡 Prep now","🟢 On track")))</f>
        <v>🟢 On track</v>
      </c>
      <c r="H9" s="171" t="s">
        <v>547</v>
      </c>
      <c r="I9" s="171"/>
      <c r="J9" s="171"/>
      <c r="K9" s="169"/>
    </row>
    <row r="10" customFormat="false" ht="27.75" hidden="false" customHeight="true" outlineLevel="0" collapsed="false">
      <c r="A10" s="169"/>
      <c r="B10" s="178" t="s">
        <v>548</v>
      </c>
      <c r="C10" s="230" t="n">
        <v>46369</v>
      </c>
      <c r="D10" s="231" t="n">
        <f aca="true">IFERROR(C10-TODAY(),"")</f>
        <v>258</v>
      </c>
      <c r="E10" s="232" t="s">
        <v>528</v>
      </c>
      <c r="F10" s="235" t="s">
        <v>549</v>
      </c>
      <c r="G10" s="26" t="str">
        <f aca="true">IF(C10-TODAY()&lt;14,"🔴 URGENT",IF(C10-TODAY()&lt;30,"🟠 Soon",IF(C10-TODAY()&lt;60,"🟡 Prep now","🟢 On track")))</f>
        <v>🟢 On track</v>
      </c>
      <c r="H10" s="174" t="s">
        <v>550</v>
      </c>
      <c r="I10" s="174"/>
      <c r="J10" s="174"/>
      <c r="K10" s="169"/>
    </row>
    <row r="11" customFormat="false" ht="15.75" hidden="false" customHeight="true" outlineLevel="0" collapsed="false">
      <c r="A11" s="169"/>
      <c r="B11" s="236"/>
      <c r="C11" s="169"/>
      <c r="D11" s="169"/>
      <c r="E11" s="169"/>
      <c r="F11" s="169"/>
      <c r="G11" s="169"/>
      <c r="H11" s="169"/>
      <c r="I11" s="169"/>
      <c r="J11" s="169"/>
      <c r="K11" s="169"/>
    </row>
    <row r="12" customFormat="false" ht="19.5" hidden="false" customHeight="true" outlineLevel="0" collapsed="false">
      <c r="A12" s="169"/>
      <c r="B12" s="237" t="s">
        <v>551</v>
      </c>
      <c r="C12" s="237"/>
      <c r="D12" s="237"/>
      <c r="E12" s="237"/>
      <c r="F12" s="237"/>
      <c r="G12" s="237"/>
      <c r="H12" s="237"/>
      <c r="I12" s="237"/>
      <c r="J12" s="237"/>
      <c r="K12" s="169"/>
    </row>
    <row r="13" customFormat="false" ht="15" hidden="false" customHeight="false" outlineLevel="0" collapsed="false">
      <c r="A13" s="169"/>
      <c r="B13" s="169"/>
      <c r="C13" s="169"/>
      <c r="D13" s="169"/>
      <c r="E13" s="169"/>
      <c r="F13" s="169"/>
      <c r="G13" s="169"/>
      <c r="H13" s="169"/>
      <c r="I13" s="169"/>
      <c r="J13" s="169"/>
      <c r="K13" s="169"/>
    </row>
    <row r="14" customFormat="false" ht="15" hidden="false" customHeight="false" outlineLevel="0" collapsed="false">
      <c r="A14" s="169"/>
      <c r="B14" s="169"/>
      <c r="C14" s="169"/>
      <c r="D14" s="169"/>
      <c r="E14" s="169"/>
      <c r="F14" s="169"/>
      <c r="G14" s="169"/>
      <c r="H14" s="169"/>
      <c r="I14" s="169"/>
      <c r="J14" s="169"/>
      <c r="K14" s="169"/>
    </row>
    <row r="15" customFormat="false" ht="15" hidden="false" customHeight="false" outlineLevel="0" collapsed="false">
      <c r="A15" s="169"/>
      <c r="B15" s="169"/>
      <c r="C15" s="169"/>
      <c r="D15" s="169"/>
      <c r="E15" s="169"/>
      <c r="F15" s="169"/>
      <c r="G15" s="169"/>
      <c r="H15" s="169"/>
      <c r="I15" s="169"/>
      <c r="J15" s="169"/>
      <c r="K15" s="169"/>
    </row>
    <row r="16" customFormat="false" ht="15" hidden="false" customHeight="false" outlineLevel="0" collapsed="false">
      <c r="A16" s="169"/>
      <c r="B16" s="169"/>
      <c r="C16" s="169"/>
      <c r="D16" s="169"/>
      <c r="E16" s="169"/>
      <c r="F16" s="169"/>
      <c r="G16" s="169"/>
      <c r="H16" s="169"/>
      <c r="I16" s="169"/>
      <c r="J16" s="169"/>
      <c r="K16" s="169"/>
    </row>
    <row r="17" customFormat="false" ht="15" hidden="false" customHeight="false" outlineLevel="0" collapsed="false">
      <c r="A17" s="169"/>
      <c r="B17" s="169"/>
      <c r="C17" s="169"/>
      <c r="D17" s="169"/>
      <c r="E17" s="169"/>
      <c r="F17" s="169"/>
      <c r="G17" s="169"/>
      <c r="H17" s="169"/>
      <c r="I17" s="169"/>
      <c r="J17" s="169"/>
      <c r="K17" s="169"/>
    </row>
    <row r="18" customFormat="false" ht="15" hidden="false" customHeight="false" outlineLevel="0" collapsed="false">
      <c r="A18" s="169"/>
      <c r="B18" s="169"/>
      <c r="C18" s="169"/>
      <c r="D18" s="169"/>
      <c r="E18" s="169"/>
      <c r="F18" s="169"/>
      <c r="G18" s="169"/>
      <c r="H18" s="169"/>
      <c r="I18" s="169"/>
      <c r="J18" s="169"/>
      <c r="K18" s="169"/>
    </row>
    <row r="19" customFormat="false" ht="15" hidden="false" customHeight="false" outlineLevel="0" collapsed="false">
      <c r="A19" s="169"/>
      <c r="B19" s="169"/>
      <c r="C19" s="169"/>
      <c r="D19" s="169"/>
      <c r="E19" s="169"/>
      <c r="F19" s="169"/>
      <c r="G19" s="169"/>
      <c r="H19" s="169"/>
      <c r="I19" s="169"/>
      <c r="J19" s="169"/>
      <c r="K19" s="169"/>
    </row>
    <row r="20" customFormat="false" ht="15" hidden="false" customHeight="false" outlineLevel="0" collapsed="false">
      <c r="A20" s="169"/>
      <c r="B20" s="169"/>
      <c r="C20" s="169"/>
      <c r="D20" s="169"/>
      <c r="E20" s="169"/>
      <c r="F20" s="169"/>
      <c r="G20" s="169"/>
      <c r="H20" s="169"/>
      <c r="I20" s="169"/>
      <c r="J20" s="169"/>
      <c r="K20" s="169"/>
    </row>
    <row r="21" customFormat="false" ht="15" hidden="false" customHeight="false" outlineLevel="0" collapsed="false">
      <c r="A21" s="169"/>
      <c r="B21" s="169"/>
      <c r="C21" s="169"/>
      <c r="D21" s="169"/>
      <c r="E21" s="169"/>
      <c r="F21" s="169"/>
      <c r="G21" s="169"/>
      <c r="H21" s="169"/>
      <c r="I21" s="169"/>
      <c r="J21" s="169"/>
      <c r="K21" s="169"/>
    </row>
    <row r="22" customFormat="false" ht="15" hidden="false" customHeight="false" outlineLevel="0" collapsed="false">
      <c r="A22" s="169"/>
      <c r="B22" s="169"/>
      <c r="C22" s="169"/>
      <c r="D22" s="169"/>
      <c r="E22" s="169"/>
      <c r="F22" s="169"/>
      <c r="G22" s="169"/>
      <c r="H22" s="169"/>
      <c r="I22" s="169"/>
      <c r="J22" s="169"/>
      <c r="K22" s="169"/>
    </row>
    <row r="23" customFormat="false" ht="15" hidden="false" customHeight="false" outlineLevel="0" collapsed="false">
      <c r="A23" s="169"/>
      <c r="B23" s="169"/>
      <c r="C23" s="169"/>
      <c r="D23" s="169"/>
      <c r="E23" s="169"/>
      <c r="F23" s="169"/>
      <c r="G23" s="169"/>
      <c r="H23" s="169"/>
      <c r="I23" s="169"/>
      <c r="J23" s="169"/>
      <c r="K23" s="169"/>
    </row>
    <row r="24" customFormat="false" ht="15" hidden="false" customHeight="false" outlineLevel="0" collapsed="false">
      <c r="A24" s="169"/>
      <c r="B24" s="169"/>
      <c r="C24" s="169"/>
      <c r="D24" s="169"/>
      <c r="E24" s="169"/>
      <c r="F24" s="169"/>
      <c r="G24" s="169"/>
      <c r="H24" s="169"/>
      <c r="I24" s="169"/>
      <c r="J24" s="169"/>
      <c r="K24" s="169"/>
    </row>
    <row r="25" customFormat="false" ht="15" hidden="false" customHeight="false" outlineLevel="0" collapsed="false">
      <c r="A25" s="169"/>
      <c r="B25" s="169"/>
      <c r="C25" s="169"/>
      <c r="D25" s="169"/>
      <c r="E25" s="169"/>
      <c r="F25" s="169"/>
      <c r="G25" s="169"/>
      <c r="H25" s="169"/>
      <c r="I25" s="169"/>
      <c r="J25" s="169"/>
      <c r="K25" s="169"/>
    </row>
    <row r="26" customFormat="false" ht="15" hidden="false" customHeight="false" outlineLevel="0" collapsed="false">
      <c r="A26" s="169"/>
      <c r="B26" s="169"/>
      <c r="C26" s="169"/>
      <c r="D26" s="169"/>
      <c r="E26" s="169"/>
      <c r="F26" s="169"/>
      <c r="G26" s="169"/>
      <c r="H26" s="169"/>
      <c r="I26" s="169"/>
      <c r="J26" s="169"/>
      <c r="K26" s="169"/>
    </row>
    <row r="27" customFormat="false" ht="15" hidden="false" customHeight="false" outlineLevel="0" collapsed="false">
      <c r="A27" s="169"/>
      <c r="B27" s="169"/>
      <c r="C27" s="169"/>
      <c r="D27" s="169"/>
      <c r="E27" s="169"/>
      <c r="F27" s="169"/>
      <c r="G27" s="169"/>
      <c r="H27" s="169"/>
      <c r="I27" s="169"/>
      <c r="J27" s="169"/>
      <c r="K27" s="169"/>
    </row>
    <row r="28" customFormat="false" ht="15" hidden="false" customHeight="false" outlineLevel="0" collapsed="false">
      <c r="A28" s="169"/>
      <c r="B28" s="169"/>
      <c r="C28" s="169"/>
      <c r="D28" s="169"/>
      <c r="E28" s="169"/>
      <c r="F28" s="169"/>
      <c r="G28" s="169"/>
      <c r="H28" s="169"/>
      <c r="I28" s="169"/>
      <c r="J28" s="169"/>
      <c r="K28" s="169"/>
    </row>
    <row r="29" customFormat="false" ht="15" hidden="false" customHeight="false" outlineLevel="0" collapsed="false">
      <c r="A29" s="169"/>
      <c r="B29" s="169"/>
      <c r="C29" s="169"/>
      <c r="D29" s="169"/>
      <c r="E29" s="169"/>
      <c r="F29" s="169"/>
      <c r="G29" s="169"/>
      <c r="H29" s="169"/>
      <c r="I29" s="169"/>
      <c r="J29" s="169"/>
      <c r="K29" s="169"/>
    </row>
    <row r="30" customFormat="false" ht="15" hidden="false" customHeight="false" outlineLevel="0" collapsed="false">
      <c r="A30" s="169"/>
      <c r="B30" s="169"/>
      <c r="C30" s="169"/>
      <c r="D30" s="169"/>
      <c r="E30" s="169"/>
      <c r="F30" s="169"/>
      <c r="G30" s="169"/>
      <c r="H30" s="169"/>
      <c r="I30" s="169"/>
      <c r="J30" s="169"/>
      <c r="K30" s="169"/>
    </row>
    <row r="31" customFormat="false" ht="15" hidden="false" customHeight="false" outlineLevel="0" collapsed="false">
      <c r="A31" s="169"/>
      <c r="B31" s="169"/>
      <c r="C31" s="169"/>
      <c r="D31" s="169"/>
      <c r="E31" s="169"/>
      <c r="F31" s="169"/>
      <c r="G31" s="169"/>
      <c r="H31" s="169"/>
      <c r="I31" s="169"/>
      <c r="J31" s="169"/>
      <c r="K31" s="169"/>
    </row>
    <row r="32" customFormat="false" ht="15" hidden="false" customHeight="false" outlineLevel="0" collapsed="false">
      <c r="A32" s="169"/>
      <c r="B32" s="169"/>
      <c r="C32" s="169"/>
      <c r="D32" s="169"/>
      <c r="E32" s="169"/>
      <c r="F32" s="169"/>
      <c r="G32" s="169"/>
      <c r="H32" s="169"/>
      <c r="I32" s="169"/>
      <c r="J32" s="169"/>
      <c r="K32" s="169"/>
    </row>
    <row r="33" customFormat="false" ht="15" hidden="false" customHeight="false" outlineLevel="0" collapsed="false">
      <c r="A33" s="169"/>
      <c r="B33" s="169"/>
      <c r="C33" s="169"/>
      <c r="D33" s="169"/>
      <c r="E33" s="169"/>
      <c r="F33" s="169"/>
      <c r="G33" s="169"/>
      <c r="H33" s="169"/>
      <c r="I33" s="169"/>
      <c r="J33" s="169"/>
      <c r="K33" s="169"/>
    </row>
    <row r="34" customFormat="false" ht="15" hidden="false" customHeight="false" outlineLevel="0" collapsed="false">
      <c r="A34" s="169"/>
      <c r="B34" s="169"/>
      <c r="C34" s="169"/>
      <c r="D34" s="169"/>
      <c r="E34" s="169"/>
      <c r="F34" s="169"/>
      <c r="G34" s="169"/>
      <c r="H34" s="169"/>
      <c r="I34" s="169"/>
      <c r="J34" s="169"/>
      <c r="K34" s="169"/>
    </row>
    <row r="35" customFormat="false" ht="15" hidden="false" customHeight="false" outlineLevel="0" collapsed="false">
      <c r="A35" s="169"/>
      <c r="B35" s="169"/>
      <c r="C35" s="169"/>
      <c r="D35" s="169"/>
      <c r="E35" s="169"/>
      <c r="F35" s="169"/>
      <c r="G35" s="169"/>
      <c r="H35" s="169"/>
      <c r="I35" s="169"/>
      <c r="J35" s="169"/>
      <c r="K35" s="169"/>
    </row>
    <row r="36" customFormat="false" ht="15" hidden="false" customHeight="false" outlineLevel="0" collapsed="false">
      <c r="A36" s="169"/>
      <c r="B36" s="169"/>
      <c r="C36" s="169"/>
      <c r="D36" s="169"/>
      <c r="E36" s="169"/>
      <c r="F36" s="169"/>
      <c r="G36" s="169"/>
      <c r="H36" s="169"/>
      <c r="I36" s="169"/>
      <c r="J36" s="169"/>
      <c r="K36" s="169"/>
    </row>
    <row r="37" customFormat="false" ht="15" hidden="false" customHeight="false" outlineLevel="0" collapsed="false">
      <c r="A37" s="169"/>
      <c r="B37" s="169"/>
      <c r="C37" s="169"/>
      <c r="D37" s="169"/>
      <c r="E37" s="169"/>
      <c r="F37" s="169"/>
      <c r="G37" s="169"/>
      <c r="H37" s="169"/>
      <c r="I37" s="169"/>
      <c r="J37" s="169"/>
      <c r="K37" s="169"/>
    </row>
    <row r="38" customFormat="false" ht="15" hidden="false" customHeight="false" outlineLevel="0" collapsed="false">
      <c r="A38" s="169"/>
      <c r="B38" s="169"/>
      <c r="C38" s="169"/>
      <c r="D38" s="169"/>
      <c r="E38" s="169"/>
      <c r="F38" s="169"/>
      <c r="G38" s="169"/>
      <c r="H38" s="169"/>
      <c r="I38" s="169"/>
      <c r="J38" s="169"/>
      <c r="K38" s="169"/>
    </row>
    <row r="39" customFormat="false" ht="15" hidden="false" customHeight="false" outlineLevel="0" collapsed="false">
      <c r="A39" s="169"/>
      <c r="B39" s="169"/>
      <c r="C39" s="169"/>
      <c r="D39" s="169"/>
      <c r="E39" s="169"/>
      <c r="F39" s="169"/>
      <c r="G39" s="169"/>
      <c r="H39" s="169"/>
      <c r="I39" s="169"/>
      <c r="J39" s="169"/>
      <c r="K39" s="169"/>
    </row>
  </sheetData>
  <mergeCells count="10">
    <mergeCell ref="A1:H1"/>
    <mergeCell ref="A2:H2"/>
    <mergeCell ref="H4:J4"/>
    <mergeCell ref="H5:J5"/>
    <mergeCell ref="H6:J6"/>
    <mergeCell ref="H7:J7"/>
    <mergeCell ref="H8:J8"/>
    <mergeCell ref="H9:J9"/>
    <mergeCell ref="H10:J10"/>
    <mergeCell ref="B12:J12"/>
  </mergeCells>
  <conditionalFormatting sqref="D4:D8">
    <cfRule type="colorScale" priority="2">
      <colorScale>
        <cfvo type="num" val="0"/>
        <cfvo type="num" val="30"/>
        <cfvo type="num" val="90"/>
        <color rgb="FFF1948A"/>
        <color rgb="FFF9E79F"/>
        <color rgb="FF82E0A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I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12"/>
    <col collapsed="false" customWidth="true" hidden="false" outlineLevel="0" max="4" min="4" style="1" width="14"/>
    <col collapsed="false" customWidth="true" hidden="false" outlineLevel="0" max="7" min="5" style="1" width="12"/>
    <col collapsed="false" customWidth="true" hidden="false" outlineLevel="0" max="8" min="8" style="1" width="20"/>
    <col collapsed="false" customWidth="true" hidden="false" outlineLevel="0" max="9" min="9" style="1" width="28"/>
  </cols>
  <sheetData>
    <row r="1" customFormat="false" ht="21.75" hidden="false" customHeight="true" outlineLevel="0" collapsed="false">
      <c r="A1" s="2" t="s">
        <v>552</v>
      </c>
      <c r="B1" s="2"/>
      <c r="C1" s="2"/>
      <c r="D1" s="2"/>
      <c r="E1" s="2"/>
      <c r="F1" s="2"/>
      <c r="G1" s="2"/>
      <c r="H1" s="2"/>
      <c r="I1" s="2"/>
    </row>
    <row r="2" customFormat="false" ht="15.75" hidden="false" customHeight="true" outlineLevel="0" collapsed="false">
      <c r="A2" s="238" t="s">
        <v>553</v>
      </c>
      <c r="B2" s="238"/>
      <c r="C2" s="238"/>
      <c r="D2" s="238"/>
      <c r="E2" s="238"/>
      <c r="F2" s="238"/>
      <c r="G2" s="238"/>
      <c r="H2" s="238"/>
      <c r="I2" s="238"/>
    </row>
    <row r="3" customFormat="false" ht="27.75" hidden="false" customHeight="true" outlineLevel="0" collapsed="false">
      <c r="B3" s="239" t="s">
        <v>65</v>
      </c>
      <c r="C3" s="71" t="s">
        <v>554</v>
      </c>
      <c r="D3" s="239" t="s">
        <v>555</v>
      </c>
      <c r="E3" s="71" t="s">
        <v>556</v>
      </c>
      <c r="F3" s="71" t="s">
        <v>557</v>
      </c>
      <c r="G3" s="71" t="s">
        <v>558</v>
      </c>
      <c r="H3" s="239" t="s">
        <v>559</v>
      </c>
      <c r="I3" s="239" t="s">
        <v>560</v>
      </c>
    </row>
    <row r="4" customFormat="false" ht="18" hidden="false" customHeight="true" outlineLevel="0" collapsed="false">
      <c r="B4" s="240" t="n">
        <v>46111</v>
      </c>
      <c r="C4" s="225" t="s">
        <v>561</v>
      </c>
      <c r="D4" s="241" t="s">
        <v>562</v>
      </c>
      <c r="E4" s="242" t="n">
        <v>3</v>
      </c>
      <c r="F4" s="242" t="n">
        <v>3</v>
      </c>
      <c r="G4" s="227" t="n">
        <v>1.5</v>
      </c>
      <c r="H4" s="241" t="s">
        <v>563</v>
      </c>
      <c r="I4" s="243" t="s">
        <v>564</v>
      </c>
    </row>
    <row r="5" customFormat="false" ht="18" hidden="false" customHeight="true" outlineLevel="0" collapsed="false">
      <c r="B5" s="244" t="n">
        <v>46112</v>
      </c>
      <c r="C5" s="44" t="s">
        <v>565</v>
      </c>
      <c r="D5" s="245" t="s">
        <v>566</v>
      </c>
      <c r="E5" s="246" t="n">
        <v>4</v>
      </c>
      <c r="F5" s="246" t="n">
        <v>5</v>
      </c>
      <c r="G5" s="223" t="n">
        <v>2</v>
      </c>
      <c r="H5" s="245" t="s">
        <v>567</v>
      </c>
      <c r="I5" s="247" t="s">
        <v>568</v>
      </c>
    </row>
    <row r="6" customFormat="false" ht="18" hidden="false" customHeight="true" outlineLevel="0" collapsed="false">
      <c r="B6" s="240" t="n">
        <v>46114</v>
      </c>
      <c r="C6" s="225" t="s">
        <v>569</v>
      </c>
      <c r="D6" s="241" t="s">
        <v>570</v>
      </c>
      <c r="E6" s="248" t="n">
        <v>2</v>
      </c>
      <c r="F6" s="248" t="n">
        <v>2</v>
      </c>
      <c r="G6" s="227" t="n">
        <v>1</v>
      </c>
      <c r="H6" s="241" t="s">
        <v>571</v>
      </c>
      <c r="I6" s="243" t="s">
        <v>572</v>
      </c>
    </row>
    <row r="7" customFormat="false" ht="18" hidden="false" customHeight="true" outlineLevel="0" collapsed="false">
      <c r="B7" s="244" t="n">
        <v>46116</v>
      </c>
      <c r="C7" s="44" t="s">
        <v>573</v>
      </c>
      <c r="D7" s="245" t="s">
        <v>574</v>
      </c>
      <c r="E7" s="246" t="n">
        <v>5</v>
      </c>
      <c r="F7" s="246" t="n">
        <v>5</v>
      </c>
      <c r="G7" s="223" t="n">
        <v>2.5</v>
      </c>
      <c r="H7" s="245" t="s">
        <v>575</v>
      </c>
      <c r="I7" s="247" t="s">
        <v>576</v>
      </c>
    </row>
    <row r="8" customFormat="false" ht="18" hidden="false" customHeight="true" outlineLevel="0" collapsed="false">
      <c r="B8" s="240" t="n">
        <v>46117</v>
      </c>
      <c r="C8" s="225" t="s">
        <v>577</v>
      </c>
      <c r="D8" s="241" t="s">
        <v>566</v>
      </c>
      <c r="E8" s="246" t="n">
        <v>4</v>
      </c>
      <c r="F8" s="246" t="n">
        <v>4</v>
      </c>
      <c r="G8" s="227" t="n">
        <v>3</v>
      </c>
      <c r="H8" s="241" t="s">
        <v>578</v>
      </c>
      <c r="I8" s="243" t="s">
        <v>579</v>
      </c>
    </row>
    <row r="9" customFormat="false" ht="18" hidden="false" customHeight="true" outlineLevel="0" collapsed="false">
      <c r="B9" s="120"/>
      <c r="C9" s="121"/>
      <c r="D9" s="122"/>
      <c r="E9" s="121"/>
      <c r="F9" s="121"/>
      <c r="G9" s="121"/>
      <c r="H9" s="122"/>
      <c r="I9" s="122"/>
    </row>
    <row r="10" customFormat="false" ht="18" hidden="false" customHeight="true" outlineLevel="0" collapsed="false">
      <c r="B10" s="117"/>
      <c r="C10" s="118"/>
      <c r="D10" s="119"/>
      <c r="E10" s="118"/>
      <c r="F10" s="118"/>
      <c r="G10" s="118"/>
      <c r="H10" s="119"/>
      <c r="I10" s="119"/>
    </row>
    <row r="11" customFormat="false" ht="18" hidden="false" customHeight="true" outlineLevel="0" collapsed="false">
      <c r="B11" s="120"/>
      <c r="C11" s="121"/>
      <c r="D11" s="122"/>
      <c r="E11" s="121"/>
      <c r="F11" s="121"/>
      <c r="G11" s="121"/>
      <c r="H11" s="122"/>
      <c r="I11" s="122"/>
    </row>
    <row r="12" customFormat="false" ht="15.75" hidden="false" customHeight="true" outlineLevel="0" collapsed="false">
      <c r="B12" s="249" t="s">
        <v>580</v>
      </c>
      <c r="C12" s="249"/>
      <c r="D12" s="249"/>
      <c r="E12" s="249"/>
      <c r="F12" s="249"/>
      <c r="G12" s="249"/>
      <c r="H12" s="249"/>
      <c r="I12" s="249"/>
    </row>
    <row r="13" customFormat="false" ht="18" hidden="false" customHeight="true" outlineLevel="0" collapsed="false">
      <c r="B13" s="250" t="s">
        <v>555</v>
      </c>
      <c r="C13" s="251" t="s">
        <v>581</v>
      </c>
      <c r="D13" s="251" t="s">
        <v>582</v>
      </c>
      <c r="E13" s="251" t="s">
        <v>583</v>
      </c>
      <c r="F13" s="251" t="s">
        <v>584</v>
      </c>
      <c r="G13" s="251"/>
      <c r="H13" s="122"/>
      <c r="I13" s="122"/>
    </row>
    <row r="14" customFormat="false" ht="15.75" hidden="false" customHeight="true" outlineLevel="0" collapsed="false">
      <c r="B14" s="252" t="s">
        <v>574</v>
      </c>
      <c r="C14" s="253" t="n">
        <f aca="false">IFERROR(COUNTIF(D$4:D$300,"🌅 Early Morning (5-8am)"),0)</f>
        <v>1</v>
      </c>
      <c r="D14" s="254" t="n">
        <f aca="false">IFERROR(AVERAGEIF(D$4:D$300,"🌅 Early Morning (5-8am)",E$4:E$300),"")</f>
        <v>5</v>
      </c>
      <c r="E14" s="254" t="n">
        <f aca="false">IFERROR(AVERAGEIF(D$4:D$300,"🌅 Early Morning (5-8am)",F$4:F$300),"")</f>
        <v>5</v>
      </c>
      <c r="F14" s="255" t="s">
        <v>585</v>
      </c>
      <c r="G14" s="255"/>
      <c r="H14" s="255"/>
      <c r="I14" s="255"/>
    </row>
    <row r="15" customFormat="false" ht="15.75" hidden="false" customHeight="true" outlineLevel="0" collapsed="false">
      <c r="B15" s="256" t="s">
        <v>566</v>
      </c>
      <c r="C15" s="44" t="n">
        <f aca="false">IFERROR(COUNTIF(D$4:D$300,"☀️ Morning (8-11am)"),0)</f>
        <v>2</v>
      </c>
      <c r="D15" s="223" t="n">
        <f aca="false">IFERROR(AVERAGEIF(D$4:D$300,"☀️ Morning (8-11am)",E$4:E$300),"")</f>
        <v>4</v>
      </c>
      <c r="E15" s="223" t="n">
        <f aca="false">IFERROR(AVERAGEIF(D$4:D$300,"☀️ Morning (8-11am)",F$4:F$300),"")</f>
        <v>4.5</v>
      </c>
      <c r="F15" s="255" t="s">
        <v>586</v>
      </c>
      <c r="G15" s="255"/>
      <c r="H15" s="255"/>
      <c r="I15" s="255"/>
    </row>
    <row r="16" customFormat="false" ht="15.75" hidden="false" customHeight="true" outlineLevel="0" collapsed="false">
      <c r="B16" s="252" t="s">
        <v>587</v>
      </c>
      <c r="C16" s="253" t="n">
        <f aca="false">IFERROR(COUNTIF(D$4:D$300,"🌤 Midday (11am-2pm)"),0)</f>
        <v>0</v>
      </c>
      <c r="D16" s="254" t="str">
        <f aca="false">IFERROR(AVERAGEIF(D$4:D$300,"🌤 Midday (11am-2pm)",E$4:E$300),"")</f>
        <v/>
      </c>
      <c r="E16" s="254" t="str">
        <f aca="false">IFERROR(AVERAGEIF(D$4:D$300,"🌤 Midday (11am-2pm)",F$4:F$300),"")</f>
        <v/>
      </c>
      <c r="F16" s="255" t="s">
        <v>588</v>
      </c>
      <c r="G16" s="255"/>
      <c r="H16" s="255"/>
      <c r="I16" s="255"/>
    </row>
    <row r="17" customFormat="false" ht="15.75" hidden="false" customHeight="true" outlineLevel="0" collapsed="false">
      <c r="B17" s="256" t="s">
        <v>589</v>
      </c>
      <c r="C17" s="44" t="n">
        <f aca="false">IFERROR(COUNTIF(D$4:D$300,"🌇 Afternoon (2-5pm)"),0)</f>
        <v>0</v>
      </c>
      <c r="D17" s="223" t="str">
        <f aca="false">IFERROR(AVERAGEIF(D$4:D$300,"🌇 Afternoon (2-5pm)",E$4:E$300),"")</f>
        <v/>
      </c>
      <c r="E17" s="223" t="str">
        <f aca="false">IFERROR(AVERAGEIF(D$4:D$300,"🌇 Afternoon (2-5pm)",F$4:F$300),"")</f>
        <v/>
      </c>
      <c r="F17" s="255" t="s">
        <v>590</v>
      </c>
      <c r="G17" s="255"/>
      <c r="H17" s="255"/>
      <c r="I17" s="255"/>
    </row>
    <row r="18" customFormat="false" ht="15.75" hidden="false" customHeight="true" outlineLevel="0" collapsed="false">
      <c r="B18" s="252" t="s">
        <v>562</v>
      </c>
      <c r="C18" s="253" t="n">
        <f aca="false">IFERROR(COUNTIF(D$4:D$300,"🌆 Evening (5-8pm)"),0)</f>
        <v>1</v>
      </c>
      <c r="D18" s="254" t="n">
        <f aca="false">IFERROR(AVERAGEIF(D$4:D$300,"🌆 Evening (5-8pm)",E$4:E$300),"")</f>
        <v>3</v>
      </c>
      <c r="E18" s="254" t="n">
        <f aca="false">IFERROR(AVERAGEIF(D$4:D$300,"🌆 Evening (5-8pm)",F$4:F$300),"")</f>
        <v>3</v>
      </c>
      <c r="F18" s="255" t="s">
        <v>591</v>
      </c>
      <c r="G18" s="255"/>
      <c r="H18" s="255"/>
      <c r="I18" s="255"/>
    </row>
    <row r="19" customFormat="false" ht="15.75" hidden="false" customHeight="true" outlineLevel="0" collapsed="false">
      <c r="B19" s="256" t="s">
        <v>570</v>
      </c>
      <c r="C19" s="44" t="n">
        <f aca="false">IFERROR(COUNTIF(D$4:D$300,"🌙 Night (8-11pm)"),0)</f>
        <v>1</v>
      </c>
      <c r="D19" s="223" t="n">
        <f aca="false">IFERROR(AVERAGEIF(D$4:D$300,"🌙 Night (8-11pm)",E$4:E$300),"")</f>
        <v>2</v>
      </c>
      <c r="E19" s="223" t="n">
        <f aca="false">IFERROR(AVERAGEIF(D$4:D$300,"🌙 Night (8-11pm)",F$4:F$300),"")</f>
        <v>2</v>
      </c>
      <c r="F19" s="255" t="s">
        <v>592</v>
      </c>
      <c r="G19" s="255"/>
      <c r="H19" s="255"/>
      <c r="I19" s="255"/>
    </row>
    <row r="20" customFormat="false" ht="18" hidden="false" customHeight="true" outlineLevel="0" collapsed="false">
      <c r="B20" s="117"/>
      <c r="C20" s="118"/>
      <c r="D20" s="119"/>
      <c r="E20" s="118"/>
      <c r="F20" s="118"/>
      <c r="G20" s="118"/>
      <c r="H20" s="119"/>
      <c r="I20" s="119"/>
    </row>
    <row r="21" customFormat="false" ht="18" hidden="false" customHeight="true" outlineLevel="0" collapsed="false">
      <c r="B21" s="120"/>
      <c r="C21" s="121"/>
      <c r="D21" s="122"/>
      <c r="E21" s="121"/>
      <c r="F21" s="121"/>
      <c r="G21" s="121"/>
      <c r="H21" s="122"/>
      <c r="I21" s="122"/>
    </row>
    <row r="22" customFormat="false" ht="18" hidden="false" customHeight="true" outlineLevel="0" collapsed="false">
      <c r="B22" s="117"/>
      <c r="C22" s="118"/>
      <c r="D22" s="119"/>
      <c r="E22" s="118"/>
      <c r="F22" s="118"/>
      <c r="G22" s="118"/>
      <c r="H22" s="119"/>
      <c r="I22" s="119"/>
    </row>
    <row r="23" customFormat="false" ht="18" hidden="false" customHeight="true" outlineLevel="0" collapsed="false">
      <c r="B23" s="120"/>
      <c r="C23" s="121"/>
      <c r="D23" s="122"/>
      <c r="E23" s="121"/>
      <c r="F23" s="121"/>
      <c r="G23" s="121"/>
      <c r="H23" s="122"/>
      <c r="I23" s="122"/>
    </row>
    <row r="24" customFormat="false" ht="18" hidden="false" customHeight="true" outlineLevel="0" collapsed="false">
      <c r="B24" s="117"/>
      <c r="C24" s="118"/>
      <c r="D24" s="119"/>
      <c r="E24" s="118"/>
      <c r="F24" s="118"/>
      <c r="G24" s="118"/>
      <c r="H24" s="119"/>
      <c r="I24" s="119"/>
    </row>
    <row r="25" customFormat="false" ht="18" hidden="false" customHeight="true" outlineLevel="0" collapsed="false">
      <c r="B25" s="120"/>
      <c r="C25" s="121"/>
      <c r="D25" s="122"/>
      <c r="E25" s="121"/>
      <c r="F25" s="121"/>
      <c r="G25" s="121"/>
      <c r="H25" s="122"/>
      <c r="I25" s="122"/>
    </row>
    <row r="26" customFormat="false" ht="18" hidden="false" customHeight="true" outlineLevel="0" collapsed="false">
      <c r="B26" s="117"/>
      <c r="C26" s="118"/>
      <c r="D26" s="119"/>
      <c r="E26" s="118"/>
      <c r="F26" s="118"/>
      <c r="G26" s="118"/>
      <c r="H26" s="119"/>
      <c r="I26" s="119"/>
    </row>
    <row r="27" customFormat="false" ht="18" hidden="false" customHeight="true" outlineLevel="0" collapsed="false">
      <c r="B27" s="120"/>
      <c r="C27" s="121"/>
      <c r="D27" s="122"/>
      <c r="E27" s="121"/>
      <c r="F27" s="121"/>
      <c r="G27" s="121"/>
      <c r="H27" s="122"/>
      <c r="I27" s="122"/>
    </row>
    <row r="28" customFormat="false" ht="18" hidden="false" customHeight="true" outlineLevel="0" collapsed="false">
      <c r="B28" s="117"/>
      <c r="C28" s="118"/>
      <c r="D28" s="119"/>
      <c r="E28" s="118"/>
      <c r="F28" s="118"/>
      <c r="G28" s="118"/>
      <c r="H28" s="119"/>
      <c r="I28" s="119"/>
    </row>
    <row r="29" customFormat="false" ht="18" hidden="false" customHeight="true" outlineLevel="0" collapsed="false">
      <c r="B29" s="120"/>
      <c r="C29" s="121"/>
      <c r="D29" s="122"/>
      <c r="E29" s="121"/>
      <c r="F29" s="121"/>
      <c r="G29" s="121"/>
      <c r="H29" s="122"/>
      <c r="I29" s="122"/>
    </row>
    <row r="30" customFormat="false" ht="18" hidden="false" customHeight="true" outlineLevel="0" collapsed="false">
      <c r="B30" s="117"/>
      <c r="C30" s="118"/>
      <c r="D30" s="119"/>
      <c r="E30" s="118"/>
      <c r="F30" s="118"/>
      <c r="G30" s="118"/>
      <c r="H30" s="119"/>
      <c r="I30" s="119"/>
    </row>
    <row r="31" customFormat="false" ht="18" hidden="false" customHeight="true" outlineLevel="0" collapsed="false">
      <c r="B31" s="120"/>
      <c r="C31" s="121"/>
      <c r="D31" s="122"/>
      <c r="E31" s="121"/>
      <c r="F31" s="121"/>
      <c r="G31" s="121"/>
      <c r="H31" s="122"/>
      <c r="I31" s="122"/>
    </row>
    <row r="32" customFormat="false" ht="18" hidden="false" customHeight="true" outlineLevel="0" collapsed="false">
      <c r="B32" s="117"/>
      <c r="C32" s="118"/>
      <c r="D32" s="119"/>
      <c r="E32" s="118"/>
      <c r="F32" s="118"/>
      <c r="G32" s="118"/>
      <c r="H32" s="119"/>
      <c r="I32" s="119"/>
    </row>
    <row r="33" customFormat="false" ht="18" hidden="false" customHeight="true" outlineLevel="0" collapsed="false">
      <c r="B33" s="120"/>
      <c r="C33" s="121"/>
      <c r="D33" s="122"/>
      <c r="E33" s="121"/>
      <c r="F33" s="121"/>
      <c r="G33" s="121"/>
      <c r="H33" s="122"/>
      <c r="I33" s="122"/>
    </row>
    <row r="34" customFormat="false" ht="18" hidden="false" customHeight="true" outlineLevel="0" collapsed="false">
      <c r="B34" s="117"/>
      <c r="C34" s="118"/>
      <c r="D34" s="119"/>
      <c r="E34" s="118"/>
      <c r="F34" s="118"/>
      <c r="G34" s="118"/>
      <c r="H34" s="119"/>
      <c r="I34" s="119"/>
    </row>
    <row r="35" customFormat="false" ht="18" hidden="false" customHeight="true" outlineLevel="0" collapsed="false">
      <c r="B35" s="120"/>
      <c r="C35" s="121"/>
      <c r="D35" s="122"/>
      <c r="E35" s="121"/>
      <c r="F35" s="121"/>
      <c r="G35" s="121"/>
      <c r="H35" s="122"/>
      <c r="I35" s="122"/>
    </row>
    <row r="36" customFormat="false" ht="18" hidden="false" customHeight="true" outlineLevel="0" collapsed="false">
      <c r="B36" s="117"/>
      <c r="C36" s="118"/>
      <c r="D36" s="119"/>
      <c r="E36" s="118"/>
      <c r="F36" s="118"/>
      <c r="G36" s="118"/>
      <c r="H36" s="119"/>
      <c r="I36" s="119"/>
    </row>
    <row r="37" customFormat="false" ht="18" hidden="false" customHeight="true" outlineLevel="0" collapsed="false">
      <c r="B37" s="120"/>
      <c r="C37" s="121"/>
      <c r="D37" s="122"/>
      <c r="E37" s="121"/>
      <c r="F37" s="121"/>
      <c r="G37" s="121"/>
      <c r="H37" s="122"/>
      <c r="I37" s="122"/>
    </row>
    <row r="38" customFormat="false" ht="18" hidden="false" customHeight="true" outlineLevel="0" collapsed="false">
      <c r="B38" s="117"/>
      <c r="C38" s="118"/>
      <c r="D38" s="119"/>
      <c r="E38" s="118"/>
      <c r="F38" s="118"/>
      <c r="G38" s="118"/>
      <c r="H38" s="119"/>
      <c r="I38" s="119"/>
    </row>
    <row r="39" customFormat="false" ht="18" hidden="false" customHeight="true" outlineLevel="0" collapsed="false">
      <c r="B39" s="120"/>
      <c r="C39" s="121"/>
      <c r="D39" s="122"/>
      <c r="E39" s="121"/>
      <c r="F39" s="121"/>
      <c r="G39" s="121"/>
      <c r="H39" s="122"/>
      <c r="I39" s="122"/>
    </row>
    <row r="40" customFormat="false" ht="18" hidden="false" customHeight="true" outlineLevel="0" collapsed="false">
      <c r="B40" s="117"/>
      <c r="C40" s="118"/>
      <c r="D40" s="119"/>
      <c r="E40" s="118"/>
      <c r="F40" s="118"/>
      <c r="G40" s="118"/>
      <c r="H40" s="119"/>
      <c r="I40" s="119"/>
    </row>
    <row r="41" customFormat="false" ht="18" hidden="false" customHeight="true" outlineLevel="0" collapsed="false">
      <c r="B41" s="120"/>
      <c r="C41" s="121"/>
      <c r="D41" s="122"/>
      <c r="E41" s="121"/>
      <c r="F41" s="121"/>
      <c r="G41" s="121"/>
      <c r="H41" s="122"/>
      <c r="I41" s="122"/>
    </row>
    <row r="42" customFormat="false" ht="18" hidden="false" customHeight="true" outlineLevel="0" collapsed="false">
      <c r="B42" s="117"/>
      <c r="C42" s="118"/>
      <c r="D42" s="119"/>
      <c r="E42" s="118"/>
      <c r="F42" s="118"/>
      <c r="G42" s="118"/>
      <c r="H42" s="119"/>
      <c r="I42" s="119"/>
    </row>
    <row r="43" customFormat="false" ht="18" hidden="false" customHeight="true" outlineLevel="0" collapsed="false">
      <c r="B43" s="120"/>
      <c r="C43" s="121"/>
      <c r="D43" s="122"/>
      <c r="E43" s="121"/>
      <c r="F43" s="121"/>
      <c r="G43" s="121"/>
      <c r="H43" s="122"/>
      <c r="I43" s="122"/>
    </row>
    <row r="44" customFormat="false" ht="18" hidden="false" customHeight="true" outlineLevel="0" collapsed="false">
      <c r="B44" s="117"/>
      <c r="C44" s="118"/>
      <c r="D44" s="119"/>
      <c r="E44" s="118"/>
      <c r="F44" s="118"/>
      <c r="G44" s="118"/>
      <c r="H44" s="119"/>
      <c r="I44" s="119"/>
    </row>
    <row r="45" customFormat="false" ht="18" hidden="false" customHeight="true" outlineLevel="0" collapsed="false">
      <c r="B45" s="120"/>
      <c r="C45" s="121"/>
      <c r="D45" s="122"/>
      <c r="E45" s="121"/>
      <c r="F45" s="121"/>
      <c r="G45" s="121"/>
      <c r="H45" s="122"/>
      <c r="I45" s="122"/>
    </row>
    <row r="46" customFormat="false" ht="18" hidden="false" customHeight="true" outlineLevel="0" collapsed="false">
      <c r="B46" s="117"/>
      <c r="C46" s="118"/>
      <c r="D46" s="119"/>
      <c r="E46" s="118"/>
      <c r="F46" s="118"/>
      <c r="G46" s="118"/>
      <c r="H46" s="119"/>
      <c r="I46" s="119"/>
    </row>
    <row r="47" customFormat="false" ht="18" hidden="false" customHeight="true" outlineLevel="0" collapsed="false">
      <c r="B47" s="120"/>
      <c r="C47" s="121"/>
      <c r="D47" s="122"/>
      <c r="E47" s="121"/>
      <c r="F47" s="121"/>
      <c r="G47" s="121"/>
      <c r="H47" s="122"/>
      <c r="I47" s="122"/>
    </row>
    <row r="48" customFormat="false" ht="18" hidden="false" customHeight="true" outlineLevel="0" collapsed="false">
      <c r="B48" s="117"/>
      <c r="C48" s="118"/>
      <c r="D48" s="119"/>
      <c r="E48" s="118"/>
      <c r="F48" s="118"/>
      <c r="G48" s="118"/>
      <c r="H48" s="119"/>
      <c r="I48" s="119"/>
    </row>
    <row r="49" customFormat="false" ht="18" hidden="false" customHeight="true" outlineLevel="0" collapsed="false">
      <c r="B49" s="120"/>
      <c r="C49" s="121"/>
      <c r="D49" s="122"/>
      <c r="E49" s="121"/>
      <c r="F49" s="121"/>
      <c r="G49" s="121"/>
      <c r="H49" s="122"/>
      <c r="I49" s="122"/>
    </row>
    <row r="50" customFormat="false" ht="18" hidden="false" customHeight="true" outlineLevel="0" collapsed="false">
      <c r="B50" s="117"/>
      <c r="C50" s="118"/>
      <c r="D50" s="119"/>
      <c r="E50" s="118"/>
      <c r="F50" s="118"/>
      <c r="G50" s="118"/>
      <c r="H50" s="119"/>
      <c r="I50" s="119"/>
    </row>
    <row r="51" customFormat="false" ht="18" hidden="false" customHeight="true" outlineLevel="0" collapsed="false">
      <c r="B51" s="120"/>
      <c r="C51" s="121"/>
      <c r="D51" s="122"/>
      <c r="E51" s="121"/>
      <c r="F51" s="121"/>
      <c r="G51" s="121"/>
      <c r="H51" s="122"/>
      <c r="I51" s="122"/>
    </row>
    <row r="52" customFormat="false" ht="18" hidden="false" customHeight="true" outlineLevel="0" collapsed="false">
      <c r="B52" s="117"/>
      <c r="C52" s="118"/>
      <c r="D52" s="119"/>
      <c r="E52" s="118"/>
      <c r="F52" s="118"/>
      <c r="G52" s="118"/>
      <c r="H52" s="119"/>
      <c r="I52" s="119"/>
    </row>
    <row r="53" customFormat="false" ht="18" hidden="false" customHeight="true" outlineLevel="0" collapsed="false">
      <c r="B53" s="120"/>
      <c r="C53" s="121"/>
      <c r="D53" s="122"/>
      <c r="E53" s="121"/>
      <c r="F53" s="121"/>
      <c r="G53" s="121"/>
      <c r="H53" s="122"/>
      <c r="I53" s="122"/>
    </row>
    <row r="54" customFormat="false" ht="18" hidden="false" customHeight="true" outlineLevel="0" collapsed="false">
      <c r="B54" s="117"/>
      <c r="C54" s="118"/>
      <c r="D54" s="119"/>
      <c r="E54" s="118"/>
      <c r="F54" s="118"/>
      <c r="G54" s="118"/>
      <c r="H54" s="119"/>
      <c r="I54" s="119"/>
    </row>
    <row r="55" customFormat="false" ht="18" hidden="false" customHeight="true" outlineLevel="0" collapsed="false">
      <c r="B55" s="120"/>
      <c r="C55" s="121"/>
      <c r="D55" s="122"/>
      <c r="E55" s="121"/>
      <c r="F55" s="121"/>
      <c r="G55" s="121"/>
      <c r="H55" s="122"/>
      <c r="I55" s="122"/>
    </row>
    <row r="56" customFormat="false" ht="18" hidden="false" customHeight="true" outlineLevel="0" collapsed="false">
      <c r="B56" s="117"/>
      <c r="C56" s="118"/>
      <c r="D56" s="119"/>
      <c r="E56" s="118"/>
      <c r="F56" s="118"/>
      <c r="G56" s="118"/>
      <c r="H56" s="119"/>
      <c r="I56" s="119"/>
    </row>
    <row r="57" customFormat="false" ht="18" hidden="false" customHeight="true" outlineLevel="0" collapsed="false">
      <c r="B57" s="120"/>
      <c r="C57" s="121"/>
      <c r="D57" s="122"/>
      <c r="E57" s="121"/>
      <c r="F57" s="121"/>
      <c r="G57" s="121"/>
      <c r="H57" s="122"/>
      <c r="I57" s="122"/>
    </row>
    <row r="58" customFormat="false" ht="18" hidden="false" customHeight="true" outlineLevel="0" collapsed="false">
      <c r="B58" s="117"/>
      <c r="C58" s="118"/>
      <c r="D58" s="119"/>
      <c r="E58" s="118"/>
      <c r="F58" s="118"/>
      <c r="G58" s="118"/>
      <c r="H58" s="119"/>
      <c r="I58" s="119"/>
    </row>
    <row r="59" customFormat="false" ht="18" hidden="false" customHeight="true" outlineLevel="0" collapsed="false">
      <c r="B59" s="120"/>
      <c r="C59" s="121"/>
      <c r="D59" s="122"/>
      <c r="E59" s="121"/>
      <c r="F59" s="121"/>
      <c r="G59" s="121"/>
      <c r="H59" s="122"/>
      <c r="I59" s="122"/>
    </row>
    <row r="60" customFormat="false" ht="18" hidden="false" customHeight="true" outlineLevel="0" collapsed="false">
      <c r="B60" s="117"/>
      <c r="C60" s="118"/>
      <c r="D60" s="119"/>
      <c r="E60" s="118"/>
      <c r="F60" s="118"/>
      <c r="G60" s="118"/>
      <c r="H60" s="119"/>
      <c r="I60" s="119"/>
    </row>
    <row r="61" customFormat="false" ht="18" hidden="false" customHeight="true" outlineLevel="0" collapsed="false">
      <c r="B61" s="120"/>
      <c r="C61" s="121"/>
      <c r="D61" s="122"/>
      <c r="E61" s="121"/>
      <c r="F61" s="121"/>
      <c r="G61" s="121"/>
      <c r="H61" s="122"/>
      <c r="I61" s="122"/>
    </row>
    <row r="62" customFormat="false" ht="18" hidden="false" customHeight="true" outlineLevel="0" collapsed="false">
      <c r="B62" s="117"/>
      <c r="C62" s="118"/>
      <c r="D62" s="119"/>
      <c r="E62" s="118"/>
      <c r="F62" s="118"/>
      <c r="G62" s="118"/>
      <c r="H62" s="119"/>
      <c r="I62" s="119"/>
    </row>
    <row r="63" customFormat="false" ht="18" hidden="false" customHeight="true" outlineLevel="0" collapsed="false">
      <c r="B63" s="120"/>
      <c r="C63" s="121"/>
      <c r="D63" s="122"/>
      <c r="E63" s="121"/>
      <c r="F63" s="121"/>
      <c r="G63" s="121"/>
      <c r="H63" s="122"/>
      <c r="I63" s="122"/>
    </row>
    <row r="64" customFormat="false" ht="18" hidden="false" customHeight="true" outlineLevel="0" collapsed="false">
      <c r="B64" s="117"/>
      <c r="C64" s="118"/>
      <c r="D64" s="119"/>
      <c r="E64" s="118"/>
      <c r="F64" s="118"/>
      <c r="G64" s="118"/>
      <c r="H64" s="119"/>
      <c r="I64" s="119"/>
    </row>
    <row r="65" customFormat="false" ht="18" hidden="false" customHeight="true" outlineLevel="0" collapsed="false">
      <c r="B65" s="120"/>
      <c r="C65" s="121"/>
      <c r="D65" s="122"/>
      <c r="E65" s="121"/>
      <c r="F65" s="121"/>
      <c r="G65" s="121"/>
      <c r="H65" s="122"/>
      <c r="I65" s="122"/>
    </row>
    <row r="66" customFormat="false" ht="18" hidden="false" customHeight="true" outlineLevel="0" collapsed="false">
      <c r="B66" s="117"/>
      <c r="C66" s="118"/>
      <c r="D66" s="119"/>
      <c r="E66" s="118"/>
      <c r="F66" s="118"/>
      <c r="G66" s="118"/>
      <c r="H66" s="119"/>
      <c r="I66" s="119"/>
    </row>
    <row r="67" customFormat="false" ht="18" hidden="false" customHeight="true" outlineLevel="0" collapsed="false">
      <c r="B67" s="120"/>
      <c r="C67" s="121"/>
      <c r="D67" s="122"/>
      <c r="E67" s="121"/>
      <c r="F67" s="121"/>
      <c r="G67" s="121"/>
      <c r="H67" s="122"/>
      <c r="I67" s="122"/>
    </row>
    <row r="68" customFormat="false" ht="18" hidden="false" customHeight="true" outlineLevel="0" collapsed="false">
      <c r="B68" s="117"/>
      <c r="C68" s="118"/>
      <c r="D68" s="119"/>
      <c r="E68" s="118"/>
      <c r="F68" s="118"/>
      <c r="G68" s="118"/>
      <c r="H68" s="119"/>
      <c r="I68" s="119"/>
    </row>
    <row r="69" customFormat="false" ht="18" hidden="false" customHeight="true" outlineLevel="0" collapsed="false">
      <c r="B69" s="120"/>
      <c r="C69" s="121"/>
      <c r="D69" s="122"/>
      <c r="E69" s="121"/>
      <c r="F69" s="121"/>
      <c r="G69" s="121"/>
      <c r="H69" s="122"/>
      <c r="I69" s="122"/>
    </row>
    <row r="70" customFormat="false" ht="18" hidden="false" customHeight="true" outlineLevel="0" collapsed="false">
      <c r="B70" s="117"/>
      <c r="C70" s="118"/>
      <c r="D70" s="119"/>
      <c r="E70" s="118"/>
      <c r="F70" s="118"/>
      <c r="G70" s="118"/>
      <c r="H70" s="119"/>
      <c r="I70" s="119"/>
    </row>
    <row r="71" customFormat="false" ht="18" hidden="false" customHeight="true" outlineLevel="0" collapsed="false">
      <c r="B71" s="120"/>
      <c r="C71" s="121"/>
      <c r="D71" s="122"/>
      <c r="E71" s="121"/>
      <c r="F71" s="121"/>
      <c r="G71" s="121"/>
      <c r="H71" s="122"/>
      <c r="I71" s="122"/>
    </row>
    <row r="72" customFormat="false" ht="18" hidden="false" customHeight="true" outlineLevel="0" collapsed="false">
      <c r="B72" s="117"/>
      <c r="C72" s="118"/>
      <c r="D72" s="119"/>
      <c r="E72" s="118"/>
      <c r="F72" s="118"/>
      <c r="G72" s="118"/>
      <c r="H72" s="119"/>
      <c r="I72" s="119"/>
    </row>
    <row r="73" customFormat="false" ht="18" hidden="false" customHeight="true" outlineLevel="0" collapsed="false">
      <c r="B73" s="120"/>
      <c r="C73" s="121"/>
      <c r="D73" s="122"/>
      <c r="E73" s="121"/>
      <c r="F73" s="121"/>
      <c r="G73" s="121"/>
      <c r="H73" s="122"/>
      <c r="I73" s="122"/>
    </row>
    <row r="74" customFormat="false" ht="18" hidden="false" customHeight="true" outlineLevel="0" collapsed="false">
      <c r="B74" s="117"/>
      <c r="C74" s="118"/>
      <c r="D74" s="119"/>
      <c r="E74" s="118"/>
      <c r="F74" s="118"/>
      <c r="G74" s="118"/>
      <c r="H74" s="119"/>
      <c r="I74" s="119"/>
    </row>
    <row r="75" customFormat="false" ht="18" hidden="false" customHeight="true" outlineLevel="0" collapsed="false">
      <c r="B75" s="120"/>
      <c r="C75" s="121"/>
      <c r="D75" s="122"/>
      <c r="E75" s="121"/>
      <c r="F75" s="121"/>
      <c r="G75" s="121"/>
      <c r="H75" s="122"/>
      <c r="I75" s="122"/>
    </row>
    <row r="76" customFormat="false" ht="18" hidden="false" customHeight="true" outlineLevel="0" collapsed="false">
      <c r="B76" s="117"/>
      <c r="C76" s="118"/>
      <c r="D76" s="119"/>
      <c r="E76" s="118"/>
      <c r="F76" s="118"/>
      <c r="G76" s="118"/>
      <c r="H76" s="119"/>
      <c r="I76" s="119"/>
    </row>
    <row r="77" customFormat="false" ht="18" hidden="false" customHeight="true" outlineLevel="0" collapsed="false">
      <c r="B77" s="120"/>
      <c r="C77" s="121"/>
      <c r="D77" s="122"/>
      <c r="E77" s="121"/>
      <c r="F77" s="121"/>
      <c r="G77" s="121"/>
      <c r="H77" s="122"/>
      <c r="I77" s="122"/>
    </row>
    <row r="78" customFormat="false" ht="18" hidden="false" customHeight="true" outlineLevel="0" collapsed="false">
      <c r="B78" s="117"/>
      <c r="C78" s="118"/>
      <c r="D78" s="119"/>
      <c r="E78" s="118"/>
      <c r="F78" s="118"/>
      <c r="G78" s="118"/>
      <c r="H78" s="119"/>
      <c r="I78" s="119"/>
    </row>
    <row r="79" customFormat="false" ht="18" hidden="false" customHeight="true" outlineLevel="0" collapsed="false">
      <c r="B79" s="120"/>
      <c r="C79" s="121"/>
      <c r="D79" s="122"/>
      <c r="E79" s="121"/>
      <c r="F79" s="121"/>
      <c r="G79" s="121"/>
      <c r="H79" s="122"/>
      <c r="I79" s="122"/>
    </row>
    <row r="80" customFormat="false" ht="18" hidden="false" customHeight="true" outlineLevel="0" collapsed="false">
      <c r="B80" s="117"/>
      <c r="C80" s="118"/>
      <c r="D80" s="119"/>
      <c r="E80" s="118"/>
      <c r="F80" s="118"/>
      <c r="G80" s="118"/>
      <c r="H80" s="119"/>
      <c r="I80" s="119"/>
    </row>
    <row r="81" customFormat="false" ht="18" hidden="false" customHeight="true" outlineLevel="0" collapsed="false">
      <c r="B81" s="120"/>
      <c r="C81" s="121"/>
      <c r="D81" s="122"/>
      <c r="E81" s="121"/>
      <c r="F81" s="121"/>
      <c r="G81" s="121"/>
      <c r="H81" s="122"/>
      <c r="I81" s="122"/>
    </row>
    <row r="82" customFormat="false" ht="18" hidden="false" customHeight="true" outlineLevel="0" collapsed="false">
      <c r="B82" s="117"/>
      <c r="C82" s="118"/>
      <c r="D82" s="119"/>
      <c r="E82" s="118"/>
      <c r="F82" s="118"/>
      <c r="G82" s="118"/>
      <c r="H82" s="119"/>
      <c r="I82" s="119"/>
    </row>
    <row r="83" customFormat="false" ht="18" hidden="false" customHeight="true" outlineLevel="0" collapsed="false">
      <c r="B83" s="120"/>
      <c r="C83" s="121"/>
      <c r="D83" s="122"/>
      <c r="E83" s="121"/>
      <c r="F83" s="121"/>
      <c r="G83" s="121"/>
      <c r="H83" s="122"/>
      <c r="I83" s="122"/>
    </row>
    <row r="84" customFormat="false" ht="18" hidden="false" customHeight="true" outlineLevel="0" collapsed="false">
      <c r="B84" s="117"/>
      <c r="C84" s="118"/>
      <c r="D84" s="119"/>
      <c r="E84" s="118"/>
      <c r="F84" s="118"/>
      <c r="G84" s="118"/>
      <c r="H84" s="119"/>
      <c r="I84" s="119"/>
    </row>
    <row r="85" customFormat="false" ht="18" hidden="false" customHeight="true" outlineLevel="0" collapsed="false">
      <c r="B85" s="120"/>
      <c r="C85" s="121"/>
      <c r="D85" s="122"/>
      <c r="E85" s="121"/>
      <c r="F85" s="121"/>
      <c r="G85" s="121"/>
      <c r="H85" s="122"/>
      <c r="I85" s="122"/>
    </row>
    <row r="86" customFormat="false" ht="18" hidden="false" customHeight="true" outlineLevel="0" collapsed="false">
      <c r="B86" s="117"/>
      <c r="C86" s="118"/>
      <c r="D86" s="119"/>
      <c r="E86" s="118"/>
      <c r="F86" s="118"/>
      <c r="G86" s="118"/>
      <c r="H86" s="119"/>
      <c r="I86" s="119"/>
    </row>
    <row r="87" customFormat="false" ht="18" hidden="false" customHeight="true" outlineLevel="0" collapsed="false">
      <c r="B87" s="120"/>
      <c r="C87" s="121"/>
      <c r="D87" s="122"/>
      <c r="E87" s="121"/>
      <c r="F87" s="121"/>
      <c r="G87" s="121"/>
      <c r="H87" s="122"/>
      <c r="I87" s="122"/>
    </row>
    <row r="88" customFormat="false" ht="18" hidden="false" customHeight="true" outlineLevel="0" collapsed="false">
      <c r="B88" s="117"/>
      <c r="C88" s="118"/>
      <c r="D88" s="119"/>
      <c r="E88" s="118"/>
      <c r="F88" s="118"/>
      <c r="G88" s="118"/>
      <c r="H88" s="119"/>
      <c r="I88" s="119"/>
    </row>
    <row r="89" customFormat="false" ht="18" hidden="false" customHeight="true" outlineLevel="0" collapsed="false">
      <c r="B89" s="120"/>
      <c r="C89" s="121"/>
      <c r="D89" s="122"/>
      <c r="E89" s="121"/>
      <c r="F89" s="121"/>
      <c r="G89" s="121"/>
      <c r="H89" s="122"/>
      <c r="I89" s="122"/>
    </row>
    <row r="90" customFormat="false" ht="18" hidden="false" customHeight="true" outlineLevel="0" collapsed="false">
      <c r="B90" s="117"/>
      <c r="C90" s="118"/>
      <c r="D90" s="119"/>
      <c r="E90" s="118"/>
      <c r="F90" s="118"/>
      <c r="G90" s="118"/>
      <c r="H90" s="119"/>
      <c r="I90" s="119"/>
    </row>
    <row r="91" customFormat="false" ht="18" hidden="false" customHeight="true" outlineLevel="0" collapsed="false">
      <c r="B91" s="120"/>
      <c r="C91" s="121"/>
      <c r="D91" s="122"/>
      <c r="E91" s="121"/>
      <c r="F91" s="121"/>
      <c r="G91" s="121"/>
      <c r="H91" s="122"/>
      <c r="I91" s="122"/>
    </row>
    <row r="92" customFormat="false" ht="18" hidden="false" customHeight="true" outlineLevel="0" collapsed="false">
      <c r="B92" s="117"/>
      <c r="C92" s="118"/>
      <c r="D92" s="119"/>
      <c r="E92" s="118"/>
      <c r="F92" s="118"/>
      <c r="G92" s="118"/>
      <c r="H92" s="119"/>
      <c r="I92" s="119"/>
    </row>
    <row r="93" customFormat="false" ht="18" hidden="false" customHeight="true" outlineLevel="0" collapsed="false">
      <c r="B93" s="120"/>
      <c r="C93" s="121"/>
      <c r="D93" s="122"/>
      <c r="E93" s="121"/>
      <c r="F93" s="121"/>
      <c r="G93" s="121"/>
      <c r="H93" s="122"/>
      <c r="I93" s="122"/>
    </row>
    <row r="94" customFormat="false" ht="18" hidden="false" customHeight="true" outlineLevel="0" collapsed="false">
      <c r="B94" s="117"/>
      <c r="C94" s="118"/>
      <c r="D94" s="119"/>
      <c r="E94" s="118"/>
      <c r="F94" s="118"/>
      <c r="G94" s="118"/>
      <c r="H94" s="119"/>
      <c r="I94" s="119"/>
    </row>
    <row r="95" customFormat="false" ht="18" hidden="false" customHeight="true" outlineLevel="0" collapsed="false">
      <c r="B95" s="120"/>
      <c r="C95" s="121"/>
      <c r="D95" s="122"/>
      <c r="E95" s="121"/>
      <c r="F95" s="121"/>
      <c r="G95" s="121"/>
      <c r="H95" s="122"/>
      <c r="I95" s="122"/>
    </row>
    <row r="96" customFormat="false" ht="18" hidden="false" customHeight="true" outlineLevel="0" collapsed="false">
      <c r="B96" s="117"/>
      <c r="C96" s="118"/>
      <c r="D96" s="119"/>
      <c r="E96" s="118"/>
      <c r="F96" s="118"/>
      <c r="G96" s="118"/>
      <c r="H96" s="119"/>
      <c r="I96" s="119"/>
    </row>
    <row r="97" customFormat="false" ht="18" hidden="false" customHeight="true" outlineLevel="0" collapsed="false">
      <c r="B97" s="120"/>
      <c r="C97" s="121"/>
      <c r="D97" s="122"/>
      <c r="E97" s="121"/>
      <c r="F97" s="121"/>
      <c r="G97" s="121"/>
      <c r="H97" s="122"/>
      <c r="I97" s="122"/>
    </row>
    <row r="98" customFormat="false" ht="18" hidden="false" customHeight="true" outlineLevel="0" collapsed="false">
      <c r="B98" s="117"/>
      <c r="C98" s="118"/>
      <c r="D98" s="119"/>
      <c r="E98" s="118"/>
      <c r="F98" s="118"/>
      <c r="G98" s="118"/>
      <c r="H98" s="119"/>
      <c r="I98" s="119"/>
    </row>
    <row r="99" customFormat="false" ht="18" hidden="false" customHeight="true" outlineLevel="0" collapsed="false">
      <c r="B99" s="120"/>
      <c r="C99" s="121"/>
      <c r="D99" s="122"/>
      <c r="E99" s="121"/>
      <c r="F99" s="121"/>
      <c r="G99" s="121"/>
      <c r="H99" s="122"/>
      <c r="I99" s="122"/>
    </row>
  </sheetData>
  <mergeCells count="10">
    <mergeCell ref="A1:I1"/>
    <mergeCell ref="A2:I2"/>
    <mergeCell ref="B12:I12"/>
    <mergeCell ref="F13:G13"/>
    <mergeCell ref="F14:I14"/>
    <mergeCell ref="F15:I15"/>
    <mergeCell ref="F16:I16"/>
    <mergeCell ref="F17:I17"/>
    <mergeCell ref="F18:I18"/>
    <mergeCell ref="F19:I19"/>
  </mergeCells>
  <conditionalFormatting sqref="E4:E300">
    <cfRule type="colorScale" priority="2">
      <colorScale>
        <cfvo type="num" val="1"/>
        <cfvo type="num" val="3"/>
        <cfvo type="num" val="5"/>
        <color rgb="FFF1948A"/>
        <color rgb="FFF9E79F"/>
        <color rgb="FF82E0AA"/>
      </colorScale>
    </cfRule>
  </conditionalFormatting>
  <conditionalFormatting sqref="F4:F300">
    <cfRule type="colorScale" priority="3">
      <colorScale>
        <cfvo type="num" val="1"/>
        <cfvo type="num" val="3"/>
        <cfvo type="num" val="5"/>
        <color rgb="FFF1948A"/>
        <color rgb="FFF9E79F"/>
        <color rgb="FF82E0AA"/>
      </colorScale>
    </cfRule>
  </conditionalFormatting>
  <dataValidations count="2">
    <dataValidation allowBlank="true" errorStyle="stop" operator="between" showDropDown="false" showErrorMessage="false" showInputMessage="false" sqref="E4:F300" type="whole">
      <formula1>1</formula1>
      <formula2>5</formula2>
    </dataValidation>
    <dataValidation allowBlank="true" errorStyle="stop" operator="between" showDropDown="false" showErrorMessage="false" showInputMessage="false" sqref="D4:D300" type="list">
      <formula1>"🌅 Early Morning (5-8am),☀️ Morning (8-11am),🌤 Midday (11am-2pm),🌇 Afternoon (2-5pm),🌆 Evening (5-8pm),🌙 Night (8-11pm)"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I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6" min="5" style="1" width="30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20"/>
  </cols>
  <sheetData>
    <row r="1" customFormat="false" ht="21.75" hidden="false" customHeight="true" outlineLevel="0" collapsed="false">
      <c r="A1" s="2" t="s">
        <v>593</v>
      </c>
      <c r="B1" s="2"/>
      <c r="C1" s="2"/>
      <c r="D1" s="2"/>
      <c r="E1" s="2"/>
      <c r="F1" s="2"/>
      <c r="G1" s="2"/>
      <c r="H1" s="2"/>
      <c r="I1" s="2"/>
    </row>
    <row r="2" customFormat="false" ht="15.75" hidden="false" customHeight="true" outlineLevel="0" collapsed="false">
      <c r="A2" s="257" t="s">
        <v>594</v>
      </c>
      <c r="B2" s="257"/>
      <c r="C2" s="257"/>
      <c r="D2" s="257"/>
      <c r="E2" s="257"/>
      <c r="F2" s="257"/>
      <c r="G2" s="257"/>
      <c r="H2" s="257"/>
      <c r="I2" s="257"/>
    </row>
    <row r="3" customFormat="false" ht="24" hidden="false" customHeight="true" outlineLevel="0" collapsed="false">
      <c r="B3" s="239" t="s">
        <v>595</v>
      </c>
      <c r="C3" s="239" t="s">
        <v>137</v>
      </c>
      <c r="D3" s="239" t="s">
        <v>68</v>
      </c>
      <c r="E3" s="239" t="s">
        <v>596</v>
      </c>
      <c r="F3" s="239" t="s">
        <v>597</v>
      </c>
      <c r="G3" s="239" t="s">
        <v>71</v>
      </c>
      <c r="H3" s="239" t="s">
        <v>598</v>
      </c>
      <c r="I3" s="239" t="s">
        <v>73</v>
      </c>
    </row>
    <row r="4" customFormat="false" ht="18" hidden="false" customHeight="true" outlineLevel="0" collapsed="false">
      <c r="B4" s="117"/>
      <c r="C4" s="258" t="str">
        <f aca="false">'🎯 Command Center'!C111</f>
        <v/>
      </c>
      <c r="D4" s="118"/>
      <c r="E4" s="259"/>
      <c r="F4" s="260" t="n">
        <f aca="false">'🎯 Command Center'!H111</f>
        <v>0</v>
      </c>
      <c r="G4" s="259"/>
      <c r="H4" s="118"/>
      <c r="I4" s="259"/>
    </row>
    <row r="5" customFormat="false" ht="18" hidden="false" customHeight="true" outlineLevel="0" collapsed="false">
      <c r="B5" s="120"/>
      <c r="C5" s="261" t="str">
        <f aca="false">'🎯 Command Center'!C112</f>
        <v/>
      </c>
      <c r="D5" s="121"/>
      <c r="E5" s="262"/>
      <c r="F5" s="263" t="n">
        <f aca="false">'🎯 Command Center'!H112</f>
        <v>0</v>
      </c>
      <c r="G5" s="262"/>
      <c r="H5" s="121"/>
      <c r="I5" s="262"/>
    </row>
    <row r="6" customFormat="false" ht="18" hidden="false" customHeight="true" outlineLevel="0" collapsed="false">
      <c r="B6" s="117"/>
      <c r="C6" s="258" t="str">
        <f aca="false">'🎯 Command Center'!C113</f>
        <v/>
      </c>
      <c r="D6" s="118"/>
      <c r="E6" s="259"/>
      <c r="F6" s="260" t="n">
        <f aca="false">'🎯 Command Center'!H113</f>
        <v>0</v>
      </c>
      <c r="G6" s="259"/>
      <c r="H6" s="118"/>
      <c r="I6" s="259"/>
    </row>
    <row r="7" customFormat="false" ht="18" hidden="false" customHeight="true" outlineLevel="0" collapsed="false">
      <c r="B7" s="120"/>
      <c r="C7" s="261" t="str">
        <f aca="false">'🎯 Command Center'!C114</f>
        <v/>
      </c>
      <c r="D7" s="121"/>
      <c r="E7" s="262"/>
      <c r="F7" s="263" t="n">
        <f aca="false">'🎯 Command Center'!H114</f>
        <v>0</v>
      </c>
      <c r="G7" s="262"/>
      <c r="H7" s="121"/>
      <c r="I7" s="262"/>
    </row>
    <row r="8" customFormat="false" ht="18" hidden="false" customHeight="true" outlineLevel="0" collapsed="false">
      <c r="B8" s="117"/>
      <c r="C8" s="258" t="str">
        <f aca="false">'🎯 Command Center'!C115</f>
        <v/>
      </c>
      <c r="D8" s="118"/>
      <c r="E8" s="259"/>
      <c r="F8" s="260" t="n">
        <f aca="false">'🎯 Command Center'!H115</f>
        <v>0</v>
      </c>
      <c r="G8" s="259"/>
      <c r="H8" s="118"/>
      <c r="I8" s="259"/>
    </row>
    <row r="9" customFormat="false" ht="18" hidden="false" customHeight="true" outlineLevel="0" collapsed="false">
      <c r="B9" s="120"/>
      <c r="C9" s="261" t="str">
        <f aca="false">'🎯 Command Center'!C116</f>
        <v/>
      </c>
      <c r="D9" s="121"/>
      <c r="E9" s="262"/>
      <c r="F9" s="263" t="n">
        <f aca="false">'🎯 Command Center'!H116</f>
        <v>0</v>
      </c>
      <c r="G9" s="262"/>
      <c r="H9" s="121"/>
      <c r="I9" s="262"/>
    </row>
    <row r="10" customFormat="false" ht="18" hidden="false" customHeight="true" outlineLevel="0" collapsed="false">
      <c r="B10" s="117"/>
      <c r="C10" s="258" t="str">
        <f aca="false">'🎯 Command Center'!C117</f>
        <v/>
      </c>
      <c r="D10" s="118"/>
      <c r="E10" s="259"/>
      <c r="F10" s="260" t="n">
        <f aca="false">'🎯 Command Center'!H117</f>
        <v>0</v>
      </c>
      <c r="G10" s="259"/>
      <c r="H10" s="118"/>
      <c r="I10" s="259"/>
    </row>
    <row r="11" customFormat="false" ht="18" hidden="false" customHeight="true" outlineLevel="0" collapsed="false">
      <c r="B11" s="120"/>
      <c r="C11" s="261" t="str">
        <f aca="false">'🎯 Command Center'!C118</f>
        <v/>
      </c>
      <c r="D11" s="121"/>
      <c r="E11" s="262"/>
      <c r="F11" s="263" t="n">
        <f aca="false">'🎯 Command Center'!H118</f>
        <v>0</v>
      </c>
      <c r="G11" s="262"/>
      <c r="H11" s="121"/>
      <c r="I11" s="262"/>
    </row>
    <row r="12" customFormat="false" ht="18" hidden="false" customHeight="true" outlineLevel="0" collapsed="false">
      <c r="B12" s="117"/>
      <c r="C12" s="258" t="str">
        <f aca="false">'🎯 Command Center'!C119</f>
        <v/>
      </c>
      <c r="D12" s="118"/>
      <c r="E12" s="259"/>
      <c r="F12" s="260" t="n">
        <f aca="false">'🎯 Command Center'!H119</f>
        <v>0</v>
      </c>
      <c r="G12" s="259"/>
      <c r="H12" s="118"/>
      <c r="I12" s="259"/>
    </row>
    <row r="13" customFormat="false" ht="18" hidden="false" customHeight="true" outlineLevel="0" collapsed="false">
      <c r="B13" s="120"/>
      <c r="C13" s="261" t="str">
        <f aca="false">'🎯 Command Center'!C120</f>
        <v/>
      </c>
      <c r="D13" s="121"/>
      <c r="E13" s="262"/>
      <c r="F13" s="263" t="n">
        <f aca="false">'🎯 Command Center'!H120</f>
        <v>0</v>
      </c>
      <c r="G13" s="262"/>
      <c r="H13" s="121"/>
      <c r="I13" s="262"/>
    </row>
    <row r="14" customFormat="false" ht="18" hidden="false" customHeight="true" outlineLevel="0" collapsed="false">
      <c r="B14" s="117"/>
      <c r="C14" s="258" t="str">
        <f aca="false">'🎯 Command Center'!C121</f>
        <v/>
      </c>
      <c r="D14" s="118"/>
      <c r="E14" s="259"/>
      <c r="F14" s="260" t="n">
        <f aca="false">'🎯 Command Center'!H121</f>
        <v>0</v>
      </c>
      <c r="G14" s="259"/>
      <c r="H14" s="118"/>
      <c r="I14" s="259"/>
    </row>
    <row r="15" customFormat="false" ht="18" hidden="false" customHeight="true" outlineLevel="0" collapsed="false">
      <c r="B15" s="120"/>
      <c r="C15" s="261" t="str">
        <f aca="false">'🎯 Command Center'!C122</f>
        <v/>
      </c>
      <c r="D15" s="121"/>
      <c r="E15" s="262"/>
      <c r="F15" s="263" t="n">
        <f aca="false">'🎯 Command Center'!H122</f>
        <v>0</v>
      </c>
      <c r="G15" s="262"/>
      <c r="H15" s="121"/>
      <c r="I15" s="262"/>
    </row>
    <row r="16" customFormat="false" ht="18" hidden="false" customHeight="true" outlineLevel="0" collapsed="false">
      <c r="B16" s="117"/>
      <c r="C16" s="258" t="str">
        <f aca="false">'🎯 Command Center'!C123</f>
        <v/>
      </c>
      <c r="D16" s="118"/>
      <c r="E16" s="259"/>
      <c r="F16" s="260" t="n">
        <f aca="false">'🎯 Command Center'!H123</f>
        <v>0</v>
      </c>
      <c r="G16" s="259"/>
      <c r="H16" s="118"/>
      <c r="I16" s="259"/>
    </row>
    <row r="17" customFormat="false" ht="18" hidden="false" customHeight="true" outlineLevel="0" collapsed="false">
      <c r="B17" s="120"/>
      <c r="C17" s="261" t="str">
        <f aca="false">'🎯 Command Center'!C124</f>
        <v/>
      </c>
      <c r="D17" s="121"/>
      <c r="E17" s="262"/>
      <c r="F17" s="263" t="n">
        <f aca="false">'🎯 Command Center'!H124</f>
        <v>0</v>
      </c>
      <c r="G17" s="262"/>
      <c r="H17" s="121"/>
      <c r="I17" s="262"/>
    </row>
    <row r="18" customFormat="false" ht="18" hidden="false" customHeight="true" outlineLevel="0" collapsed="false">
      <c r="B18" s="117"/>
      <c r="C18" s="258" t="str">
        <f aca="false">'🎯 Command Center'!C125</f>
        <v/>
      </c>
      <c r="D18" s="118"/>
      <c r="E18" s="259"/>
      <c r="F18" s="260" t="n">
        <f aca="false">'🎯 Command Center'!H125</f>
        <v>0</v>
      </c>
      <c r="G18" s="259"/>
      <c r="H18" s="118"/>
      <c r="I18" s="259"/>
    </row>
    <row r="19" customFormat="false" ht="18" hidden="false" customHeight="true" outlineLevel="0" collapsed="false">
      <c r="B19" s="120"/>
      <c r="C19" s="261" t="str">
        <f aca="false">'🎯 Command Center'!C126</f>
        <v/>
      </c>
      <c r="D19" s="121"/>
      <c r="E19" s="262"/>
      <c r="F19" s="263" t="n">
        <f aca="false">'🎯 Command Center'!H126</f>
        <v>0</v>
      </c>
      <c r="G19" s="262"/>
      <c r="H19" s="121"/>
      <c r="I19" s="262"/>
    </row>
    <row r="20" customFormat="false" ht="18" hidden="false" customHeight="true" outlineLevel="0" collapsed="false">
      <c r="B20" s="117"/>
      <c r="C20" s="258" t="str">
        <f aca="false">'🎯 Command Center'!C127</f>
        <v/>
      </c>
      <c r="D20" s="118"/>
      <c r="E20" s="259"/>
      <c r="F20" s="260" t="n">
        <f aca="false">'🎯 Command Center'!H127</f>
        <v>0</v>
      </c>
      <c r="G20" s="259"/>
      <c r="H20" s="118"/>
      <c r="I20" s="259"/>
    </row>
    <row r="21" customFormat="false" ht="18" hidden="false" customHeight="true" outlineLevel="0" collapsed="false">
      <c r="B21" s="120"/>
      <c r="C21" s="261" t="str">
        <f aca="false">'🎯 Command Center'!C128</f>
        <v/>
      </c>
      <c r="D21" s="121"/>
      <c r="E21" s="262"/>
      <c r="F21" s="263" t="n">
        <f aca="false">'🎯 Command Center'!H128</f>
        <v>0</v>
      </c>
      <c r="G21" s="262"/>
      <c r="H21" s="121"/>
      <c r="I21" s="262"/>
    </row>
    <row r="22" customFormat="false" ht="18" hidden="false" customHeight="true" outlineLevel="0" collapsed="false">
      <c r="B22" s="117"/>
      <c r="C22" s="258" t="str">
        <f aca="false">'🎯 Command Center'!C129</f>
        <v/>
      </c>
      <c r="D22" s="118"/>
      <c r="E22" s="259"/>
      <c r="F22" s="260" t="n">
        <f aca="false">'🎯 Command Center'!H129</f>
        <v>0</v>
      </c>
      <c r="G22" s="259"/>
      <c r="H22" s="118"/>
      <c r="I22" s="259"/>
    </row>
    <row r="23" customFormat="false" ht="18" hidden="false" customHeight="true" outlineLevel="0" collapsed="false">
      <c r="B23" s="120"/>
      <c r="C23" s="261" t="str">
        <f aca="false">'🎯 Command Center'!C130</f>
        <v/>
      </c>
      <c r="D23" s="121"/>
      <c r="E23" s="262"/>
      <c r="F23" s="263" t="n">
        <f aca="false">'🎯 Command Center'!H130</f>
        <v>0</v>
      </c>
      <c r="G23" s="262"/>
      <c r="H23" s="121"/>
      <c r="I23" s="262"/>
    </row>
    <row r="24" customFormat="false" ht="18" hidden="false" customHeight="true" outlineLevel="0" collapsed="false">
      <c r="B24" s="117"/>
      <c r="C24" s="258" t="str">
        <f aca="false">'🎯 Command Center'!C131</f>
        <v/>
      </c>
      <c r="D24" s="118"/>
      <c r="E24" s="259"/>
      <c r="F24" s="260" t="n">
        <f aca="false">'🎯 Command Center'!H131</f>
        <v>0</v>
      </c>
      <c r="G24" s="259"/>
      <c r="H24" s="118"/>
      <c r="I24" s="259"/>
    </row>
    <row r="25" customFormat="false" ht="18" hidden="false" customHeight="true" outlineLevel="0" collapsed="false">
      <c r="B25" s="120"/>
      <c r="C25" s="261" t="str">
        <f aca="false">'🎯 Command Center'!C132</f>
        <v/>
      </c>
      <c r="D25" s="121"/>
      <c r="E25" s="262"/>
      <c r="F25" s="263" t="n">
        <f aca="false">'🎯 Command Center'!H132</f>
        <v>0</v>
      </c>
      <c r="G25" s="262"/>
      <c r="H25" s="121"/>
      <c r="I25" s="262"/>
    </row>
    <row r="26" customFormat="false" ht="18" hidden="false" customHeight="true" outlineLevel="0" collapsed="false">
      <c r="B26" s="117"/>
      <c r="C26" s="258" t="str">
        <f aca="false">'🎯 Command Center'!C133</f>
        <v/>
      </c>
      <c r="D26" s="118"/>
      <c r="E26" s="259"/>
      <c r="F26" s="260" t="n">
        <f aca="false">'🎯 Command Center'!H133</f>
        <v>0</v>
      </c>
      <c r="G26" s="259"/>
      <c r="H26" s="118"/>
      <c r="I26" s="259"/>
    </row>
    <row r="27" customFormat="false" ht="18" hidden="false" customHeight="true" outlineLevel="0" collapsed="false">
      <c r="B27" s="120"/>
      <c r="C27" s="261" t="str">
        <f aca="false">'🎯 Command Center'!C134</f>
        <v/>
      </c>
      <c r="D27" s="121"/>
      <c r="E27" s="262"/>
      <c r="F27" s="263" t="n">
        <f aca="false">'🎯 Command Center'!H134</f>
        <v>0</v>
      </c>
      <c r="G27" s="262"/>
      <c r="H27" s="121"/>
      <c r="I27" s="262"/>
    </row>
    <row r="28" customFormat="false" ht="18" hidden="false" customHeight="true" outlineLevel="0" collapsed="false">
      <c r="B28" s="117"/>
      <c r="C28" s="258" t="str">
        <f aca="false">'🎯 Command Center'!C135</f>
        <v/>
      </c>
      <c r="D28" s="118"/>
      <c r="E28" s="259"/>
      <c r="F28" s="260" t="n">
        <f aca="false">'🎯 Command Center'!H135</f>
        <v>0</v>
      </c>
      <c r="G28" s="259"/>
      <c r="H28" s="118"/>
      <c r="I28" s="259"/>
    </row>
    <row r="29" customFormat="false" ht="18" hidden="false" customHeight="true" outlineLevel="0" collapsed="false">
      <c r="B29" s="120"/>
      <c r="C29" s="261" t="str">
        <f aca="false">'🎯 Command Center'!C136</f>
        <v/>
      </c>
      <c r="D29" s="121"/>
      <c r="E29" s="262"/>
      <c r="F29" s="263" t="n">
        <f aca="false">'🎯 Command Center'!H136</f>
        <v>0</v>
      </c>
      <c r="G29" s="262"/>
      <c r="H29" s="121"/>
      <c r="I29" s="262"/>
    </row>
    <row r="30" customFormat="false" ht="18" hidden="false" customHeight="true" outlineLevel="0" collapsed="false">
      <c r="B30" s="117"/>
      <c r="C30" s="258" t="str">
        <f aca="false">'🎯 Command Center'!C137</f>
        <v/>
      </c>
      <c r="D30" s="118"/>
      <c r="E30" s="259"/>
      <c r="F30" s="260" t="n">
        <f aca="false">'🎯 Command Center'!H137</f>
        <v>0</v>
      </c>
      <c r="G30" s="259"/>
      <c r="H30" s="118"/>
      <c r="I30" s="259"/>
    </row>
    <row r="31" customFormat="false" ht="18" hidden="false" customHeight="true" outlineLevel="0" collapsed="false">
      <c r="B31" s="120"/>
      <c r="C31" s="261" t="str">
        <f aca="false">'🎯 Command Center'!C138</f>
        <v/>
      </c>
      <c r="D31" s="121"/>
      <c r="E31" s="262"/>
      <c r="F31" s="263" t="n">
        <f aca="false">'🎯 Command Center'!H138</f>
        <v>0</v>
      </c>
      <c r="G31" s="262"/>
      <c r="H31" s="121"/>
      <c r="I31" s="262"/>
    </row>
    <row r="32" customFormat="false" ht="18" hidden="false" customHeight="true" outlineLevel="0" collapsed="false">
      <c r="B32" s="117"/>
      <c r="C32" s="258" t="str">
        <f aca="false">'🎯 Command Center'!C139</f>
        <v/>
      </c>
      <c r="D32" s="118"/>
      <c r="E32" s="259"/>
      <c r="F32" s="260" t="n">
        <f aca="false">'🎯 Command Center'!H139</f>
        <v>0</v>
      </c>
      <c r="G32" s="259"/>
      <c r="H32" s="118"/>
      <c r="I32" s="259"/>
    </row>
    <row r="33" customFormat="false" ht="18" hidden="false" customHeight="true" outlineLevel="0" collapsed="false">
      <c r="B33" s="120"/>
      <c r="C33" s="261" t="str">
        <f aca="false">'🎯 Command Center'!C140</f>
        <v/>
      </c>
      <c r="D33" s="121"/>
      <c r="E33" s="262"/>
      <c r="F33" s="263" t="n">
        <f aca="false">'🎯 Command Center'!H140</f>
        <v>0</v>
      </c>
      <c r="G33" s="262"/>
      <c r="H33" s="121"/>
      <c r="I33" s="262"/>
    </row>
    <row r="34" customFormat="false" ht="18" hidden="false" customHeight="true" outlineLevel="0" collapsed="false">
      <c r="B34" s="117"/>
      <c r="C34" s="258" t="str">
        <f aca="false">'🎯 Command Center'!C141</f>
        <v/>
      </c>
      <c r="D34" s="118"/>
      <c r="E34" s="259"/>
      <c r="F34" s="260" t="n">
        <f aca="false">'🎯 Command Center'!H141</f>
        <v>0</v>
      </c>
      <c r="G34" s="259"/>
      <c r="H34" s="118"/>
      <c r="I34" s="259"/>
    </row>
    <row r="35" customFormat="false" ht="18" hidden="false" customHeight="true" outlineLevel="0" collapsed="false">
      <c r="B35" s="120"/>
      <c r="C35" s="261" t="str">
        <f aca="false">'🎯 Command Center'!C142</f>
        <v/>
      </c>
      <c r="D35" s="121"/>
      <c r="E35" s="262"/>
      <c r="F35" s="263" t="n">
        <f aca="false">'🎯 Command Center'!H142</f>
        <v>0</v>
      </c>
      <c r="G35" s="262"/>
      <c r="H35" s="121"/>
      <c r="I35" s="262"/>
    </row>
    <row r="36" customFormat="false" ht="18" hidden="false" customHeight="true" outlineLevel="0" collapsed="false">
      <c r="B36" s="117"/>
      <c r="C36" s="258" t="str">
        <f aca="false">'🎯 Command Center'!C143</f>
        <v/>
      </c>
      <c r="D36" s="118"/>
      <c r="E36" s="259"/>
      <c r="F36" s="260" t="n">
        <f aca="false">'🎯 Command Center'!H143</f>
        <v>0</v>
      </c>
      <c r="G36" s="259"/>
      <c r="H36" s="118"/>
      <c r="I36" s="259"/>
    </row>
    <row r="37" customFormat="false" ht="18" hidden="false" customHeight="true" outlineLevel="0" collapsed="false">
      <c r="B37" s="120"/>
      <c r="C37" s="261" t="str">
        <f aca="false">'🎯 Command Center'!C144</f>
        <v/>
      </c>
      <c r="D37" s="121"/>
      <c r="E37" s="262"/>
      <c r="F37" s="263" t="n">
        <f aca="false">'🎯 Command Center'!H144</f>
        <v>0</v>
      </c>
      <c r="G37" s="262"/>
      <c r="H37" s="121"/>
      <c r="I37" s="262"/>
    </row>
    <row r="38" customFormat="false" ht="18" hidden="false" customHeight="true" outlineLevel="0" collapsed="false">
      <c r="B38" s="117"/>
      <c r="C38" s="258" t="str">
        <f aca="false">'🎯 Command Center'!C145</f>
        <v/>
      </c>
      <c r="D38" s="118"/>
      <c r="E38" s="259"/>
      <c r="F38" s="260" t="n">
        <f aca="false">'🎯 Command Center'!H145</f>
        <v>0</v>
      </c>
      <c r="G38" s="259"/>
      <c r="H38" s="118"/>
      <c r="I38" s="259"/>
    </row>
    <row r="39" customFormat="false" ht="18" hidden="false" customHeight="true" outlineLevel="0" collapsed="false">
      <c r="B39" s="120"/>
      <c r="C39" s="261" t="str">
        <f aca="false">'🎯 Command Center'!C146</f>
        <v/>
      </c>
      <c r="D39" s="121"/>
      <c r="E39" s="262"/>
      <c r="F39" s="263" t="n">
        <f aca="false">'🎯 Command Center'!H146</f>
        <v>0</v>
      </c>
      <c r="G39" s="262"/>
      <c r="H39" s="121"/>
      <c r="I39" s="262"/>
    </row>
    <row r="40" customFormat="false" ht="18" hidden="false" customHeight="true" outlineLevel="0" collapsed="false">
      <c r="B40" s="117"/>
      <c r="C40" s="258" t="str">
        <f aca="false">'🎯 Command Center'!C147</f>
        <v/>
      </c>
      <c r="D40" s="118"/>
      <c r="E40" s="259"/>
      <c r="F40" s="260" t="n">
        <f aca="false">'🎯 Command Center'!H147</f>
        <v>0</v>
      </c>
      <c r="G40" s="259"/>
      <c r="H40" s="118"/>
      <c r="I40" s="259"/>
    </row>
    <row r="41" customFormat="false" ht="18" hidden="false" customHeight="true" outlineLevel="0" collapsed="false">
      <c r="B41" s="120"/>
      <c r="C41" s="261" t="str">
        <f aca="false">'🎯 Command Center'!C148</f>
        <v/>
      </c>
      <c r="D41" s="121"/>
      <c r="E41" s="262"/>
      <c r="F41" s="263" t="n">
        <f aca="false">'🎯 Command Center'!H148</f>
        <v>0</v>
      </c>
      <c r="G41" s="262"/>
      <c r="H41" s="121"/>
      <c r="I41" s="262"/>
    </row>
    <row r="42" customFormat="false" ht="18" hidden="false" customHeight="true" outlineLevel="0" collapsed="false">
      <c r="B42" s="117"/>
      <c r="C42" s="258" t="str">
        <f aca="false">'🎯 Command Center'!C149</f>
        <v/>
      </c>
      <c r="D42" s="118"/>
      <c r="E42" s="259"/>
      <c r="F42" s="260" t="n">
        <f aca="false">'🎯 Command Center'!H149</f>
        <v>0</v>
      </c>
      <c r="G42" s="259"/>
      <c r="H42" s="118"/>
      <c r="I42" s="259"/>
    </row>
    <row r="43" customFormat="false" ht="18" hidden="false" customHeight="true" outlineLevel="0" collapsed="false">
      <c r="B43" s="120"/>
      <c r="C43" s="261" t="str">
        <f aca="false">'🎯 Command Center'!C150</f>
        <v/>
      </c>
      <c r="D43" s="121"/>
      <c r="E43" s="262"/>
      <c r="F43" s="263" t="n">
        <f aca="false">'🎯 Command Center'!H150</f>
        <v>0</v>
      </c>
      <c r="G43" s="262"/>
      <c r="H43" s="121"/>
      <c r="I43" s="262"/>
    </row>
    <row r="44" customFormat="false" ht="18" hidden="false" customHeight="true" outlineLevel="0" collapsed="false">
      <c r="B44" s="117"/>
      <c r="C44" s="258" t="str">
        <f aca="false">'🎯 Command Center'!C151</f>
        <v/>
      </c>
      <c r="D44" s="118"/>
      <c r="E44" s="259"/>
      <c r="F44" s="260" t="n">
        <f aca="false">'🎯 Command Center'!H151</f>
        <v>0</v>
      </c>
      <c r="G44" s="259"/>
      <c r="H44" s="118"/>
      <c r="I44" s="259"/>
    </row>
    <row r="45" customFormat="false" ht="18" hidden="false" customHeight="true" outlineLevel="0" collapsed="false">
      <c r="B45" s="120"/>
      <c r="C45" s="261" t="str">
        <f aca="false">'🎯 Command Center'!C152</f>
        <v/>
      </c>
      <c r="D45" s="121"/>
      <c r="E45" s="262"/>
      <c r="F45" s="263" t="n">
        <f aca="false">'🎯 Command Center'!H152</f>
        <v>0</v>
      </c>
      <c r="G45" s="262"/>
      <c r="H45" s="121"/>
      <c r="I45" s="262"/>
    </row>
    <row r="46" customFormat="false" ht="18" hidden="false" customHeight="true" outlineLevel="0" collapsed="false">
      <c r="B46" s="117"/>
      <c r="C46" s="258" t="str">
        <f aca="false">'🎯 Command Center'!C153</f>
        <v/>
      </c>
      <c r="D46" s="118"/>
      <c r="E46" s="259"/>
      <c r="F46" s="260" t="n">
        <f aca="false">'🎯 Command Center'!H153</f>
        <v>0</v>
      </c>
      <c r="G46" s="259"/>
      <c r="H46" s="118"/>
      <c r="I46" s="259"/>
    </row>
    <row r="47" customFormat="false" ht="18" hidden="false" customHeight="true" outlineLevel="0" collapsed="false">
      <c r="B47" s="120"/>
      <c r="C47" s="261" t="str">
        <f aca="false">'🎯 Command Center'!C154</f>
        <v/>
      </c>
      <c r="D47" s="121"/>
      <c r="E47" s="262"/>
      <c r="F47" s="263" t="n">
        <f aca="false">'🎯 Command Center'!H154</f>
        <v>0</v>
      </c>
      <c r="G47" s="262"/>
      <c r="H47" s="121"/>
      <c r="I47" s="262"/>
    </row>
    <row r="48" customFormat="false" ht="18" hidden="false" customHeight="true" outlineLevel="0" collapsed="false">
      <c r="B48" s="117"/>
      <c r="C48" s="258" t="str">
        <f aca="false">'🎯 Command Center'!C155</f>
        <v/>
      </c>
      <c r="D48" s="118"/>
      <c r="E48" s="259"/>
      <c r="F48" s="260" t="n">
        <f aca="false">'🎯 Command Center'!H155</f>
        <v>0</v>
      </c>
      <c r="G48" s="259"/>
      <c r="H48" s="118"/>
      <c r="I48" s="259"/>
    </row>
    <row r="49" customFormat="false" ht="18" hidden="false" customHeight="true" outlineLevel="0" collapsed="false">
      <c r="B49" s="120"/>
      <c r="C49" s="261" t="str">
        <f aca="false">'🎯 Command Center'!C156</f>
        <v/>
      </c>
      <c r="D49" s="121"/>
      <c r="E49" s="262"/>
      <c r="F49" s="263" t="n">
        <f aca="false">'🎯 Command Center'!H156</f>
        <v>0</v>
      </c>
      <c r="G49" s="262"/>
      <c r="H49" s="121"/>
      <c r="I49" s="262"/>
    </row>
    <row r="50" customFormat="false" ht="18" hidden="false" customHeight="true" outlineLevel="0" collapsed="false">
      <c r="B50" s="117"/>
      <c r="C50" s="258" t="str">
        <f aca="false">'🎯 Command Center'!C157</f>
        <v/>
      </c>
      <c r="D50" s="118"/>
      <c r="E50" s="259"/>
      <c r="F50" s="260" t="n">
        <f aca="false">'🎯 Command Center'!H157</f>
        <v>0</v>
      </c>
      <c r="G50" s="259"/>
      <c r="H50" s="118"/>
      <c r="I50" s="259"/>
    </row>
    <row r="51" customFormat="false" ht="18" hidden="false" customHeight="true" outlineLevel="0" collapsed="false">
      <c r="B51" s="120"/>
      <c r="C51" s="261" t="str">
        <f aca="false">'🎯 Command Center'!C158</f>
        <v/>
      </c>
      <c r="D51" s="121"/>
      <c r="E51" s="262"/>
      <c r="F51" s="263" t="n">
        <f aca="false">'🎯 Command Center'!H158</f>
        <v>0</v>
      </c>
      <c r="G51" s="262"/>
      <c r="H51" s="121"/>
      <c r="I51" s="262"/>
    </row>
    <row r="52" customFormat="false" ht="18" hidden="false" customHeight="true" outlineLevel="0" collapsed="false">
      <c r="B52" s="117"/>
      <c r="C52" s="258" t="str">
        <f aca="false">'🎯 Command Center'!C159</f>
        <v/>
      </c>
      <c r="D52" s="118"/>
      <c r="E52" s="259"/>
      <c r="F52" s="260" t="n">
        <f aca="false">'🎯 Command Center'!H159</f>
        <v>0</v>
      </c>
      <c r="G52" s="259"/>
      <c r="H52" s="118"/>
      <c r="I52" s="259"/>
    </row>
    <row r="53" customFormat="false" ht="18" hidden="false" customHeight="true" outlineLevel="0" collapsed="false">
      <c r="B53" s="120"/>
      <c r="C53" s="261" t="str">
        <f aca="false">'🎯 Command Center'!C160</f>
        <v/>
      </c>
      <c r="D53" s="121"/>
      <c r="E53" s="262"/>
      <c r="F53" s="263" t="n">
        <f aca="false">'🎯 Command Center'!H160</f>
        <v>0</v>
      </c>
      <c r="G53" s="262"/>
      <c r="H53" s="121"/>
      <c r="I53" s="262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G4:G53" type="list">
      <formula1>"Low energy today,Office overtime,Topic moved earlier,Swapping with next week,Confidence too low,Want more time on prev topic,Other"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83747"/>
    <pageSetUpPr fitToPage="false"/>
  </sheetPr>
  <dimension ref="A1:R3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6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8" min="6" style="0" width="7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2" min="11" style="0" width="10"/>
    <col collapsed="false" customWidth="true" hidden="false" outlineLevel="0" max="13" min="13" style="0" width="8"/>
    <col collapsed="false" customWidth="true" hidden="false" outlineLevel="0" max="15" min="14" style="0" width="14"/>
    <col collapsed="false" customWidth="true" hidden="false" outlineLevel="0" max="16" min="16" style="0" width="16"/>
    <col collapsed="false" customWidth="true" hidden="false" outlineLevel="0" max="17" min="17" style="0" width="28"/>
    <col collapsed="false" customWidth="true" hidden="false" outlineLevel="0" max="18" min="18" style="0" width="14"/>
  </cols>
  <sheetData>
    <row r="1" customFormat="false" ht="19.5" hidden="false" customHeight="true" outlineLevel="0" collapsed="false">
      <c r="A1" s="228" t="s">
        <v>599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</row>
    <row r="2" customFormat="false" ht="12.75" hidden="false" customHeight="true" outlineLevel="0" collapsed="false">
      <c r="A2" s="168" t="s">
        <v>600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</row>
    <row r="3" customFormat="false" ht="24" hidden="false" customHeight="true" outlineLevel="0" collapsed="false">
      <c r="A3" s="170" t="s">
        <v>601</v>
      </c>
      <c r="B3" s="170" t="s">
        <v>602</v>
      </c>
      <c r="C3" s="170" t="s">
        <v>603</v>
      </c>
      <c r="D3" s="170" t="s">
        <v>559</v>
      </c>
      <c r="E3" s="170" t="s">
        <v>216</v>
      </c>
      <c r="F3" s="170" t="s">
        <v>604</v>
      </c>
      <c r="G3" s="170" t="s">
        <v>605</v>
      </c>
      <c r="H3" s="170" t="s">
        <v>606</v>
      </c>
      <c r="I3" s="170" t="s">
        <v>607</v>
      </c>
      <c r="J3" s="170" t="s">
        <v>42</v>
      </c>
      <c r="K3" s="170" t="s">
        <v>608</v>
      </c>
      <c r="L3" s="170" t="s">
        <v>609</v>
      </c>
      <c r="M3" s="170" t="s">
        <v>610</v>
      </c>
      <c r="N3" s="170" t="s">
        <v>611</v>
      </c>
      <c r="O3" s="170" t="s">
        <v>612</v>
      </c>
      <c r="P3" s="170" t="s">
        <v>613</v>
      </c>
      <c r="Q3" s="170" t="s">
        <v>52</v>
      </c>
      <c r="R3" s="170" t="s">
        <v>614</v>
      </c>
    </row>
    <row r="4" customFormat="false" ht="15.75" hidden="false" customHeight="true" outlineLevel="0" collapsed="false">
      <c r="A4" s="264" t="n">
        <v>1</v>
      </c>
      <c r="B4" s="264" t="s">
        <v>615</v>
      </c>
      <c r="C4" s="265" t="n">
        <v>1</v>
      </c>
      <c r="D4" s="266" t="s">
        <v>616</v>
      </c>
      <c r="E4" s="175" t="s">
        <v>226</v>
      </c>
      <c r="F4" s="39" t="n">
        <v>0.5</v>
      </c>
      <c r="G4" s="40" t="n">
        <v>1</v>
      </c>
      <c r="H4" s="41" t="n">
        <v>1.5</v>
      </c>
      <c r="I4" s="267" t="n">
        <v>9</v>
      </c>
      <c r="J4" s="36" t="s">
        <v>617</v>
      </c>
      <c r="K4" s="268" t="n">
        <v>4</v>
      </c>
      <c r="L4" s="268" t="n">
        <v>1</v>
      </c>
      <c r="M4" s="188" t="s">
        <v>618</v>
      </c>
      <c r="N4" s="265" t="str">
        <f aca="false">IFERROR(IF(COUNTIF('📝 Daily Log'!$E$3:$E$600,D4)&gt;0,IF(COUNTIFS('📝 Daily Log'!$E$3:$E$600,D4,'📝 Daily Log'!$G$3:$G$600,"✅ Done")&gt;0,"✅ Done",IF(COUNTIFS('📝 Daily Log'!$E$3:$E$600,D4,'📝 Daily Log'!$G$3:$G$600,"🔄 Partial")&gt;0,"🔄 Partial","⬜ Pending")),"⬜ Pending"),"⬜ Pending")</f>
        <v>⬜ Pending</v>
      </c>
      <c r="O4" s="269"/>
      <c r="P4" s="265" t="str">
        <f aca="false">IF(O4&lt;&gt;"",O4,N4)</f>
        <v>⬜ Pending</v>
      </c>
      <c r="Q4" s="270" t="s">
        <v>619</v>
      </c>
      <c r="R4" s="271" t="str">
        <f aca="false">IF(COUNTIF('📆 Daily Schedule'!$M$5:$M$427,D4)&gt;0,"⚡ In Swap","✅ Available")</f>
        <v>✅ Available</v>
      </c>
    </row>
    <row r="5" customFormat="false" ht="15.75" hidden="false" customHeight="true" outlineLevel="0" collapsed="false">
      <c r="A5" s="264" t="n">
        <v>2</v>
      </c>
      <c r="B5" s="264" t="s">
        <v>615</v>
      </c>
      <c r="C5" s="76" t="n">
        <v>2</v>
      </c>
      <c r="D5" s="37" t="s">
        <v>620</v>
      </c>
      <c r="E5" s="175" t="s">
        <v>226</v>
      </c>
      <c r="F5" s="39" t="n">
        <v>0.5</v>
      </c>
      <c r="G5" s="40" t="n">
        <v>1</v>
      </c>
      <c r="H5" s="41" t="n">
        <v>1.5</v>
      </c>
      <c r="I5" s="272" t="n">
        <v>10</v>
      </c>
      <c r="J5" s="36" t="s">
        <v>617</v>
      </c>
      <c r="K5" s="273" t="n">
        <v>4</v>
      </c>
      <c r="L5" s="273" t="n">
        <v>2</v>
      </c>
      <c r="M5" s="188" t="s">
        <v>618</v>
      </c>
      <c r="N5" s="76" t="str">
        <f aca="false">IFERROR(IF(COUNTIF('📝 Daily Log'!$E$3:$E$600,D5)&gt;0,IF(COUNTIFS('📝 Daily Log'!$E$3:$E$600,D5,'📝 Daily Log'!$G$3:$G$600,"✅ Done")&gt;0,"✅ Done",IF(COUNTIFS('📝 Daily Log'!$E$3:$E$600,D5,'📝 Daily Log'!$G$3:$G$600,"🔄 Partial")&gt;0,"🔄 Partial","⬜ Pending")),"⬜ Pending"),"⬜ Pending")</f>
        <v>⬜ Pending</v>
      </c>
      <c r="O5" s="269"/>
      <c r="P5" s="76" t="str">
        <f aca="false">IF(O5&lt;&gt;"",O5,N5)</f>
        <v>⬜ Pending</v>
      </c>
      <c r="Q5" s="270" t="s">
        <v>621</v>
      </c>
      <c r="R5" s="271" t="str">
        <f aca="false">IF(COUNTIF('📆 Daily Schedule'!$M$5:$M$427,D5)&gt;0,"⚡ In Swap","✅ Available")</f>
        <v>✅ Available</v>
      </c>
    </row>
    <row r="6" customFormat="false" ht="15.75" hidden="false" customHeight="true" outlineLevel="0" collapsed="false">
      <c r="A6" s="264" t="n">
        <v>3</v>
      </c>
      <c r="B6" s="264" t="s">
        <v>615</v>
      </c>
      <c r="C6" s="265" t="n">
        <v>3</v>
      </c>
      <c r="D6" s="266" t="s">
        <v>622</v>
      </c>
      <c r="E6" s="175" t="s">
        <v>226</v>
      </c>
      <c r="F6" s="39" t="n">
        <v>0.5</v>
      </c>
      <c r="G6" s="40" t="n">
        <v>1</v>
      </c>
      <c r="H6" s="41" t="n">
        <v>1.5</v>
      </c>
      <c r="I6" s="267" t="n">
        <v>13</v>
      </c>
      <c r="J6" s="274" t="s">
        <v>623</v>
      </c>
      <c r="K6" s="268" t="n">
        <v>5</v>
      </c>
      <c r="L6" s="268" t="n">
        <v>3</v>
      </c>
      <c r="M6" s="188" t="s">
        <v>618</v>
      </c>
      <c r="N6" s="265" t="str">
        <f aca="false">IFERROR(IF(COUNTIF('📝 Daily Log'!$E$3:$E$600,D6)&gt;0,IF(COUNTIFS('📝 Daily Log'!$E$3:$E$600,D6,'📝 Daily Log'!$G$3:$G$600,"✅ Done")&gt;0,"✅ Done",IF(COUNTIFS('📝 Daily Log'!$E$3:$E$600,D6,'📝 Daily Log'!$G$3:$G$600,"🔄 Partial")&gt;0,"🔄 Partial","⬜ Pending")),"⬜ Pending"),"⬜ Pending")</f>
        <v>⬜ Pending</v>
      </c>
      <c r="O6" s="269"/>
      <c r="P6" s="265" t="str">
        <f aca="false">IF(O6&lt;&gt;"",O6,N6)</f>
        <v>⬜ Pending</v>
      </c>
      <c r="Q6" s="270" t="s">
        <v>624</v>
      </c>
      <c r="R6" s="271" t="str">
        <f aca="false">IF(COUNTIF('📆 Daily Schedule'!$M$5:$M$427,D6)&gt;0,"⚡ In Swap","✅ Available")</f>
        <v>✅ Available</v>
      </c>
    </row>
    <row r="7" customFormat="false" ht="15.75" hidden="false" customHeight="true" outlineLevel="0" collapsed="false">
      <c r="A7" s="264" t="n">
        <v>4</v>
      </c>
      <c r="B7" s="264" t="s">
        <v>615</v>
      </c>
      <c r="C7" s="76" t="n">
        <v>4</v>
      </c>
      <c r="D7" s="37" t="s">
        <v>625</v>
      </c>
      <c r="E7" s="175" t="s">
        <v>226</v>
      </c>
      <c r="F7" s="39" t="n">
        <v>0.5</v>
      </c>
      <c r="G7" s="40" t="n">
        <v>1</v>
      </c>
      <c r="H7" s="41" t="n">
        <v>1.5</v>
      </c>
      <c r="I7" s="272" t="n">
        <v>7</v>
      </c>
      <c r="J7" s="183" t="s">
        <v>626</v>
      </c>
      <c r="K7" s="273" t="n">
        <v>3</v>
      </c>
      <c r="L7" s="273" t="n">
        <v>1</v>
      </c>
      <c r="M7" s="188" t="s">
        <v>618</v>
      </c>
      <c r="N7" s="76" t="str">
        <f aca="false">IFERROR(IF(COUNTIF('📝 Daily Log'!$E$3:$E$600,D7)&gt;0,IF(COUNTIFS('📝 Daily Log'!$E$3:$E$600,D7,'📝 Daily Log'!$G$3:$G$600,"✅ Done")&gt;0,"✅ Done",IF(COUNTIFS('📝 Daily Log'!$E$3:$E$600,D7,'📝 Daily Log'!$G$3:$G$600,"🔄 Partial")&gt;0,"🔄 Partial","⬜ Pending")),"⬜ Pending"),"⬜ Pending")</f>
        <v>⬜ Pending</v>
      </c>
      <c r="O7" s="269"/>
      <c r="P7" s="76" t="str">
        <f aca="false">IF(O7&lt;&gt;"",O7,N7)</f>
        <v>⬜ Pending</v>
      </c>
      <c r="Q7" s="270" t="s">
        <v>627</v>
      </c>
      <c r="R7" s="271" t="str">
        <f aca="false">IF(COUNTIF('📆 Daily Schedule'!$M$5:$M$427,D7)&gt;0,"⚡ In Swap","✅ Available")</f>
        <v>✅ Available</v>
      </c>
    </row>
    <row r="8" customFormat="false" ht="15.75" hidden="false" customHeight="true" outlineLevel="0" collapsed="false">
      <c r="A8" s="264" t="n">
        <v>5</v>
      </c>
      <c r="B8" s="264" t="s">
        <v>615</v>
      </c>
      <c r="C8" s="265" t="n">
        <v>5</v>
      </c>
      <c r="D8" s="266" t="s">
        <v>628</v>
      </c>
      <c r="E8" s="175" t="s">
        <v>226</v>
      </c>
      <c r="F8" s="39" t="n">
        <v>0.3</v>
      </c>
      <c r="G8" s="40" t="n">
        <v>0.5</v>
      </c>
      <c r="H8" s="41" t="n">
        <v>0.75</v>
      </c>
      <c r="I8" s="267" t="n">
        <v>12</v>
      </c>
      <c r="J8" s="274" t="s">
        <v>623</v>
      </c>
      <c r="K8" s="268" t="n">
        <v>5</v>
      </c>
      <c r="L8" s="268" t="n">
        <v>2</v>
      </c>
      <c r="M8" s="188" t="s">
        <v>618</v>
      </c>
      <c r="N8" s="265" t="str">
        <f aca="false">IFERROR(IF(COUNTIF('📝 Daily Log'!$E$3:$E$600,D8)&gt;0,IF(COUNTIFS('📝 Daily Log'!$E$3:$E$600,D8,'📝 Daily Log'!$G$3:$G$600,"✅ Done")&gt;0,"✅ Done",IF(COUNTIFS('📝 Daily Log'!$E$3:$E$600,D8,'📝 Daily Log'!$G$3:$G$600,"🔄 Partial")&gt;0,"🔄 Partial","⬜ Pending")),"⬜ Pending"),"⬜ Pending")</f>
        <v>⬜ Pending</v>
      </c>
      <c r="O8" s="269"/>
      <c r="P8" s="265" t="str">
        <f aca="false">IF(O8&lt;&gt;"",O8,N8)</f>
        <v>⬜ Pending</v>
      </c>
      <c r="Q8" s="270" t="s">
        <v>629</v>
      </c>
      <c r="R8" s="271" t="str">
        <f aca="false">IF(COUNTIF('📆 Daily Schedule'!$M$5:$M$427,D8)&gt;0,"⚡ In Swap","✅ Available")</f>
        <v>✅ Available</v>
      </c>
    </row>
    <row r="9" customFormat="false" ht="15.75" hidden="false" customHeight="true" outlineLevel="0" collapsed="false">
      <c r="A9" s="264" t="n">
        <v>6</v>
      </c>
      <c r="B9" s="264" t="s">
        <v>615</v>
      </c>
      <c r="C9" s="76" t="n">
        <v>6</v>
      </c>
      <c r="D9" s="37" t="s">
        <v>630</v>
      </c>
      <c r="E9" s="175" t="s">
        <v>226</v>
      </c>
      <c r="F9" s="39" t="n">
        <v>1</v>
      </c>
      <c r="G9" s="40" t="n">
        <v>2</v>
      </c>
      <c r="H9" s="41" t="n">
        <v>3</v>
      </c>
      <c r="I9" s="272" t="n">
        <v>9</v>
      </c>
      <c r="J9" s="36" t="s">
        <v>617</v>
      </c>
      <c r="K9" s="273" t="n">
        <v>4</v>
      </c>
      <c r="L9" s="273" t="n">
        <v>1</v>
      </c>
      <c r="M9" s="188" t="s">
        <v>618</v>
      </c>
      <c r="N9" s="76" t="str">
        <f aca="false">IFERROR(IF(COUNTIF('📝 Daily Log'!$E$3:$E$600,D9)&gt;0,IF(COUNTIFS('📝 Daily Log'!$E$3:$E$600,D9,'📝 Daily Log'!$G$3:$G$600,"✅ Done")&gt;0,"✅ Done",IF(COUNTIFS('📝 Daily Log'!$E$3:$E$600,D9,'📝 Daily Log'!$G$3:$G$600,"🔄 Partial")&gt;0,"🔄 Partial","⬜ Pending")),"⬜ Pending"),"⬜ Pending")</f>
        <v>⬜ Pending</v>
      </c>
      <c r="O9" s="269"/>
      <c r="P9" s="76" t="str">
        <f aca="false">IF(O9&lt;&gt;"",O9,N9)</f>
        <v>⬜ Pending</v>
      </c>
      <c r="Q9" s="270" t="s">
        <v>631</v>
      </c>
      <c r="R9" s="271" t="str">
        <f aca="false">IF(COUNTIF('📆 Daily Schedule'!$M$5:$M$427,D9)&gt;0,"⚡ In Swap","✅ Available")</f>
        <v>✅ Available</v>
      </c>
    </row>
    <row r="10" customFormat="false" ht="15.75" hidden="false" customHeight="true" outlineLevel="0" collapsed="false">
      <c r="A10" s="264" t="n">
        <v>7</v>
      </c>
      <c r="B10" s="264" t="s">
        <v>615</v>
      </c>
      <c r="C10" s="265" t="n">
        <v>7</v>
      </c>
      <c r="D10" s="266" t="s">
        <v>632</v>
      </c>
      <c r="E10" s="175" t="s">
        <v>226</v>
      </c>
      <c r="F10" s="39" t="n">
        <v>1.5</v>
      </c>
      <c r="G10" s="40" t="n">
        <v>3</v>
      </c>
      <c r="H10" s="41" t="n">
        <v>4</v>
      </c>
      <c r="I10" s="267" t="n">
        <v>9</v>
      </c>
      <c r="J10" s="36" t="s">
        <v>617</v>
      </c>
      <c r="K10" s="268" t="n">
        <v>4</v>
      </c>
      <c r="L10" s="268" t="n">
        <v>1</v>
      </c>
      <c r="M10" s="188" t="s">
        <v>618</v>
      </c>
      <c r="N10" s="265" t="str">
        <f aca="false">IFERROR(IF(COUNTIF('📝 Daily Log'!$E$3:$E$600,D10)&gt;0,IF(COUNTIFS('📝 Daily Log'!$E$3:$E$600,D10,'📝 Daily Log'!$G$3:$G$600,"✅ Done")&gt;0,"✅ Done",IF(COUNTIFS('📝 Daily Log'!$E$3:$E$600,D10,'📝 Daily Log'!$G$3:$G$600,"🔄 Partial")&gt;0,"🔄 Partial","⬜ Pending")),"⬜ Pending"),"⬜ Pending")</f>
        <v>⬜ Pending</v>
      </c>
      <c r="O10" s="269"/>
      <c r="P10" s="265" t="str">
        <f aca="false">IF(O10&lt;&gt;"",O10,N10)</f>
        <v>⬜ Pending</v>
      </c>
      <c r="Q10" s="270" t="s">
        <v>633</v>
      </c>
      <c r="R10" s="271" t="str">
        <f aca="false">IF(COUNTIF('📆 Daily Schedule'!$M$5:$M$427,D10)&gt;0,"⚡ In Swap","✅ Available")</f>
        <v>✅ Available</v>
      </c>
    </row>
    <row r="11" customFormat="false" ht="15.75" hidden="false" customHeight="true" outlineLevel="0" collapsed="false">
      <c r="A11" s="54" t="n">
        <v>8</v>
      </c>
      <c r="B11" s="54" t="s">
        <v>634</v>
      </c>
      <c r="C11" s="76" t="n">
        <v>8</v>
      </c>
      <c r="D11" s="37" t="s">
        <v>635</v>
      </c>
      <c r="E11" s="182" t="s">
        <v>246</v>
      </c>
      <c r="F11" s="39" t="n">
        <v>0.5</v>
      </c>
      <c r="G11" s="40" t="n">
        <v>1</v>
      </c>
      <c r="H11" s="41" t="n">
        <v>1.5</v>
      </c>
      <c r="I11" s="272" t="n">
        <v>12</v>
      </c>
      <c r="J11" s="274" t="s">
        <v>623</v>
      </c>
      <c r="K11" s="273" t="n">
        <v>5</v>
      </c>
      <c r="L11" s="273" t="n">
        <v>2</v>
      </c>
      <c r="M11" s="182" t="s">
        <v>636</v>
      </c>
      <c r="N11" s="76" t="str">
        <f aca="false">IFERROR(IF(COUNTIF('📝 Daily Log'!$E$3:$E$600,D11)&gt;0,IF(COUNTIFS('📝 Daily Log'!$E$3:$E$600,D11,'📝 Daily Log'!$G$3:$G$600,"✅ Done")&gt;0,"✅ Done",IF(COUNTIFS('📝 Daily Log'!$E$3:$E$600,D11,'📝 Daily Log'!$G$3:$G$600,"🔄 Partial")&gt;0,"🔄 Partial","⬜ Pending")),"⬜ Pending"),"⬜ Pending")</f>
        <v>⬜ Pending</v>
      </c>
      <c r="O11" s="269"/>
      <c r="P11" s="76" t="str">
        <f aca="false">IF(O11&lt;&gt;"",O11,N11)</f>
        <v>⬜ Pending</v>
      </c>
      <c r="Q11" s="270" t="s">
        <v>637</v>
      </c>
      <c r="R11" s="271" t="str">
        <f aca="false">IF(COUNTIF('📆 Daily Schedule'!$M$5:$M$427,D11)&gt;0,"⚡ In Swap","✅ Available")</f>
        <v>✅ Available</v>
      </c>
    </row>
    <row r="12" customFormat="false" ht="15.75" hidden="false" customHeight="true" outlineLevel="0" collapsed="false">
      <c r="A12" s="54" t="n">
        <v>9</v>
      </c>
      <c r="B12" s="54" t="s">
        <v>634</v>
      </c>
      <c r="C12" s="275" t="n">
        <v>9</v>
      </c>
      <c r="D12" s="276" t="s">
        <v>638</v>
      </c>
      <c r="E12" s="182" t="s">
        <v>246</v>
      </c>
      <c r="F12" s="39" t="n">
        <v>0.5</v>
      </c>
      <c r="G12" s="40" t="n">
        <v>1</v>
      </c>
      <c r="H12" s="41" t="n">
        <v>1.5</v>
      </c>
      <c r="I12" s="277" t="n">
        <v>12</v>
      </c>
      <c r="J12" s="274" t="s">
        <v>623</v>
      </c>
      <c r="K12" s="278" t="n">
        <v>5</v>
      </c>
      <c r="L12" s="278" t="n">
        <v>2</v>
      </c>
      <c r="M12" s="182" t="s">
        <v>636</v>
      </c>
      <c r="N12" s="275" t="str">
        <f aca="false">IFERROR(IF(COUNTIF('📝 Daily Log'!$E$3:$E$600,D12)&gt;0,IF(COUNTIFS('📝 Daily Log'!$E$3:$E$600,D12,'📝 Daily Log'!$G$3:$G$600,"✅ Done")&gt;0,"✅ Done",IF(COUNTIFS('📝 Daily Log'!$E$3:$E$600,D12,'📝 Daily Log'!$G$3:$G$600,"🔄 Partial")&gt;0,"🔄 Partial","⬜ Pending")),"⬜ Pending"),"⬜ Pending")</f>
        <v>⬜ Pending</v>
      </c>
      <c r="O12" s="269"/>
      <c r="P12" s="275" t="str">
        <f aca="false">IF(O12&lt;&gt;"",O12,N12)</f>
        <v>⬜ Pending</v>
      </c>
      <c r="Q12" s="270" t="s">
        <v>639</v>
      </c>
      <c r="R12" s="271" t="str">
        <f aca="false">IF(COUNTIF('📆 Daily Schedule'!$M$5:$M$427,D12)&gt;0,"⚡ In Swap","✅ Available")</f>
        <v>✅ Available</v>
      </c>
    </row>
    <row r="13" customFormat="false" ht="15.75" hidden="false" customHeight="true" outlineLevel="0" collapsed="false">
      <c r="A13" s="54" t="n">
        <v>10</v>
      </c>
      <c r="B13" s="54" t="s">
        <v>634</v>
      </c>
      <c r="C13" s="76" t="n">
        <v>10</v>
      </c>
      <c r="D13" s="37" t="s">
        <v>640</v>
      </c>
      <c r="E13" s="182" t="s">
        <v>246</v>
      </c>
      <c r="F13" s="39" t="n">
        <v>0.5</v>
      </c>
      <c r="G13" s="40" t="n">
        <v>1</v>
      </c>
      <c r="H13" s="41" t="n">
        <v>1.5</v>
      </c>
      <c r="I13" s="272" t="n">
        <v>12</v>
      </c>
      <c r="J13" s="274" t="s">
        <v>623</v>
      </c>
      <c r="K13" s="273" t="n">
        <v>5</v>
      </c>
      <c r="L13" s="273" t="n">
        <v>2</v>
      </c>
      <c r="M13" s="182" t="s">
        <v>636</v>
      </c>
      <c r="N13" s="76" t="str">
        <f aca="false">IFERROR(IF(COUNTIF('📝 Daily Log'!$E$3:$E$600,D13)&gt;0,IF(COUNTIFS('📝 Daily Log'!$E$3:$E$600,D13,'📝 Daily Log'!$G$3:$G$600,"✅ Done")&gt;0,"✅ Done",IF(COUNTIFS('📝 Daily Log'!$E$3:$E$600,D13,'📝 Daily Log'!$G$3:$G$600,"🔄 Partial")&gt;0,"🔄 Partial","⬜ Pending")),"⬜ Pending"),"⬜ Pending")</f>
        <v>⬜ Pending</v>
      </c>
      <c r="O13" s="269"/>
      <c r="P13" s="76" t="str">
        <f aca="false">IF(O13&lt;&gt;"",O13,N13)</f>
        <v>⬜ Pending</v>
      </c>
      <c r="Q13" s="270" t="s">
        <v>641</v>
      </c>
      <c r="R13" s="271" t="str">
        <f aca="false">IF(COUNTIF('📆 Daily Schedule'!$M$5:$M$427,D13)&gt;0,"⚡ In Swap","✅ Available")</f>
        <v>✅ Available</v>
      </c>
    </row>
    <row r="14" customFormat="false" ht="15.75" hidden="false" customHeight="true" outlineLevel="0" collapsed="false">
      <c r="A14" s="54" t="n">
        <v>11</v>
      </c>
      <c r="B14" s="54" t="s">
        <v>634</v>
      </c>
      <c r="C14" s="275" t="n">
        <v>11</v>
      </c>
      <c r="D14" s="276" t="s">
        <v>642</v>
      </c>
      <c r="E14" s="182" t="s">
        <v>246</v>
      </c>
      <c r="F14" s="39" t="n">
        <v>0.5</v>
      </c>
      <c r="G14" s="40" t="n">
        <v>1</v>
      </c>
      <c r="H14" s="41" t="n">
        <v>1.5</v>
      </c>
      <c r="I14" s="277" t="n">
        <v>13</v>
      </c>
      <c r="J14" s="274" t="s">
        <v>623</v>
      </c>
      <c r="K14" s="278" t="n">
        <v>5</v>
      </c>
      <c r="L14" s="278" t="n">
        <v>3</v>
      </c>
      <c r="M14" s="182" t="s">
        <v>636</v>
      </c>
      <c r="N14" s="275" t="str">
        <f aca="false">IFERROR(IF(COUNTIF('📝 Daily Log'!$E$3:$E$600,D14)&gt;0,IF(COUNTIFS('📝 Daily Log'!$E$3:$E$600,D14,'📝 Daily Log'!$G$3:$G$600,"✅ Done")&gt;0,"✅ Done",IF(COUNTIFS('📝 Daily Log'!$E$3:$E$600,D14,'📝 Daily Log'!$G$3:$G$600,"🔄 Partial")&gt;0,"🔄 Partial","⬜ Pending")),"⬜ Pending"),"⬜ Pending")</f>
        <v>⬜ Pending</v>
      </c>
      <c r="O14" s="269"/>
      <c r="P14" s="275" t="str">
        <f aca="false">IF(O14&lt;&gt;"",O14,N14)</f>
        <v>⬜ Pending</v>
      </c>
      <c r="Q14" s="270" t="s">
        <v>643</v>
      </c>
      <c r="R14" s="271" t="str">
        <f aca="false">IF(COUNTIF('📆 Daily Schedule'!$M$5:$M$427,D14)&gt;0,"⚡ In Swap","✅ Available")</f>
        <v>✅ Available</v>
      </c>
    </row>
    <row r="15" customFormat="false" ht="15.75" hidden="false" customHeight="true" outlineLevel="0" collapsed="false">
      <c r="A15" s="54" t="n">
        <v>12</v>
      </c>
      <c r="B15" s="54" t="s">
        <v>634</v>
      </c>
      <c r="C15" s="76" t="n">
        <v>12</v>
      </c>
      <c r="D15" s="37" t="s">
        <v>644</v>
      </c>
      <c r="E15" s="182" t="s">
        <v>246</v>
      </c>
      <c r="F15" s="39" t="n">
        <v>0.3</v>
      </c>
      <c r="G15" s="40" t="n">
        <v>0.5</v>
      </c>
      <c r="H15" s="41" t="n">
        <v>0.75</v>
      </c>
      <c r="I15" s="272" t="n">
        <v>13</v>
      </c>
      <c r="J15" s="274" t="s">
        <v>623</v>
      </c>
      <c r="K15" s="273" t="n">
        <v>5</v>
      </c>
      <c r="L15" s="273" t="n">
        <v>3</v>
      </c>
      <c r="M15" s="188" t="s">
        <v>618</v>
      </c>
      <c r="N15" s="76" t="str">
        <f aca="false">IFERROR(IF(COUNTIF('📝 Daily Log'!$E$3:$E$600,D15)&gt;0,IF(COUNTIFS('📝 Daily Log'!$E$3:$E$600,D15,'📝 Daily Log'!$G$3:$G$600,"✅ Done")&gt;0,"✅ Done",IF(COUNTIFS('📝 Daily Log'!$E$3:$E$600,D15,'📝 Daily Log'!$G$3:$G$600,"🔄 Partial")&gt;0,"🔄 Partial","⬜ Pending")),"⬜ Pending"),"⬜ Pending")</f>
        <v>⬜ Pending</v>
      </c>
      <c r="O15" s="269"/>
      <c r="P15" s="76" t="str">
        <f aca="false">IF(O15&lt;&gt;"",O15,N15)</f>
        <v>⬜ Pending</v>
      </c>
      <c r="Q15" s="270" t="s">
        <v>645</v>
      </c>
      <c r="R15" s="271" t="str">
        <f aca="false">IF(COUNTIF('📆 Daily Schedule'!$M$5:$M$427,D15)&gt;0,"⚡ In Swap","✅ Available")</f>
        <v>✅ Available</v>
      </c>
    </row>
    <row r="16" customFormat="false" ht="15.75" hidden="false" customHeight="true" outlineLevel="0" collapsed="false">
      <c r="A16" s="54" t="n">
        <v>13</v>
      </c>
      <c r="B16" s="54" t="s">
        <v>634</v>
      </c>
      <c r="C16" s="275" t="n">
        <v>13</v>
      </c>
      <c r="D16" s="276" t="s">
        <v>646</v>
      </c>
      <c r="E16" s="182" t="s">
        <v>246</v>
      </c>
      <c r="F16" s="39" t="n">
        <v>1</v>
      </c>
      <c r="G16" s="40" t="n">
        <v>2</v>
      </c>
      <c r="H16" s="41" t="n">
        <v>3</v>
      </c>
      <c r="I16" s="277" t="n">
        <v>13</v>
      </c>
      <c r="J16" s="274" t="s">
        <v>623</v>
      </c>
      <c r="K16" s="278" t="n">
        <v>5</v>
      </c>
      <c r="L16" s="278" t="n">
        <v>3</v>
      </c>
      <c r="M16" s="182" t="s">
        <v>636</v>
      </c>
      <c r="N16" s="275" t="str">
        <f aca="false">IFERROR(IF(COUNTIF('📝 Daily Log'!$E$3:$E$600,D16)&gt;0,IF(COUNTIFS('📝 Daily Log'!$E$3:$E$600,D16,'📝 Daily Log'!$G$3:$G$600,"✅ Done")&gt;0,"✅ Done",IF(COUNTIFS('📝 Daily Log'!$E$3:$E$600,D16,'📝 Daily Log'!$G$3:$G$600,"🔄 Partial")&gt;0,"🔄 Partial","⬜ Pending")),"⬜ Pending"),"⬜ Pending")</f>
        <v>⬜ Pending</v>
      </c>
      <c r="O16" s="269"/>
      <c r="P16" s="275" t="str">
        <f aca="false">IF(O16&lt;&gt;"",O16,N16)</f>
        <v>⬜ Pending</v>
      </c>
      <c r="Q16" s="270" t="s">
        <v>643</v>
      </c>
      <c r="R16" s="271" t="str">
        <f aca="false">IF(COUNTIF('📆 Daily Schedule'!$M$5:$M$427,D16)&gt;0,"⚡ In Swap","✅ Available")</f>
        <v>✅ Available</v>
      </c>
    </row>
    <row r="17" customFormat="false" ht="15.75" hidden="false" customHeight="true" outlineLevel="0" collapsed="false">
      <c r="A17" s="54" t="n">
        <v>14</v>
      </c>
      <c r="B17" s="54" t="s">
        <v>634</v>
      </c>
      <c r="C17" s="76" t="n">
        <v>14</v>
      </c>
      <c r="D17" s="37" t="s">
        <v>647</v>
      </c>
      <c r="E17" s="182" t="s">
        <v>246</v>
      </c>
      <c r="F17" s="39" t="n">
        <v>1.5</v>
      </c>
      <c r="G17" s="40" t="n">
        <v>3</v>
      </c>
      <c r="H17" s="41" t="n">
        <v>4</v>
      </c>
      <c r="I17" s="272" t="n">
        <v>12</v>
      </c>
      <c r="J17" s="274" t="s">
        <v>623</v>
      </c>
      <c r="K17" s="273" t="n">
        <v>5</v>
      </c>
      <c r="L17" s="273" t="n">
        <v>2</v>
      </c>
      <c r="M17" s="188" t="s">
        <v>618</v>
      </c>
      <c r="N17" s="76" t="str">
        <f aca="false">IFERROR(IF(COUNTIF('📝 Daily Log'!$E$3:$E$600,D17)&gt;0,IF(COUNTIFS('📝 Daily Log'!$E$3:$E$600,D17,'📝 Daily Log'!$G$3:$G$600,"✅ Done")&gt;0,"✅ Done",IF(COUNTIFS('📝 Daily Log'!$E$3:$E$600,D17,'📝 Daily Log'!$G$3:$G$600,"🔄 Partial")&gt;0,"🔄 Partial","⬜ Pending")),"⬜ Pending"),"⬜ Pending")</f>
        <v>⬜ Pending</v>
      </c>
      <c r="O17" s="269"/>
      <c r="P17" s="76" t="str">
        <f aca="false">IF(O17&lt;&gt;"",O17,N17)</f>
        <v>⬜ Pending</v>
      </c>
      <c r="Q17" s="270" t="s">
        <v>648</v>
      </c>
      <c r="R17" s="271" t="str">
        <f aca="false">IF(COUNTIF('📆 Daily Schedule'!$M$5:$M$427,D17)&gt;0,"⚡ In Swap","✅ Available")</f>
        <v>✅ Available</v>
      </c>
    </row>
    <row r="18" customFormat="false" ht="15.75" hidden="false" customHeight="true" outlineLevel="0" collapsed="false">
      <c r="A18" s="54" t="n">
        <v>15</v>
      </c>
      <c r="B18" s="54" t="s">
        <v>634</v>
      </c>
      <c r="C18" s="275" t="n">
        <v>15</v>
      </c>
      <c r="D18" s="276" t="s">
        <v>649</v>
      </c>
      <c r="E18" s="182" t="s">
        <v>246</v>
      </c>
      <c r="F18" s="39" t="n">
        <v>0.5</v>
      </c>
      <c r="G18" s="40" t="n">
        <v>1</v>
      </c>
      <c r="H18" s="41" t="n">
        <v>1.5</v>
      </c>
      <c r="I18" s="277" t="n">
        <v>13</v>
      </c>
      <c r="J18" s="274" t="s">
        <v>623</v>
      </c>
      <c r="K18" s="278" t="n">
        <v>5</v>
      </c>
      <c r="L18" s="278" t="n">
        <v>3</v>
      </c>
      <c r="M18" s="182" t="s">
        <v>636</v>
      </c>
      <c r="N18" s="275" t="str">
        <f aca="false">IFERROR(IF(COUNTIF('📝 Daily Log'!$E$3:$E$600,D18)&gt;0,IF(COUNTIFS('📝 Daily Log'!$E$3:$E$600,D18,'📝 Daily Log'!$G$3:$G$600,"✅ Done")&gt;0,"✅ Done",IF(COUNTIFS('📝 Daily Log'!$E$3:$E$600,D18,'📝 Daily Log'!$G$3:$G$600,"🔄 Partial")&gt;0,"🔄 Partial","⬜ Pending")),"⬜ Pending"),"⬜ Pending")</f>
        <v>⬜ Pending</v>
      </c>
      <c r="O18" s="269"/>
      <c r="P18" s="275" t="str">
        <f aca="false">IF(O18&lt;&gt;"",O18,N18)</f>
        <v>⬜ Pending</v>
      </c>
      <c r="Q18" s="270" t="s">
        <v>650</v>
      </c>
      <c r="R18" s="271" t="str">
        <f aca="false">IF(COUNTIF('📆 Daily Schedule'!$M$5:$M$427,D18)&gt;0,"⚡ In Swap","✅ Available")</f>
        <v>✅ Available</v>
      </c>
    </row>
    <row r="19" customFormat="false" ht="15.75" hidden="false" customHeight="true" outlineLevel="0" collapsed="false">
      <c r="A19" s="54" t="n">
        <v>16</v>
      </c>
      <c r="B19" s="54" t="s">
        <v>634</v>
      </c>
      <c r="C19" s="76" t="n">
        <v>16</v>
      </c>
      <c r="D19" s="37" t="s">
        <v>651</v>
      </c>
      <c r="E19" s="182" t="s">
        <v>246</v>
      </c>
      <c r="F19" s="39" t="n">
        <v>0.5</v>
      </c>
      <c r="G19" s="40" t="n">
        <v>1</v>
      </c>
      <c r="H19" s="41" t="n">
        <v>1.5</v>
      </c>
      <c r="I19" s="272" t="n">
        <v>13</v>
      </c>
      <c r="J19" s="274" t="s">
        <v>623</v>
      </c>
      <c r="K19" s="273" t="n">
        <v>5</v>
      </c>
      <c r="L19" s="273" t="n">
        <v>3</v>
      </c>
      <c r="M19" s="182" t="s">
        <v>636</v>
      </c>
      <c r="N19" s="76" t="str">
        <f aca="false">IFERROR(IF(COUNTIF('📝 Daily Log'!$E$3:$E$600,D19)&gt;0,IF(COUNTIFS('📝 Daily Log'!$E$3:$E$600,D19,'📝 Daily Log'!$G$3:$G$600,"✅ Done")&gt;0,"✅ Done",IF(COUNTIFS('📝 Daily Log'!$E$3:$E$600,D19,'📝 Daily Log'!$G$3:$G$600,"🔄 Partial")&gt;0,"🔄 Partial","⬜ Pending")),"⬜ Pending"),"⬜ Pending")</f>
        <v>⬜ Pending</v>
      </c>
      <c r="O19" s="269"/>
      <c r="P19" s="76" t="str">
        <f aca="false">IF(O19&lt;&gt;"",O19,N19)</f>
        <v>⬜ Pending</v>
      </c>
      <c r="Q19" s="270" t="s">
        <v>650</v>
      </c>
      <c r="R19" s="271" t="str">
        <f aca="false">IF(COUNTIF('📆 Daily Schedule'!$M$5:$M$427,D19)&gt;0,"⚡ In Swap","✅ Available")</f>
        <v>✅ Available</v>
      </c>
    </row>
    <row r="20" customFormat="false" ht="15.75" hidden="false" customHeight="true" outlineLevel="0" collapsed="false">
      <c r="A20" s="54" t="n">
        <v>17</v>
      </c>
      <c r="B20" s="54" t="s">
        <v>634</v>
      </c>
      <c r="C20" s="275" t="n">
        <v>17</v>
      </c>
      <c r="D20" s="276" t="s">
        <v>652</v>
      </c>
      <c r="E20" s="182" t="s">
        <v>246</v>
      </c>
      <c r="F20" s="39" t="n">
        <v>0.5</v>
      </c>
      <c r="G20" s="40" t="n">
        <v>1</v>
      </c>
      <c r="H20" s="41" t="n">
        <v>1.5</v>
      </c>
      <c r="I20" s="277" t="n">
        <v>14</v>
      </c>
      <c r="J20" s="274" t="s">
        <v>623</v>
      </c>
      <c r="K20" s="278" t="n">
        <v>5</v>
      </c>
      <c r="L20" s="278" t="n">
        <v>4</v>
      </c>
      <c r="M20" s="188" t="s">
        <v>618</v>
      </c>
      <c r="N20" s="275" t="str">
        <f aca="false">IFERROR(IF(COUNTIF('📝 Daily Log'!$E$3:$E$600,D20)&gt;0,IF(COUNTIFS('📝 Daily Log'!$E$3:$E$600,D20,'📝 Daily Log'!$G$3:$G$600,"✅ Done")&gt;0,"✅ Done",IF(COUNTIFS('📝 Daily Log'!$E$3:$E$600,D20,'📝 Daily Log'!$G$3:$G$600,"🔄 Partial")&gt;0,"🔄 Partial","⬜ Pending")),"⬜ Pending"),"⬜ Pending")</f>
        <v>⬜ Pending</v>
      </c>
      <c r="O20" s="269"/>
      <c r="P20" s="275" t="str">
        <f aca="false">IF(O20&lt;&gt;"",O20,N20)</f>
        <v>⬜ Pending</v>
      </c>
      <c r="Q20" s="270" t="s">
        <v>653</v>
      </c>
      <c r="R20" s="271" t="str">
        <f aca="false">IF(COUNTIF('📆 Daily Schedule'!$M$5:$M$427,D20)&gt;0,"⚡ In Swap","✅ Available")</f>
        <v>✅ Available</v>
      </c>
    </row>
    <row r="21" customFormat="false" ht="15.75" hidden="false" customHeight="true" outlineLevel="0" collapsed="false">
      <c r="A21" s="54" t="n">
        <v>18</v>
      </c>
      <c r="B21" s="54" t="s">
        <v>634</v>
      </c>
      <c r="C21" s="76" t="n">
        <v>18</v>
      </c>
      <c r="D21" s="37" t="s">
        <v>654</v>
      </c>
      <c r="E21" s="182" t="s">
        <v>246</v>
      </c>
      <c r="F21" s="39" t="n">
        <v>0.5</v>
      </c>
      <c r="G21" s="40" t="n">
        <v>1</v>
      </c>
      <c r="H21" s="41" t="n">
        <v>1.5</v>
      </c>
      <c r="I21" s="272" t="n">
        <v>13</v>
      </c>
      <c r="J21" s="274" t="s">
        <v>623</v>
      </c>
      <c r="K21" s="273" t="n">
        <v>5</v>
      </c>
      <c r="L21" s="273" t="n">
        <v>3</v>
      </c>
      <c r="M21" s="182" t="s">
        <v>636</v>
      </c>
      <c r="N21" s="76" t="str">
        <f aca="false">IFERROR(IF(COUNTIF('📝 Daily Log'!$E$3:$E$600,D21)&gt;0,IF(COUNTIFS('📝 Daily Log'!$E$3:$E$600,D21,'📝 Daily Log'!$G$3:$G$600,"✅ Done")&gt;0,"✅ Done",IF(COUNTIFS('📝 Daily Log'!$E$3:$E$600,D21,'📝 Daily Log'!$G$3:$G$600,"🔄 Partial")&gt;0,"🔄 Partial","⬜ Pending")),"⬜ Pending"),"⬜ Pending")</f>
        <v>⬜ Pending</v>
      </c>
      <c r="O21" s="269"/>
      <c r="P21" s="76" t="str">
        <f aca="false">IF(O21&lt;&gt;"",O21,N21)</f>
        <v>⬜ Pending</v>
      </c>
      <c r="Q21" s="270" t="s">
        <v>650</v>
      </c>
      <c r="R21" s="271" t="str">
        <f aca="false">IF(COUNTIF('📆 Daily Schedule'!$M$5:$M$427,D21)&gt;0,"⚡ In Swap","✅ Available")</f>
        <v>✅ Available</v>
      </c>
    </row>
    <row r="22" customFormat="false" ht="15.75" hidden="false" customHeight="true" outlineLevel="0" collapsed="false">
      <c r="A22" s="54" t="n">
        <v>19</v>
      </c>
      <c r="B22" s="54" t="s">
        <v>634</v>
      </c>
      <c r="C22" s="275" t="n">
        <v>19</v>
      </c>
      <c r="D22" s="276" t="s">
        <v>655</v>
      </c>
      <c r="E22" s="182" t="s">
        <v>246</v>
      </c>
      <c r="F22" s="39" t="n">
        <v>0.3</v>
      </c>
      <c r="G22" s="40" t="n">
        <v>0.5</v>
      </c>
      <c r="H22" s="41" t="n">
        <v>0.75</v>
      </c>
      <c r="I22" s="277" t="n">
        <v>13</v>
      </c>
      <c r="J22" s="274" t="s">
        <v>623</v>
      </c>
      <c r="K22" s="278" t="n">
        <v>5</v>
      </c>
      <c r="L22" s="278" t="n">
        <v>3</v>
      </c>
      <c r="M22" s="188" t="s">
        <v>618</v>
      </c>
      <c r="N22" s="275" t="str">
        <f aca="false">IFERROR(IF(COUNTIF('📝 Daily Log'!$E$3:$E$600,D22)&gt;0,IF(COUNTIFS('📝 Daily Log'!$E$3:$E$600,D22,'📝 Daily Log'!$G$3:$G$600,"✅ Done")&gt;0,"✅ Done",IF(COUNTIFS('📝 Daily Log'!$E$3:$E$600,D22,'📝 Daily Log'!$G$3:$G$600,"🔄 Partial")&gt;0,"🔄 Partial","⬜ Pending")),"⬜ Pending"),"⬜ Pending")</f>
        <v>⬜ Pending</v>
      </c>
      <c r="O22" s="269"/>
      <c r="P22" s="275" t="str">
        <f aca="false">IF(O22&lt;&gt;"",O22,N22)</f>
        <v>⬜ Pending</v>
      </c>
      <c r="Q22" s="270" t="s">
        <v>656</v>
      </c>
      <c r="R22" s="271" t="str">
        <f aca="false">IF(COUNTIF('📆 Daily Schedule'!$M$5:$M$427,D22)&gt;0,"⚡ In Swap","✅ Available")</f>
        <v>✅ Available</v>
      </c>
    </row>
    <row r="23" customFormat="false" ht="15.75" hidden="false" customHeight="true" outlineLevel="0" collapsed="false">
      <c r="A23" s="54" t="n">
        <v>20</v>
      </c>
      <c r="B23" s="54" t="s">
        <v>634</v>
      </c>
      <c r="C23" s="76" t="n">
        <v>20</v>
      </c>
      <c r="D23" s="37" t="s">
        <v>657</v>
      </c>
      <c r="E23" s="182" t="s">
        <v>246</v>
      </c>
      <c r="F23" s="39" t="n">
        <v>1</v>
      </c>
      <c r="G23" s="40" t="n">
        <v>2</v>
      </c>
      <c r="H23" s="41" t="n">
        <v>3</v>
      </c>
      <c r="I23" s="272" t="n">
        <v>14</v>
      </c>
      <c r="J23" s="274" t="s">
        <v>623</v>
      </c>
      <c r="K23" s="273" t="n">
        <v>5</v>
      </c>
      <c r="L23" s="273" t="n">
        <v>4</v>
      </c>
      <c r="M23" s="188" t="s">
        <v>618</v>
      </c>
      <c r="N23" s="76" t="str">
        <f aca="false">IFERROR(IF(COUNTIF('📝 Daily Log'!$E$3:$E$600,D23)&gt;0,IF(COUNTIFS('📝 Daily Log'!$E$3:$E$600,D23,'📝 Daily Log'!$G$3:$G$600,"✅ Done")&gt;0,"✅ Done",IF(COUNTIFS('📝 Daily Log'!$E$3:$E$600,D23,'📝 Daily Log'!$G$3:$G$600,"🔄 Partial")&gt;0,"🔄 Partial","⬜ Pending")),"⬜ Pending"),"⬜ Pending")</f>
        <v>⬜ Pending</v>
      </c>
      <c r="O23" s="269"/>
      <c r="P23" s="76" t="str">
        <f aca="false">IF(O23&lt;&gt;"",O23,N23)</f>
        <v>⬜ Pending</v>
      </c>
      <c r="Q23" s="270" t="s">
        <v>658</v>
      </c>
      <c r="R23" s="271" t="str">
        <f aca="false">IF(COUNTIF('📆 Daily Schedule'!$M$5:$M$427,D23)&gt;0,"⚡ In Swap","✅ Available")</f>
        <v>✅ Available</v>
      </c>
    </row>
    <row r="24" customFormat="false" ht="15.75" hidden="false" customHeight="true" outlineLevel="0" collapsed="false">
      <c r="A24" s="54" t="n">
        <v>21</v>
      </c>
      <c r="B24" s="54" t="s">
        <v>634</v>
      </c>
      <c r="C24" s="275" t="n">
        <v>21</v>
      </c>
      <c r="D24" s="276" t="s">
        <v>659</v>
      </c>
      <c r="E24" s="182" t="s">
        <v>246</v>
      </c>
      <c r="F24" s="39" t="n">
        <v>1.5</v>
      </c>
      <c r="G24" s="40" t="n">
        <v>3</v>
      </c>
      <c r="H24" s="41" t="n">
        <v>5</v>
      </c>
      <c r="I24" s="277" t="n">
        <v>13</v>
      </c>
      <c r="J24" s="274" t="s">
        <v>623</v>
      </c>
      <c r="K24" s="278" t="n">
        <v>5</v>
      </c>
      <c r="L24" s="278" t="n">
        <v>3</v>
      </c>
      <c r="M24" s="188" t="s">
        <v>618</v>
      </c>
      <c r="N24" s="275" t="str">
        <f aca="false">IFERROR(IF(COUNTIF('📝 Daily Log'!$E$3:$E$600,D24)&gt;0,IF(COUNTIFS('📝 Daily Log'!$E$3:$E$600,D24,'📝 Daily Log'!$G$3:$G$600,"✅ Done")&gt;0,"✅ Done",IF(COUNTIFS('📝 Daily Log'!$E$3:$E$600,D24,'📝 Daily Log'!$G$3:$G$600,"🔄 Partial")&gt;0,"🔄 Partial","⬜ Pending")),"⬜ Pending"),"⬜ Pending")</f>
        <v>⬜ Pending</v>
      </c>
      <c r="O24" s="269"/>
      <c r="P24" s="275" t="str">
        <f aca="false">IF(O24&lt;&gt;"",O24,N24)</f>
        <v>⬜ Pending</v>
      </c>
      <c r="Q24" s="270" t="s">
        <v>660</v>
      </c>
      <c r="R24" s="271" t="str">
        <f aca="false">IF(COUNTIF('📆 Daily Schedule'!$M$5:$M$427,D24)&gt;0,"⚡ In Swap","✅ Available")</f>
        <v>✅ Available</v>
      </c>
    </row>
    <row r="25" customFormat="false" ht="15.75" hidden="false" customHeight="true" outlineLevel="0" collapsed="false">
      <c r="A25" s="54" t="n">
        <v>22</v>
      </c>
      <c r="B25" s="54" t="s">
        <v>634</v>
      </c>
      <c r="C25" s="76" t="n">
        <v>22</v>
      </c>
      <c r="D25" s="37" t="s">
        <v>661</v>
      </c>
      <c r="E25" s="182" t="s">
        <v>246</v>
      </c>
      <c r="F25" s="39" t="n">
        <v>0.5</v>
      </c>
      <c r="G25" s="40" t="n">
        <v>0.75</v>
      </c>
      <c r="H25" s="41" t="n">
        <v>1</v>
      </c>
      <c r="I25" s="272" t="n">
        <v>11</v>
      </c>
      <c r="J25" s="36" t="s">
        <v>617</v>
      </c>
      <c r="K25" s="273" t="n">
        <v>4</v>
      </c>
      <c r="L25" s="273" t="n">
        <v>3</v>
      </c>
      <c r="M25" s="188" t="s">
        <v>618</v>
      </c>
      <c r="N25" s="76" t="str">
        <f aca="false">IFERROR(IF(COUNTIF('📝 Daily Log'!$E$3:$E$600,D25)&gt;0,IF(COUNTIFS('📝 Daily Log'!$E$3:$E$600,D25,'📝 Daily Log'!$G$3:$G$600,"✅ Done")&gt;0,"✅ Done",IF(COUNTIFS('📝 Daily Log'!$E$3:$E$600,D25,'📝 Daily Log'!$G$3:$G$600,"🔄 Partial")&gt;0,"🔄 Partial","⬜ Pending")),"⬜ Pending"),"⬜ Pending")</f>
        <v>⬜ Pending</v>
      </c>
      <c r="O25" s="269"/>
      <c r="P25" s="76" t="str">
        <f aca="false">IF(O25&lt;&gt;"",O25,N25)</f>
        <v>⬜ Pending</v>
      </c>
      <c r="Q25" s="270" t="s">
        <v>662</v>
      </c>
      <c r="R25" s="271" t="str">
        <f aca="false">IF(COUNTIF('📆 Daily Schedule'!$M$5:$M$427,D25)&gt;0,"⚡ In Swap","✅ Available")</f>
        <v>✅ Available</v>
      </c>
    </row>
    <row r="26" customFormat="false" ht="15.75" hidden="false" customHeight="true" outlineLevel="0" collapsed="false">
      <c r="A26" s="54" t="n">
        <v>23</v>
      </c>
      <c r="B26" s="54" t="s">
        <v>634</v>
      </c>
      <c r="C26" s="275" t="n">
        <v>23</v>
      </c>
      <c r="D26" s="276" t="s">
        <v>663</v>
      </c>
      <c r="E26" s="182" t="s">
        <v>246</v>
      </c>
      <c r="F26" s="39" t="n">
        <v>0.5</v>
      </c>
      <c r="G26" s="40" t="n">
        <v>0.75</v>
      </c>
      <c r="H26" s="41" t="n">
        <v>1</v>
      </c>
      <c r="I26" s="277" t="n">
        <v>11</v>
      </c>
      <c r="J26" s="36" t="s">
        <v>617</v>
      </c>
      <c r="K26" s="278" t="n">
        <v>4</v>
      </c>
      <c r="L26" s="278" t="n">
        <v>3</v>
      </c>
      <c r="M26" s="188" t="s">
        <v>618</v>
      </c>
      <c r="N26" s="275" t="str">
        <f aca="false">IFERROR(IF(COUNTIF('📝 Daily Log'!$E$3:$E$600,D26)&gt;0,IF(COUNTIFS('📝 Daily Log'!$E$3:$E$600,D26,'📝 Daily Log'!$G$3:$G$600,"✅ Done")&gt;0,"✅ Done",IF(COUNTIFS('📝 Daily Log'!$E$3:$E$600,D26,'📝 Daily Log'!$G$3:$G$600,"🔄 Partial")&gt;0,"🔄 Partial","⬜ Pending")),"⬜ Pending"),"⬜ Pending")</f>
        <v>⬜ Pending</v>
      </c>
      <c r="O26" s="269"/>
      <c r="P26" s="275" t="str">
        <f aca="false">IF(O26&lt;&gt;"",O26,N26)</f>
        <v>⬜ Pending</v>
      </c>
      <c r="Q26" s="270" t="s">
        <v>664</v>
      </c>
      <c r="R26" s="271" t="str">
        <f aca="false">IF(COUNTIF('📆 Daily Schedule'!$M$5:$M$427,D26)&gt;0,"⚡ In Swap","✅ Available")</f>
        <v>✅ Available</v>
      </c>
    </row>
    <row r="27" customFormat="false" ht="15.75" hidden="false" customHeight="true" outlineLevel="0" collapsed="false">
      <c r="A27" s="54" t="n">
        <v>24</v>
      </c>
      <c r="B27" s="54" t="s">
        <v>634</v>
      </c>
      <c r="C27" s="76" t="n">
        <v>24</v>
      </c>
      <c r="D27" s="37" t="s">
        <v>665</v>
      </c>
      <c r="E27" s="182" t="s">
        <v>246</v>
      </c>
      <c r="F27" s="39" t="n">
        <v>0.5</v>
      </c>
      <c r="G27" s="40" t="n">
        <v>1</v>
      </c>
      <c r="H27" s="41" t="n">
        <v>1.5</v>
      </c>
      <c r="I27" s="272" t="n">
        <v>14</v>
      </c>
      <c r="J27" s="274" t="s">
        <v>623</v>
      </c>
      <c r="K27" s="273" t="n">
        <v>5</v>
      </c>
      <c r="L27" s="273" t="n">
        <v>4</v>
      </c>
      <c r="M27" s="188" t="s">
        <v>618</v>
      </c>
      <c r="N27" s="76" t="str">
        <f aca="false">IFERROR(IF(COUNTIF('📝 Daily Log'!$E$3:$E$600,D27)&gt;0,IF(COUNTIFS('📝 Daily Log'!$E$3:$E$600,D27,'📝 Daily Log'!$G$3:$G$600,"✅ Done")&gt;0,"✅ Done",IF(COUNTIFS('📝 Daily Log'!$E$3:$E$600,D27,'📝 Daily Log'!$G$3:$G$600,"🔄 Partial")&gt;0,"🔄 Partial","⬜ Pending")),"⬜ Pending"),"⬜ Pending")</f>
        <v>⬜ Pending</v>
      </c>
      <c r="O27" s="269"/>
      <c r="P27" s="76" t="str">
        <f aca="false">IF(O27&lt;&gt;"",O27,N27)</f>
        <v>⬜ Pending</v>
      </c>
      <c r="Q27" s="270" t="s">
        <v>666</v>
      </c>
      <c r="R27" s="271" t="str">
        <f aca="false">IF(COUNTIF('📆 Daily Schedule'!$M$5:$M$427,D27)&gt;0,"⚡ In Swap","✅ Available")</f>
        <v>✅ Available</v>
      </c>
    </row>
    <row r="28" customFormat="false" ht="15.75" hidden="false" customHeight="true" outlineLevel="0" collapsed="false">
      <c r="A28" s="54" t="n">
        <v>25</v>
      </c>
      <c r="B28" s="54" t="s">
        <v>634</v>
      </c>
      <c r="C28" s="275" t="n">
        <v>25</v>
      </c>
      <c r="D28" s="276" t="s">
        <v>667</v>
      </c>
      <c r="E28" s="182" t="s">
        <v>246</v>
      </c>
      <c r="F28" s="39" t="n">
        <v>0.5</v>
      </c>
      <c r="G28" s="40" t="n">
        <v>0.75</v>
      </c>
      <c r="H28" s="41" t="n">
        <v>1</v>
      </c>
      <c r="I28" s="277" t="n">
        <v>11</v>
      </c>
      <c r="J28" s="36" t="s">
        <v>617</v>
      </c>
      <c r="K28" s="278" t="n">
        <v>4</v>
      </c>
      <c r="L28" s="278" t="n">
        <v>3</v>
      </c>
      <c r="M28" s="188" t="s">
        <v>618</v>
      </c>
      <c r="N28" s="275" t="str">
        <f aca="false">IFERROR(IF(COUNTIF('📝 Daily Log'!$E$3:$E$600,D28)&gt;0,IF(COUNTIFS('📝 Daily Log'!$E$3:$E$600,D28,'📝 Daily Log'!$G$3:$G$600,"✅ Done")&gt;0,"✅ Done",IF(COUNTIFS('📝 Daily Log'!$E$3:$E$600,D28,'📝 Daily Log'!$G$3:$G$600,"🔄 Partial")&gt;0,"🔄 Partial","⬜ Pending")),"⬜ Pending"),"⬜ Pending")</f>
        <v>⬜ Pending</v>
      </c>
      <c r="O28" s="269"/>
      <c r="P28" s="275" t="str">
        <f aca="false">IF(O28&lt;&gt;"",O28,N28)</f>
        <v>⬜ Pending</v>
      </c>
      <c r="Q28" s="270" t="s">
        <v>668</v>
      </c>
      <c r="R28" s="271" t="str">
        <f aca="false">IF(COUNTIF('📆 Daily Schedule'!$M$5:$M$427,D28)&gt;0,"⚡ In Swap","✅ Available")</f>
        <v>✅ Available</v>
      </c>
    </row>
    <row r="29" customFormat="false" ht="15.75" hidden="false" customHeight="true" outlineLevel="0" collapsed="false">
      <c r="A29" s="54" t="n">
        <v>26</v>
      </c>
      <c r="B29" s="54" t="s">
        <v>634</v>
      </c>
      <c r="C29" s="76" t="n">
        <v>26</v>
      </c>
      <c r="D29" s="37" t="s">
        <v>669</v>
      </c>
      <c r="E29" s="182" t="s">
        <v>246</v>
      </c>
      <c r="F29" s="39" t="n">
        <v>0.3</v>
      </c>
      <c r="G29" s="40" t="n">
        <v>0.5</v>
      </c>
      <c r="H29" s="41" t="n">
        <v>0.75</v>
      </c>
      <c r="I29" s="272" t="n">
        <v>14</v>
      </c>
      <c r="J29" s="274" t="s">
        <v>623</v>
      </c>
      <c r="K29" s="273" t="n">
        <v>5</v>
      </c>
      <c r="L29" s="273" t="n">
        <v>4</v>
      </c>
      <c r="M29" s="188" t="s">
        <v>618</v>
      </c>
      <c r="N29" s="76" t="str">
        <f aca="false">IFERROR(IF(COUNTIF('📝 Daily Log'!$E$3:$E$600,D29)&gt;0,IF(COUNTIFS('📝 Daily Log'!$E$3:$E$600,D29,'📝 Daily Log'!$G$3:$G$600,"✅ Done")&gt;0,"✅ Done",IF(COUNTIFS('📝 Daily Log'!$E$3:$E$600,D29,'📝 Daily Log'!$G$3:$G$600,"🔄 Partial")&gt;0,"🔄 Partial","⬜ Pending")),"⬜ Pending"),"⬜ Pending")</f>
        <v>⬜ Pending</v>
      </c>
      <c r="O29" s="269"/>
      <c r="P29" s="76" t="str">
        <f aca="false">IF(O29&lt;&gt;"",O29,N29)</f>
        <v>⬜ Pending</v>
      </c>
      <c r="Q29" s="270" t="s">
        <v>670</v>
      </c>
      <c r="R29" s="271" t="str">
        <f aca="false">IF(COUNTIF('📆 Daily Schedule'!$M$5:$M$427,D29)&gt;0,"⚡ In Swap","✅ Available")</f>
        <v>✅ Available</v>
      </c>
    </row>
    <row r="30" customFormat="false" ht="15.75" hidden="false" customHeight="true" outlineLevel="0" collapsed="false">
      <c r="A30" s="54" t="n">
        <v>27</v>
      </c>
      <c r="B30" s="54" t="s">
        <v>634</v>
      </c>
      <c r="C30" s="275" t="n">
        <v>27</v>
      </c>
      <c r="D30" s="276" t="s">
        <v>671</v>
      </c>
      <c r="E30" s="182" t="s">
        <v>246</v>
      </c>
      <c r="F30" s="39" t="n">
        <v>1</v>
      </c>
      <c r="G30" s="40" t="n">
        <v>2</v>
      </c>
      <c r="H30" s="41" t="n">
        <v>3</v>
      </c>
      <c r="I30" s="277" t="n">
        <v>13</v>
      </c>
      <c r="J30" s="274" t="s">
        <v>623</v>
      </c>
      <c r="K30" s="278" t="n">
        <v>5</v>
      </c>
      <c r="L30" s="278" t="n">
        <v>3</v>
      </c>
      <c r="M30" s="188" t="s">
        <v>618</v>
      </c>
      <c r="N30" s="275" t="str">
        <f aca="false">IFERROR(IF(COUNTIF('📝 Daily Log'!$E$3:$E$600,D30)&gt;0,IF(COUNTIFS('📝 Daily Log'!$E$3:$E$600,D30,'📝 Daily Log'!$G$3:$G$600,"✅ Done")&gt;0,"✅ Done",IF(COUNTIFS('📝 Daily Log'!$E$3:$E$600,D30,'📝 Daily Log'!$G$3:$G$600,"🔄 Partial")&gt;0,"🔄 Partial","⬜ Pending")),"⬜ Pending"),"⬜ Pending")</f>
        <v>⬜ Pending</v>
      </c>
      <c r="O30" s="269"/>
      <c r="P30" s="275" t="str">
        <f aca="false">IF(O30&lt;&gt;"",O30,N30)</f>
        <v>⬜ Pending</v>
      </c>
      <c r="Q30" s="270" t="s">
        <v>266</v>
      </c>
      <c r="R30" s="271" t="str">
        <f aca="false">IF(COUNTIF('📆 Daily Schedule'!$M$5:$M$427,D30)&gt;0,"⚡ In Swap","✅ Available")</f>
        <v>✅ Available</v>
      </c>
    </row>
    <row r="31" customFormat="false" ht="15.75" hidden="false" customHeight="true" outlineLevel="0" collapsed="false">
      <c r="A31" s="54" t="n">
        <v>28</v>
      </c>
      <c r="B31" s="54" t="s">
        <v>634</v>
      </c>
      <c r="C31" s="76" t="n">
        <v>28</v>
      </c>
      <c r="D31" s="37" t="s">
        <v>672</v>
      </c>
      <c r="E31" s="182" t="s">
        <v>246</v>
      </c>
      <c r="F31" s="39" t="n">
        <v>1.5</v>
      </c>
      <c r="G31" s="40" t="n">
        <v>3</v>
      </c>
      <c r="H31" s="41" t="n">
        <v>5</v>
      </c>
      <c r="I31" s="272" t="n">
        <v>13</v>
      </c>
      <c r="J31" s="274" t="s">
        <v>623</v>
      </c>
      <c r="K31" s="273" t="n">
        <v>5</v>
      </c>
      <c r="L31" s="273" t="n">
        <v>3</v>
      </c>
      <c r="M31" s="182" t="s">
        <v>636</v>
      </c>
      <c r="N31" s="76" t="str">
        <f aca="false">IFERROR(IF(COUNTIF('📝 Daily Log'!$E$3:$E$600,D31)&gt;0,IF(COUNTIFS('📝 Daily Log'!$E$3:$E$600,D31,'📝 Daily Log'!$G$3:$G$600,"✅ Done")&gt;0,"✅ Done",IF(COUNTIFS('📝 Daily Log'!$E$3:$E$600,D31,'📝 Daily Log'!$G$3:$G$600,"🔄 Partial")&gt;0,"🔄 Partial","⬜ Pending")),"⬜ Pending"),"⬜ Pending")</f>
        <v>⬜ Pending</v>
      </c>
      <c r="O31" s="269"/>
      <c r="P31" s="76" t="str">
        <f aca="false">IF(O31&lt;&gt;"",O31,N31)</f>
        <v>⬜ Pending</v>
      </c>
      <c r="Q31" s="270" t="s">
        <v>673</v>
      </c>
      <c r="R31" s="271" t="str">
        <f aca="false">IF(COUNTIF('📆 Daily Schedule'!$M$5:$M$427,D31)&gt;0,"⚡ In Swap","✅ Available")</f>
        <v>✅ Available</v>
      </c>
    </row>
    <row r="32" customFormat="false" ht="15.75" hidden="false" customHeight="true" outlineLevel="0" collapsed="false">
      <c r="A32" s="271" t="n">
        <v>29</v>
      </c>
      <c r="B32" s="271" t="s">
        <v>674</v>
      </c>
      <c r="C32" s="279" t="n">
        <v>29</v>
      </c>
      <c r="D32" s="280" t="s">
        <v>675</v>
      </c>
      <c r="E32" s="185" t="s">
        <v>270</v>
      </c>
      <c r="F32" s="39" t="n">
        <v>0.5</v>
      </c>
      <c r="G32" s="40" t="n">
        <v>1</v>
      </c>
      <c r="H32" s="41" t="n">
        <v>1.5</v>
      </c>
      <c r="I32" s="281" t="n">
        <v>12</v>
      </c>
      <c r="J32" s="274" t="s">
        <v>623</v>
      </c>
      <c r="K32" s="282" t="n">
        <v>5</v>
      </c>
      <c r="L32" s="282" t="n">
        <v>2</v>
      </c>
      <c r="M32" s="188" t="s">
        <v>618</v>
      </c>
      <c r="N32" s="279" t="str">
        <f aca="false">IFERROR(IF(COUNTIF('📝 Daily Log'!$E$3:$E$600,D32)&gt;0,IF(COUNTIFS('📝 Daily Log'!$E$3:$E$600,D32,'📝 Daily Log'!$G$3:$G$600,"✅ Done")&gt;0,"✅ Done",IF(COUNTIFS('📝 Daily Log'!$E$3:$E$600,D32,'📝 Daily Log'!$G$3:$G$600,"🔄 Partial")&gt;0,"🔄 Partial","⬜ Pending")),"⬜ Pending"),"⬜ Pending")</f>
        <v>⬜ Pending</v>
      </c>
      <c r="O32" s="269"/>
      <c r="P32" s="279" t="str">
        <f aca="false">IF(O32&lt;&gt;"",O32,N32)</f>
        <v>⬜ Pending</v>
      </c>
      <c r="Q32" s="270" t="s">
        <v>676</v>
      </c>
      <c r="R32" s="271" t="str">
        <f aca="false">IF(COUNTIF('📆 Daily Schedule'!$M$5:$M$427,D32)&gt;0,"⚡ In Swap","✅ Available")</f>
        <v>✅ Available</v>
      </c>
    </row>
    <row r="33" customFormat="false" ht="15.75" hidden="false" customHeight="true" outlineLevel="0" collapsed="false">
      <c r="A33" s="271" t="n">
        <v>30</v>
      </c>
      <c r="B33" s="271" t="s">
        <v>674</v>
      </c>
      <c r="C33" s="76" t="n">
        <v>30</v>
      </c>
      <c r="D33" s="37" t="s">
        <v>677</v>
      </c>
      <c r="E33" s="185" t="s">
        <v>270</v>
      </c>
      <c r="F33" s="39" t="n">
        <v>0.5</v>
      </c>
      <c r="G33" s="40" t="n">
        <v>1</v>
      </c>
      <c r="H33" s="41" t="n">
        <v>1.5</v>
      </c>
      <c r="I33" s="272" t="n">
        <v>13</v>
      </c>
      <c r="J33" s="274" t="s">
        <v>623</v>
      </c>
      <c r="K33" s="273" t="n">
        <v>5</v>
      </c>
      <c r="L33" s="273" t="n">
        <v>3</v>
      </c>
      <c r="M33" s="188" t="s">
        <v>618</v>
      </c>
      <c r="N33" s="76" t="str">
        <f aca="false">IFERROR(IF(COUNTIF('📝 Daily Log'!$E$3:$E$600,D33)&gt;0,IF(COUNTIFS('📝 Daily Log'!$E$3:$E$600,D33,'📝 Daily Log'!$G$3:$G$600,"✅ Done")&gt;0,"✅ Done",IF(COUNTIFS('📝 Daily Log'!$E$3:$E$600,D33,'📝 Daily Log'!$G$3:$G$600,"🔄 Partial")&gt;0,"🔄 Partial","⬜ Pending")),"⬜ Pending"),"⬜ Pending")</f>
        <v>⬜ Pending</v>
      </c>
      <c r="O33" s="269"/>
      <c r="P33" s="76" t="str">
        <f aca="false">IF(O33&lt;&gt;"",O33,N33)</f>
        <v>⬜ Pending</v>
      </c>
      <c r="Q33" s="270" t="s">
        <v>678</v>
      </c>
      <c r="R33" s="271" t="str">
        <f aca="false">IF(COUNTIF('📆 Daily Schedule'!$M$5:$M$427,D33)&gt;0,"⚡ In Swap","✅ Available")</f>
        <v>✅ Available</v>
      </c>
    </row>
    <row r="34" customFormat="false" ht="15.75" hidden="false" customHeight="true" outlineLevel="0" collapsed="false">
      <c r="A34" s="271" t="n">
        <v>31</v>
      </c>
      <c r="B34" s="271" t="s">
        <v>674</v>
      </c>
      <c r="C34" s="279" t="n">
        <v>31</v>
      </c>
      <c r="D34" s="280" t="s">
        <v>679</v>
      </c>
      <c r="E34" s="185" t="s">
        <v>270</v>
      </c>
      <c r="F34" s="39" t="n">
        <v>0.5</v>
      </c>
      <c r="G34" s="40" t="n">
        <v>1</v>
      </c>
      <c r="H34" s="41" t="n">
        <v>1.5</v>
      </c>
      <c r="I34" s="281" t="n">
        <v>11</v>
      </c>
      <c r="J34" s="36" t="s">
        <v>617</v>
      </c>
      <c r="K34" s="282" t="n">
        <v>4</v>
      </c>
      <c r="L34" s="282" t="n">
        <v>3</v>
      </c>
      <c r="M34" s="188" t="s">
        <v>618</v>
      </c>
      <c r="N34" s="279" t="str">
        <f aca="false">IFERROR(IF(COUNTIF('📝 Daily Log'!$E$3:$E$600,D34)&gt;0,IF(COUNTIFS('📝 Daily Log'!$E$3:$E$600,D34,'📝 Daily Log'!$G$3:$G$600,"✅ Done")&gt;0,"✅ Done",IF(COUNTIFS('📝 Daily Log'!$E$3:$E$600,D34,'📝 Daily Log'!$G$3:$G$600,"🔄 Partial")&gt;0,"🔄 Partial","⬜ Pending")),"⬜ Pending"),"⬜ Pending")</f>
        <v>⬜ Pending</v>
      </c>
      <c r="O34" s="269"/>
      <c r="P34" s="279" t="str">
        <f aca="false">IF(O34&lt;&gt;"",O34,N34)</f>
        <v>⬜ Pending</v>
      </c>
      <c r="Q34" s="270" t="s">
        <v>680</v>
      </c>
      <c r="R34" s="271" t="str">
        <f aca="false">IF(COUNTIF('📆 Daily Schedule'!$M$5:$M$427,D34)&gt;0,"⚡ In Swap","✅ Available")</f>
        <v>✅ Available</v>
      </c>
    </row>
    <row r="35" customFormat="false" ht="15.75" hidden="false" customHeight="true" outlineLevel="0" collapsed="false">
      <c r="A35" s="271" t="n">
        <v>32</v>
      </c>
      <c r="B35" s="271" t="s">
        <v>674</v>
      </c>
      <c r="C35" s="76" t="n">
        <v>32</v>
      </c>
      <c r="D35" s="37" t="s">
        <v>681</v>
      </c>
      <c r="E35" s="185" t="s">
        <v>270</v>
      </c>
      <c r="F35" s="39" t="n">
        <v>0.5</v>
      </c>
      <c r="G35" s="40" t="n">
        <v>0.75</v>
      </c>
      <c r="H35" s="41" t="n">
        <v>1</v>
      </c>
      <c r="I35" s="272" t="n">
        <v>11</v>
      </c>
      <c r="J35" s="36" t="s">
        <v>617</v>
      </c>
      <c r="K35" s="273" t="n">
        <v>4</v>
      </c>
      <c r="L35" s="273" t="n">
        <v>3</v>
      </c>
      <c r="M35" s="188" t="s">
        <v>618</v>
      </c>
      <c r="N35" s="76" t="str">
        <f aca="false">IFERROR(IF(COUNTIF('📝 Daily Log'!$E$3:$E$600,D35)&gt;0,IF(COUNTIFS('📝 Daily Log'!$E$3:$E$600,D35,'📝 Daily Log'!$G$3:$G$600,"✅ Done")&gt;0,"✅ Done",IF(COUNTIFS('📝 Daily Log'!$E$3:$E$600,D35,'📝 Daily Log'!$G$3:$G$600,"🔄 Partial")&gt;0,"🔄 Partial","⬜ Pending")),"⬜ Pending"),"⬜ Pending")</f>
        <v>⬜ Pending</v>
      </c>
      <c r="O35" s="269"/>
      <c r="P35" s="76" t="str">
        <f aca="false">IF(O35&lt;&gt;"",O35,N35)</f>
        <v>⬜ Pending</v>
      </c>
      <c r="Q35" s="270" t="s">
        <v>682</v>
      </c>
      <c r="R35" s="271" t="str">
        <f aca="false">IF(COUNTIF('📆 Daily Schedule'!$M$5:$M$427,D35)&gt;0,"⚡ In Swap","✅ Available")</f>
        <v>✅ Available</v>
      </c>
    </row>
    <row r="36" customFormat="false" ht="15.75" hidden="false" customHeight="true" outlineLevel="0" collapsed="false">
      <c r="A36" s="271" t="n">
        <v>33</v>
      </c>
      <c r="B36" s="271" t="s">
        <v>674</v>
      </c>
      <c r="C36" s="279" t="n">
        <v>33</v>
      </c>
      <c r="D36" s="280" t="s">
        <v>683</v>
      </c>
      <c r="E36" s="185" t="s">
        <v>270</v>
      </c>
      <c r="F36" s="39" t="n">
        <v>0.3</v>
      </c>
      <c r="G36" s="40" t="n">
        <v>0.5</v>
      </c>
      <c r="H36" s="41" t="n">
        <v>0.75</v>
      </c>
      <c r="I36" s="281" t="n">
        <v>13</v>
      </c>
      <c r="J36" s="274" t="s">
        <v>623</v>
      </c>
      <c r="K36" s="282" t="n">
        <v>5</v>
      </c>
      <c r="L36" s="282" t="n">
        <v>3</v>
      </c>
      <c r="M36" s="188" t="s">
        <v>618</v>
      </c>
      <c r="N36" s="279" t="str">
        <f aca="false">IFERROR(IF(COUNTIF('📝 Daily Log'!$E$3:$E$600,D36)&gt;0,IF(COUNTIFS('📝 Daily Log'!$E$3:$E$600,D36,'📝 Daily Log'!$G$3:$G$600,"✅ Done")&gt;0,"✅ Done",IF(COUNTIFS('📝 Daily Log'!$E$3:$E$600,D36,'📝 Daily Log'!$G$3:$G$600,"🔄 Partial")&gt;0,"🔄 Partial","⬜ Pending")),"⬜ Pending"),"⬜ Pending")</f>
        <v>⬜ Pending</v>
      </c>
      <c r="O36" s="269"/>
      <c r="P36" s="279" t="str">
        <f aca="false">IF(O36&lt;&gt;"",O36,N36)</f>
        <v>⬜ Pending</v>
      </c>
      <c r="Q36" s="270" t="s">
        <v>684</v>
      </c>
      <c r="R36" s="271" t="str">
        <f aca="false">IF(COUNTIF('📆 Daily Schedule'!$M$5:$M$427,D36)&gt;0,"⚡ In Swap","✅ Available")</f>
        <v>✅ Available</v>
      </c>
    </row>
    <row r="37" customFormat="false" ht="15.75" hidden="false" customHeight="true" outlineLevel="0" collapsed="false">
      <c r="A37" s="271" t="n">
        <v>34</v>
      </c>
      <c r="B37" s="271" t="s">
        <v>674</v>
      </c>
      <c r="C37" s="76" t="n">
        <v>34</v>
      </c>
      <c r="D37" s="37" t="s">
        <v>685</v>
      </c>
      <c r="E37" s="185" t="s">
        <v>270</v>
      </c>
      <c r="F37" s="39" t="n">
        <v>1</v>
      </c>
      <c r="G37" s="40" t="n">
        <v>1.5</v>
      </c>
      <c r="H37" s="41" t="n">
        <v>2</v>
      </c>
      <c r="I37" s="272" t="n">
        <v>11</v>
      </c>
      <c r="J37" s="36" t="s">
        <v>617</v>
      </c>
      <c r="K37" s="273" t="n">
        <v>4</v>
      </c>
      <c r="L37" s="273" t="n">
        <v>3</v>
      </c>
      <c r="M37" s="188" t="s">
        <v>618</v>
      </c>
      <c r="N37" s="76" t="str">
        <f aca="false">IFERROR(IF(COUNTIF('📝 Daily Log'!$E$3:$E$600,D37)&gt;0,IF(COUNTIFS('📝 Daily Log'!$E$3:$E$600,D37,'📝 Daily Log'!$G$3:$G$600,"✅ Done")&gt;0,"✅ Done",IF(COUNTIFS('📝 Daily Log'!$E$3:$E$600,D37,'📝 Daily Log'!$G$3:$G$600,"🔄 Partial")&gt;0,"🔄 Partial","⬜ Pending")),"⬜ Pending"),"⬜ Pending")</f>
        <v>⬜ Pending</v>
      </c>
      <c r="O37" s="269"/>
      <c r="P37" s="76" t="str">
        <f aca="false">IF(O37&lt;&gt;"",O37,N37)</f>
        <v>⬜ Pending</v>
      </c>
      <c r="Q37" s="270" t="s">
        <v>686</v>
      </c>
      <c r="R37" s="271" t="str">
        <f aca="false">IF(COUNTIF('📆 Daily Schedule'!$M$5:$M$427,D37)&gt;0,"⚡ In Swap","✅ Available")</f>
        <v>✅ Available</v>
      </c>
    </row>
    <row r="38" customFormat="false" ht="15.75" hidden="false" customHeight="true" outlineLevel="0" collapsed="false">
      <c r="A38" s="271" t="n">
        <v>35</v>
      </c>
      <c r="B38" s="271" t="s">
        <v>674</v>
      </c>
      <c r="C38" s="279" t="n">
        <v>35</v>
      </c>
      <c r="D38" s="280" t="s">
        <v>687</v>
      </c>
      <c r="E38" s="185" t="s">
        <v>270</v>
      </c>
      <c r="F38" s="39" t="n">
        <v>1.5</v>
      </c>
      <c r="G38" s="40" t="n">
        <v>3</v>
      </c>
      <c r="H38" s="41" t="n">
        <v>5</v>
      </c>
      <c r="I38" s="281" t="n">
        <v>13</v>
      </c>
      <c r="J38" s="274" t="s">
        <v>623</v>
      </c>
      <c r="K38" s="282" t="n">
        <v>5</v>
      </c>
      <c r="L38" s="282" t="n">
        <v>3</v>
      </c>
      <c r="M38" s="188" t="s">
        <v>618</v>
      </c>
      <c r="N38" s="279" t="str">
        <f aca="false">IFERROR(IF(COUNTIF('📝 Daily Log'!$E$3:$E$600,D38)&gt;0,IF(COUNTIFS('📝 Daily Log'!$E$3:$E$600,D38,'📝 Daily Log'!$G$3:$G$600,"✅ Done")&gt;0,"✅ Done",IF(COUNTIFS('📝 Daily Log'!$E$3:$E$600,D38,'📝 Daily Log'!$G$3:$G$600,"🔄 Partial")&gt;0,"🔄 Partial","⬜ Pending")),"⬜ Pending"),"⬜ Pending")</f>
        <v>⬜ Pending</v>
      </c>
      <c r="O38" s="269"/>
      <c r="P38" s="279" t="str">
        <f aca="false">IF(O38&lt;&gt;"",O38,N38)</f>
        <v>⬜ Pending</v>
      </c>
      <c r="Q38" s="270" t="s">
        <v>688</v>
      </c>
      <c r="R38" s="271" t="str">
        <f aca="false">IF(COUNTIF('📆 Daily Schedule'!$M$5:$M$427,D38)&gt;0,"⚡ In Swap","✅ Available")</f>
        <v>✅ Available</v>
      </c>
    </row>
    <row r="39" customFormat="false" ht="15.75" hidden="false" customHeight="true" outlineLevel="0" collapsed="false">
      <c r="A39" s="271" t="n">
        <v>36</v>
      </c>
      <c r="B39" s="271" t="s">
        <v>674</v>
      </c>
      <c r="C39" s="76" t="n">
        <v>36</v>
      </c>
      <c r="D39" s="37" t="s">
        <v>689</v>
      </c>
      <c r="E39" s="185" t="s">
        <v>270</v>
      </c>
      <c r="F39" s="39" t="n">
        <v>0.5</v>
      </c>
      <c r="G39" s="40" t="n">
        <v>1</v>
      </c>
      <c r="H39" s="41" t="n">
        <v>1.5</v>
      </c>
      <c r="I39" s="272" t="n">
        <v>11</v>
      </c>
      <c r="J39" s="36" t="s">
        <v>617</v>
      </c>
      <c r="K39" s="273" t="n">
        <v>4</v>
      </c>
      <c r="L39" s="273" t="n">
        <v>3</v>
      </c>
      <c r="M39" s="188" t="s">
        <v>618</v>
      </c>
      <c r="N39" s="76" t="str">
        <f aca="false">IFERROR(IF(COUNTIF('📝 Daily Log'!$E$3:$E$600,D39)&gt;0,IF(COUNTIFS('📝 Daily Log'!$E$3:$E$600,D39,'📝 Daily Log'!$G$3:$G$600,"✅ Done")&gt;0,"✅ Done",IF(COUNTIFS('📝 Daily Log'!$E$3:$E$600,D39,'📝 Daily Log'!$G$3:$G$600,"🔄 Partial")&gt;0,"🔄 Partial","⬜ Pending")),"⬜ Pending"),"⬜ Pending")</f>
        <v>⬜ Pending</v>
      </c>
      <c r="O39" s="269"/>
      <c r="P39" s="76" t="str">
        <f aca="false">IF(O39&lt;&gt;"",O39,N39)</f>
        <v>⬜ Pending</v>
      </c>
      <c r="Q39" s="270" t="s">
        <v>690</v>
      </c>
      <c r="R39" s="271" t="str">
        <f aca="false">IF(COUNTIF('📆 Daily Schedule'!$M$5:$M$427,D39)&gt;0,"⚡ In Swap","✅ Available")</f>
        <v>✅ Available</v>
      </c>
    </row>
    <row r="40" customFormat="false" ht="15.75" hidden="false" customHeight="true" outlineLevel="0" collapsed="false">
      <c r="A40" s="271" t="n">
        <v>37</v>
      </c>
      <c r="B40" s="271" t="s">
        <v>674</v>
      </c>
      <c r="C40" s="279" t="n">
        <v>37</v>
      </c>
      <c r="D40" s="280" t="s">
        <v>691</v>
      </c>
      <c r="E40" s="185" t="s">
        <v>270</v>
      </c>
      <c r="F40" s="39" t="n">
        <v>0.5</v>
      </c>
      <c r="G40" s="40" t="n">
        <v>1</v>
      </c>
      <c r="H40" s="41" t="n">
        <v>1.5</v>
      </c>
      <c r="I40" s="281" t="n">
        <v>11</v>
      </c>
      <c r="J40" s="36" t="s">
        <v>617</v>
      </c>
      <c r="K40" s="282" t="n">
        <v>4</v>
      </c>
      <c r="L40" s="282" t="n">
        <v>3</v>
      </c>
      <c r="M40" s="188" t="s">
        <v>618</v>
      </c>
      <c r="N40" s="279" t="str">
        <f aca="false">IFERROR(IF(COUNTIF('📝 Daily Log'!$E$3:$E$600,D40)&gt;0,IF(COUNTIFS('📝 Daily Log'!$E$3:$E$600,D40,'📝 Daily Log'!$G$3:$G$600,"✅ Done")&gt;0,"✅ Done",IF(COUNTIFS('📝 Daily Log'!$E$3:$E$600,D40,'📝 Daily Log'!$G$3:$G$600,"🔄 Partial")&gt;0,"🔄 Partial","⬜ Pending")),"⬜ Pending"),"⬜ Pending")</f>
        <v>⬜ Pending</v>
      </c>
      <c r="O40" s="269"/>
      <c r="P40" s="279" t="str">
        <f aca="false">IF(O40&lt;&gt;"",O40,N40)</f>
        <v>⬜ Pending</v>
      </c>
      <c r="Q40" s="270" t="s">
        <v>692</v>
      </c>
      <c r="R40" s="271" t="str">
        <f aca="false">IF(COUNTIF('📆 Daily Schedule'!$M$5:$M$427,D40)&gt;0,"⚡ In Swap","✅ Available")</f>
        <v>✅ Available</v>
      </c>
    </row>
    <row r="41" customFormat="false" ht="15.75" hidden="false" customHeight="true" outlineLevel="0" collapsed="false">
      <c r="A41" s="271" t="n">
        <v>38</v>
      </c>
      <c r="B41" s="271" t="s">
        <v>674</v>
      </c>
      <c r="C41" s="76" t="n">
        <v>38</v>
      </c>
      <c r="D41" s="37" t="s">
        <v>693</v>
      </c>
      <c r="E41" s="185" t="s">
        <v>270</v>
      </c>
      <c r="F41" s="39" t="n">
        <v>0.5</v>
      </c>
      <c r="G41" s="40" t="n">
        <v>0.75</v>
      </c>
      <c r="H41" s="41" t="n">
        <v>1</v>
      </c>
      <c r="I41" s="272" t="n">
        <v>8</v>
      </c>
      <c r="J41" s="36" t="s">
        <v>617</v>
      </c>
      <c r="K41" s="273" t="n">
        <v>3</v>
      </c>
      <c r="L41" s="273" t="n">
        <v>2</v>
      </c>
      <c r="M41" s="188" t="s">
        <v>618</v>
      </c>
      <c r="N41" s="76" t="str">
        <f aca="false">IFERROR(IF(COUNTIF('📝 Daily Log'!$E$3:$E$600,D41)&gt;0,IF(COUNTIFS('📝 Daily Log'!$E$3:$E$600,D41,'📝 Daily Log'!$G$3:$G$600,"✅ Done")&gt;0,"✅ Done",IF(COUNTIFS('📝 Daily Log'!$E$3:$E$600,D41,'📝 Daily Log'!$G$3:$G$600,"🔄 Partial")&gt;0,"🔄 Partial","⬜ Pending")),"⬜ Pending"),"⬜ Pending")</f>
        <v>⬜ Pending</v>
      </c>
      <c r="O41" s="269"/>
      <c r="P41" s="76" t="str">
        <f aca="false">IF(O41&lt;&gt;"",O41,N41)</f>
        <v>⬜ Pending</v>
      </c>
      <c r="Q41" s="270" t="s">
        <v>694</v>
      </c>
      <c r="R41" s="271" t="str">
        <f aca="false">IF(COUNTIF('📆 Daily Schedule'!$M$5:$M$427,D41)&gt;0,"⚡ In Swap","✅ Available")</f>
        <v>✅ Available</v>
      </c>
    </row>
    <row r="42" customFormat="false" ht="15.75" hidden="false" customHeight="true" outlineLevel="0" collapsed="false">
      <c r="A42" s="271" t="n">
        <v>39</v>
      </c>
      <c r="B42" s="271" t="s">
        <v>674</v>
      </c>
      <c r="C42" s="279" t="n">
        <v>39</v>
      </c>
      <c r="D42" s="280" t="s">
        <v>695</v>
      </c>
      <c r="E42" s="185" t="s">
        <v>270</v>
      </c>
      <c r="F42" s="39" t="n">
        <v>0.5</v>
      </c>
      <c r="G42" s="40" t="n">
        <v>1</v>
      </c>
      <c r="H42" s="41" t="n">
        <v>1.5</v>
      </c>
      <c r="I42" s="281" t="n">
        <v>12</v>
      </c>
      <c r="J42" s="274" t="s">
        <v>623</v>
      </c>
      <c r="K42" s="282" t="n">
        <v>4</v>
      </c>
      <c r="L42" s="282" t="n">
        <v>4</v>
      </c>
      <c r="M42" s="188" t="s">
        <v>618</v>
      </c>
      <c r="N42" s="279" t="str">
        <f aca="false">IFERROR(IF(COUNTIF('📝 Daily Log'!$E$3:$E$600,D42)&gt;0,IF(COUNTIFS('📝 Daily Log'!$E$3:$E$600,D42,'📝 Daily Log'!$G$3:$G$600,"✅ Done")&gt;0,"✅ Done",IF(COUNTIFS('📝 Daily Log'!$E$3:$E$600,D42,'📝 Daily Log'!$G$3:$G$600,"🔄 Partial")&gt;0,"🔄 Partial","⬜ Pending")),"⬜ Pending"),"⬜ Pending")</f>
        <v>⬜ Pending</v>
      </c>
      <c r="O42" s="269"/>
      <c r="P42" s="279" t="str">
        <f aca="false">IF(O42&lt;&gt;"",O42,N42)</f>
        <v>⬜ Pending</v>
      </c>
      <c r="Q42" s="270" t="s">
        <v>696</v>
      </c>
      <c r="R42" s="271" t="str">
        <f aca="false">IF(COUNTIF('📆 Daily Schedule'!$M$5:$M$427,D42)&gt;0,"⚡ In Swap","✅ Available")</f>
        <v>✅ Available</v>
      </c>
    </row>
    <row r="43" customFormat="false" ht="15.75" hidden="false" customHeight="true" outlineLevel="0" collapsed="false">
      <c r="A43" s="271" t="n">
        <v>40</v>
      </c>
      <c r="B43" s="271" t="s">
        <v>674</v>
      </c>
      <c r="C43" s="76" t="n">
        <v>40</v>
      </c>
      <c r="D43" s="37" t="s">
        <v>697</v>
      </c>
      <c r="E43" s="185" t="s">
        <v>270</v>
      </c>
      <c r="F43" s="39" t="n">
        <v>0.3</v>
      </c>
      <c r="G43" s="40" t="n">
        <v>0.5</v>
      </c>
      <c r="H43" s="41" t="n">
        <v>0.75</v>
      </c>
      <c r="I43" s="272" t="n">
        <v>13</v>
      </c>
      <c r="J43" s="274" t="s">
        <v>623</v>
      </c>
      <c r="K43" s="273" t="n">
        <v>5</v>
      </c>
      <c r="L43" s="273" t="n">
        <v>3</v>
      </c>
      <c r="M43" s="188" t="s">
        <v>618</v>
      </c>
      <c r="N43" s="76" t="str">
        <f aca="false">IFERROR(IF(COUNTIF('📝 Daily Log'!$E$3:$E$600,D43)&gt;0,IF(COUNTIFS('📝 Daily Log'!$E$3:$E$600,D43,'📝 Daily Log'!$G$3:$G$600,"✅ Done")&gt;0,"✅ Done",IF(COUNTIFS('📝 Daily Log'!$E$3:$E$600,D43,'📝 Daily Log'!$G$3:$G$600,"🔄 Partial")&gt;0,"🔄 Partial","⬜ Pending")),"⬜ Pending"),"⬜ Pending")</f>
        <v>⬜ Pending</v>
      </c>
      <c r="O43" s="269"/>
      <c r="P43" s="76" t="str">
        <f aca="false">IF(O43&lt;&gt;"",O43,N43)</f>
        <v>⬜ Pending</v>
      </c>
      <c r="Q43" s="270" t="s">
        <v>698</v>
      </c>
      <c r="R43" s="271" t="str">
        <f aca="false">IF(COUNTIF('📆 Daily Schedule'!$M$5:$M$427,D43)&gt;0,"⚡ In Swap","✅ Available")</f>
        <v>✅ Available</v>
      </c>
    </row>
    <row r="44" customFormat="false" ht="15.75" hidden="false" customHeight="true" outlineLevel="0" collapsed="false">
      <c r="A44" s="271" t="n">
        <v>41</v>
      </c>
      <c r="B44" s="271" t="s">
        <v>674</v>
      </c>
      <c r="C44" s="279" t="n">
        <v>41</v>
      </c>
      <c r="D44" s="280" t="s">
        <v>699</v>
      </c>
      <c r="E44" s="185" t="s">
        <v>270</v>
      </c>
      <c r="F44" s="39" t="n">
        <v>1</v>
      </c>
      <c r="G44" s="40" t="n">
        <v>1.5</v>
      </c>
      <c r="H44" s="41" t="n">
        <v>2</v>
      </c>
      <c r="I44" s="281" t="n">
        <v>11</v>
      </c>
      <c r="J44" s="36" t="s">
        <v>617</v>
      </c>
      <c r="K44" s="282" t="n">
        <v>4</v>
      </c>
      <c r="L44" s="282" t="n">
        <v>3</v>
      </c>
      <c r="M44" s="188" t="s">
        <v>618</v>
      </c>
      <c r="N44" s="279" t="str">
        <f aca="false">IFERROR(IF(COUNTIF('📝 Daily Log'!$E$3:$E$600,D44)&gt;0,IF(COUNTIFS('📝 Daily Log'!$E$3:$E$600,D44,'📝 Daily Log'!$G$3:$G$600,"✅ Done")&gt;0,"✅ Done",IF(COUNTIFS('📝 Daily Log'!$E$3:$E$600,D44,'📝 Daily Log'!$G$3:$G$600,"🔄 Partial")&gt;0,"🔄 Partial","⬜ Pending")),"⬜ Pending"),"⬜ Pending")</f>
        <v>⬜ Pending</v>
      </c>
      <c r="O44" s="269"/>
      <c r="P44" s="279" t="str">
        <f aca="false">IF(O44&lt;&gt;"",O44,N44)</f>
        <v>⬜ Pending</v>
      </c>
      <c r="Q44" s="270" t="s">
        <v>700</v>
      </c>
      <c r="R44" s="271" t="str">
        <f aca="false">IF(COUNTIF('📆 Daily Schedule'!$M$5:$M$427,D44)&gt;0,"⚡ In Swap","✅ Available")</f>
        <v>✅ Available</v>
      </c>
    </row>
    <row r="45" customFormat="false" ht="15.75" hidden="false" customHeight="true" outlineLevel="0" collapsed="false">
      <c r="A45" s="271" t="n">
        <v>42</v>
      </c>
      <c r="B45" s="271" t="s">
        <v>674</v>
      </c>
      <c r="C45" s="76" t="n">
        <v>42</v>
      </c>
      <c r="D45" s="37" t="s">
        <v>701</v>
      </c>
      <c r="E45" s="185" t="s">
        <v>270</v>
      </c>
      <c r="F45" s="39" t="n">
        <v>1.5</v>
      </c>
      <c r="G45" s="40" t="n">
        <v>3</v>
      </c>
      <c r="H45" s="41" t="n">
        <v>5</v>
      </c>
      <c r="I45" s="272" t="n">
        <v>11</v>
      </c>
      <c r="J45" s="36" t="s">
        <v>617</v>
      </c>
      <c r="K45" s="273" t="n">
        <v>4</v>
      </c>
      <c r="L45" s="273" t="n">
        <v>3</v>
      </c>
      <c r="M45" s="188" t="s">
        <v>618</v>
      </c>
      <c r="N45" s="76" t="str">
        <f aca="false">IFERROR(IF(COUNTIF('📝 Daily Log'!$E$3:$E$600,D45)&gt;0,IF(COUNTIFS('📝 Daily Log'!$E$3:$E$600,D45,'📝 Daily Log'!$G$3:$G$600,"✅ Done")&gt;0,"✅ Done",IF(COUNTIFS('📝 Daily Log'!$E$3:$E$600,D45,'📝 Daily Log'!$G$3:$G$600,"🔄 Partial")&gt;0,"🔄 Partial","⬜ Pending")),"⬜ Pending"),"⬜ Pending")</f>
        <v>⬜ Pending</v>
      </c>
      <c r="O45" s="269"/>
      <c r="P45" s="76" t="str">
        <f aca="false">IF(O45&lt;&gt;"",O45,N45)</f>
        <v>⬜ Pending</v>
      </c>
      <c r="Q45" s="270" t="s">
        <v>702</v>
      </c>
      <c r="R45" s="271" t="str">
        <f aca="false">IF(COUNTIF('📆 Daily Schedule'!$M$5:$M$427,D45)&gt;0,"⚡ In Swap","✅ Available")</f>
        <v>✅ Available</v>
      </c>
    </row>
    <row r="46" customFormat="false" ht="15.75" hidden="false" customHeight="true" outlineLevel="0" collapsed="false">
      <c r="A46" s="271" t="n">
        <v>43</v>
      </c>
      <c r="B46" s="271" t="s">
        <v>674</v>
      </c>
      <c r="C46" s="279" t="n">
        <v>43</v>
      </c>
      <c r="D46" s="280" t="s">
        <v>703</v>
      </c>
      <c r="E46" s="185" t="s">
        <v>270</v>
      </c>
      <c r="F46" s="39" t="n">
        <v>0.5</v>
      </c>
      <c r="G46" s="40" t="n">
        <v>1</v>
      </c>
      <c r="H46" s="41" t="n">
        <v>1.5</v>
      </c>
      <c r="I46" s="281" t="n">
        <v>10</v>
      </c>
      <c r="J46" s="36" t="s">
        <v>617</v>
      </c>
      <c r="K46" s="282" t="n">
        <v>4</v>
      </c>
      <c r="L46" s="282" t="n">
        <v>2</v>
      </c>
      <c r="M46" s="188" t="s">
        <v>618</v>
      </c>
      <c r="N46" s="279" t="str">
        <f aca="false">IFERROR(IF(COUNTIF('📝 Daily Log'!$E$3:$E$600,D46)&gt;0,IF(COUNTIFS('📝 Daily Log'!$E$3:$E$600,D46,'📝 Daily Log'!$G$3:$G$600,"✅ Done")&gt;0,"✅ Done",IF(COUNTIFS('📝 Daily Log'!$E$3:$E$600,D46,'📝 Daily Log'!$G$3:$G$600,"🔄 Partial")&gt;0,"🔄 Partial","⬜ Pending")),"⬜ Pending"),"⬜ Pending")</f>
        <v>⬜ Pending</v>
      </c>
      <c r="O46" s="269"/>
      <c r="P46" s="279" t="str">
        <f aca="false">IF(O46&lt;&gt;"",O46,N46)</f>
        <v>⬜ Pending</v>
      </c>
      <c r="Q46" s="270" t="s">
        <v>704</v>
      </c>
      <c r="R46" s="271" t="str">
        <f aca="false">IF(COUNTIF('📆 Daily Schedule'!$M$5:$M$427,D46)&gt;0,"⚡ In Swap","✅ Available")</f>
        <v>✅ Available</v>
      </c>
    </row>
    <row r="47" customFormat="false" ht="15.75" hidden="false" customHeight="true" outlineLevel="0" collapsed="false">
      <c r="A47" s="271" t="n">
        <v>44</v>
      </c>
      <c r="B47" s="271" t="s">
        <v>674</v>
      </c>
      <c r="C47" s="76" t="n">
        <v>44</v>
      </c>
      <c r="D47" s="37" t="s">
        <v>705</v>
      </c>
      <c r="E47" s="185" t="s">
        <v>270</v>
      </c>
      <c r="F47" s="39" t="n">
        <v>0.5</v>
      </c>
      <c r="G47" s="40" t="n">
        <v>1</v>
      </c>
      <c r="H47" s="41" t="n">
        <v>1.5</v>
      </c>
      <c r="I47" s="272" t="n">
        <v>10</v>
      </c>
      <c r="J47" s="36" t="s">
        <v>617</v>
      </c>
      <c r="K47" s="273" t="n">
        <v>4</v>
      </c>
      <c r="L47" s="273" t="n">
        <v>2</v>
      </c>
      <c r="M47" s="188" t="s">
        <v>618</v>
      </c>
      <c r="N47" s="76" t="str">
        <f aca="false">IFERROR(IF(COUNTIF('📝 Daily Log'!$E$3:$E$600,D47)&gt;0,IF(COUNTIFS('📝 Daily Log'!$E$3:$E$600,D47,'📝 Daily Log'!$G$3:$G$600,"✅ Done")&gt;0,"✅ Done",IF(COUNTIFS('📝 Daily Log'!$E$3:$E$600,D47,'📝 Daily Log'!$G$3:$G$600,"🔄 Partial")&gt;0,"🔄 Partial","⬜ Pending")),"⬜ Pending"),"⬜ Pending")</f>
        <v>⬜ Pending</v>
      </c>
      <c r="O47" s="269"/>
      <c r="P47" s="76" t="str">
        <f aca="false">IF(O47&lt;&gt;"",O47,N47)</f>
        <v>⬜ Pending</v>
      </c>
      <c r="Q47" s="270" t="s">
        <v>706</v>
      </c>
      <c r="R47" s="271" t="str">
        <f aca="false">IF(COUNTIF('📆 Daily Schedule'!$M$5:$M$427,D47)&gt;0,"⚡ In Swap","✅ Available")</f>
        <v>✅ Available</v>
      </c>
    </row>
    <row r="48" customFormat="false" ht="15.75" hidden="false" customHeight="true" outlineLevel="0" collapsed="false">
      <c r="A48" s="271" t="n">
        <v>45</v>
      </c>
      <c r="B48" s="271" t="s">
        <v>674</v>
      </c>
      <c r="C48" s="279" t="n">
        <v>45</v>
      </c>
      <c r="D48" s="280" t="s">
        <v>707</v>
      </c>
      <c r="E48" s="185" t="s">
        <v>270</v>
      </c>
      <c r="F48" s="39" t="n">
        <v>0.5</v>
      </c>
      <c r="G48" s="40" t="n">
        <v>0.75</v>
      </c>
      <c r="H48" s="41" t="n">
        <v>1</v>
      </c>
      <c r="I48" s="281" t="n">
        <v>11</v>
      </c>
      <c r="J48" s="36" t="s">
        <v>617</v>
      </c>
      <c r="K48" s="282" t="n">
        <v>4</v>
      </c>
      <c r="L48" s="282" t="n">
        <v>3</v>
      </c>
      <c r="M48" s="188" t="s">
        <v>618</v>
      </c>
      <c r="N48" s="279" t="str">
        <f aca="false">IFERROR(IF(COUNTIF('📝 Daily Log'!$E$3:$E$600,D48)&gt;0,IF(COUNTIFS('📝 Daily Log'!$E$3:$E$600,D48,'📝 Daily Log'!$G$3:$G$600,"✅ Done")&gt;0,"✅ Done",IF(COUNTIFS('📝 Daily Log'!$E$3:$E$600,D48,'📝 Daily Log'!$G$3:$G$600,"🔄 Partial")&gt;0,"🔄 Partial","⬜ Pending")),"⬜ Pending"),"⬜ Pending")</f>
        <v>⬜ Pending</v>
      </c>
      <c r="O48" s="269"/>
      <c r="P48" s="279" t="str">
        <f aca="false">IF(O48&lt;&gt;"",O48,N48)</f>
        <v>⬜ Pending</v>
      </c>
      <c r="Q48" s="270" t="s">
        <v>708</v>
      </c>
      <c r="R48" s="271" t="str">
        <f aca="false">IF(COUNTIF('📆 Daily Schedule'!$M$5:$M$427,D48)&gt;0,"⚡ In Swap","✅ Available")</f>
        <v>✅ Available</v>
      </c>
    </row>
    <row r="49" customFormat="false" ht="15.75" hidden="false" customHeight="true" outlineLevel="0" collapsed="false">
      <c r="A49" s="271" t="n">
        <v>46</v>
      </c>
      <c r="B49" s="271" t="s">
        <v>674</v>
      </c>
      <c r="C49" s="76" t="n">
        <v>46</v>
      </c>
      <c r="D49" s="37" t="s">
        <v>709</v>
      </c>
      <c r="E49" s="185" t="s">
        <v>270</v>
      </c>
      <c r="F49" s="39" t="n">
        <v>0.5</v>
      </c>
      <c r="G49" s="40" t="n">
        <v>1</v>
      </c>
      <c r="H49" s="41" t="n">
        <v>1.5</v>
      </c>
      <c r="I49" s="272" t="n">
        <v>11</v>
      </c>
      <c r="J49" s="36" t="s">
        <v>617</v>
      </c>
      <c r="K49" s="273" t="n">
        <v>4</v>
      </c>
      <c r="L49" s="273" t="n">
        <v>3</v>
      </c>
      <c r="M49" s="188" t="s">
        <v>618</v>
      </c>
      <c r="N49" s="76" t="str">
        <f aca="false">IFERROR(IF(COUNTIF('📝 Daily Log'!$E$3:$E$600,D49)&gt;0,IF(COUNTIFS('📝 Daily Log'!$E$3:$E$600,D49,'📝 Daily Log'!$G$3:$G$600,"✅ Done")&gt;0,"✅ Done",IF(COUNTIFS('📝 Daily Log'!$E$3:$E$600,D49,'📝 Daily Log'!$G$3:$G$600,"🔄 Partial")&gt;0,"🔄 Partial","⬜ Pending")),"⬜ Pending"),"⬜ Pending")</f>
        <v>⬜ Pending</v>
      </c>
      <c r="O49" s="269"/>
      <c r="P49" s="76" t="str">
        <f aca="false">IF(O49&lt;&gt;"",O49,N49)</f>
        <v>⬜ Pending</v>
      </c>
      <c r="Q49" s="270" t="s">
        <v>710</v>
      </c>
      <c r="R49" s="271" t="str">
        <f aca="false">IF(COUNTIF('📆 Daily Schedule'!$M$5:$M$427,D49)&gt;0,"⚡ In Swap","✅ Available")</f>
        <v>✅ Available</v>
      </c>
    </row>
    <row r="50" customFormat="false" ht="15.75" hidden="false" customHeight="true" outlineLevel="0" collapsed="false">
      <c r="A50" s="271" t="n">
        <v>47</v>
      </c>
      <c r="B50" s="271" t="s">
        <v>674</v>
      </c>
      <c r="C50" s="279" t="n">
        <v>47</v>
      </c>
      <c r="D50" s="280" t="s">
        <v>711</v>
      </c>
      <c r="E50" s="185" t="s">
        <v>270</v>
      </c>
      <c r="F50" s="39" t="n">
        <v>0.3</v>
      </c>
      <c r="G50" s="40" t="n">
        <v>0.5</v>
      </c>
      <c r="H50" s="41" t="n">
        <v>0.75</v>
      </c>
      <c r="I50" s="281" t="n">
        <v>13</v>
      </c>
      <c r="J50" s="274" t="s">
        <v>623</v>
      </c>
      <c r="K50" s="282" t="n">
        <v>5</v>
      </c>
      <c r="L50" s="282" t="n">
        <v>3</v>
      </c>
      <c r="M50" s="188" t="s">
        <v>618</v>
      </c>
      <c r="N50" s="279" t="str">
        <f aca="false">IFERROR(IF(COUNTIF('📝 Daily Log'!$E$3:$E$600,D50)&gt;0,IF(COUNTIFS('📝 Daily Log'!$E$3:$E$600,D50,'📝 Daily Log'!$G$3:$G$600,"✅ Done")&gt;0,"✅ Done",IF(COUNTIFS('📝 Daily Log'!$E$3:$E$600,D50,'📝 Daily Log'!$G$3:$G$600,"🔄 Partial")&gt;0,"🔄 Partial","⬜ Pending")),"⬜ Pending"),"⬜ Pending")</f>
        <v>⬜ Pending</v>
      </c>
      <c r="O50" s="269"/>
      <c r="P50" s="279" t="str">
        <f aca="false">IF(O50&lt;&gt;"",O50,N50)</f>
        <v>⬜ Pending</v>
      </c>
      <c r="Q50" s="270" t="s">
        <v>712</v>
      </c>
      <c r="R50" s="271" t="str">
        <f aca="false">IF(COUNTIF('📆 Daily Schedule'!$M$5:$M$427,D50)&gt;0,"⚡ In Swap","✅ Available")</f>
        <v>✅ Available</v>
      </c>
    </row>
    <row r="51" customFormat="false" ht="15.75" hidden="false" customHeight="true" outlineLevel="0" collapsed="false">
      <c r="A51" s="271" t="n">
        <v>48</v>
      </c>
      <c r="B51" s="271" t="s">
        <v>674</v>
      </c>
      <c r="C51" s="76" t="n">
        <v>48</v>
      </c>
      <c r="D51" s="37" t="s">
        <v>713</v>
      </c>
      <c r="E51" s="185" t="s">
        <v>270</v>
      </c>
      <c r="F51" s="39" t="n">
        <v>1</v>
      </c>
      <c r="G51" s="40" t="n">
        <v>1.5</v>
      </c>
      <c r="H51" s="41" t="n">
        <v>2</v>
      </c>
      <c r="I51" s="272" t="n">
        <v>11</v>
      </c>
      <c r="J51" s="36" t="s">
        <v>617</v>
      </c>
      <c r="K51" s="273" t="n">
        <v>4</v>
      </c>
      <c r="L51" s="273" t="n">
        <v>3</v>
      </c>
      <c r="M51" s="188" t="s">
        <v>618</v>
      </c>
      <c r="N51" s="76" t="str">
        <f aca="false">IFERROR(IF(COUNTIF('📝 Daily Log'!$E$3:$E$600,D51)&gt;0,IF(COUNTIFS('📝 Daily Log'!$E$3:$E$600,D51,'📝 Daily Log'!$G$3:$G$600,"✅ Done")&gt;0,"✅ Done",IF(COUNTIFS('📝 Daily Log'!$E$3:$E$600,D51,'📝 Daily Log'!$G$3:$G$600,"🔄 Partial")&gt;0,"🔄 Partial","⬜ Pending")),"⬜ Pending"),"⬜ Pending")</f>
        <v>⬜ Pending</v>
      </c>
      <c r="O51" s="269"/>
      <c r="P51" s="76" t="str">
        <f aca="false">IF(O51&lt;&gt;"",O51,N51)</f>
        <v>⬜ Pending</v>
      </c>
      <c r="Q51" s="270" t="s">
        <v>714</v>
      </c>
      <c r="R51" s="271" t="str">
        <f aca="false">IF(COUNTIF('📆 Daily Schedule'!$M$5:$M$427,D51)&gt;0,"⚡ In Swap","✅ Available")</f>
        <v>✅ Available</v>
      </c>
    </row>
    <row r="52" customFormat="false" ht="15.75" hidden="false" customHeight="true" outlineLevel="0" collapsed="false">
      <c r="A52" s="271" t="n">
        <v>49</v>
      </c>
      <c r="B52" s="271" t="s">
        <v>674</v>
      </c>
      <c r="C52" s="279" t="n">
        <v>49</v>
      </c>
      <c r="D52" s="280" t="s">
        <v>715</v>
      </c>
      <c r="E52" s="185" t="s">
        <v>270</v>
      </c>
      <c r="F52" s="39" t="n">
        <v>1.5</v>
      </c>
      <c r="G52" s="40" t="n">
        <v>3</v>
      </c>
      <c r="H52" s="41" t="n">
        <v>5</v>
      </c>
      <c r="I52" s="281" t="n">
        <v>11</v>
      </c>
      <c r="J52" s="36" t="s">
        <v>617</v>
      </c>
      <c r="K52" s="282" t="n">
        <v>4</v>
      </c>
      <c r="L52" s="282" t="n">
        <v>3</v>
      </c>
      <c r="M52" s="188" t="s">
        <v>618</v>
      </c>
      <c r="N52" s="279" t="str">
        <f aca="false">IFERROR(IF(COUNTIF('📝 Daily Log'!$E$3:$E$600,D52)&gt;0,IF(COUNTIFS('📝 Daily Log'!$E$3:$E$600,D52,'📝 Daily Log'!$G$3:$G$600,"✅ Done")&gt;0,"✅ Done",IF(COUNTIFS('📝 Daily Log'!$E$3:$E$600,D52,'📝 Daily Log'!$G$3:$G$600,"🔄 Partial")&gt;0,"🔄 Partial","⬜ Pending")),"⬜ Pending"),"⬜ Pending")</f>
        <v>⬜ Pending</v>
      </c>
      <c r="O52" s="269"/>
      <c r="P52" s="279" t="str">
        <f aca="false">IF(O52&lt;&gt;"",O52,N52)</f>
        <v>⬜ Pending</v>
      </c>
      <c r="Q52" s="270" t="s">
        <v>716</v>
      </c>
      <c r="R52" s="271" t="str">
        <f aca="false">IF(COUNTIF('📆 Daily Schedule'!$M$5:$M$427,D52)&gt;0,"⚡ In Swap","✅ Available")</f>
        <v>✅ Available</v>
      </c>
    </row>
    <row r="53" customFormat="false" ht="15.75" hidden="false" customHeight="true" outlineLevel="0" collapsed="false">
      <c r="A53" s="32" t="n">
        <v>50</v>
      </c>
      <c r="B53" s="32" t="s">
        <v>717</v>
      </c>
      <c r="C53" s="76" t="n">
        <v>50</v>
      </c>
      <c r="D53" s="37" t="s">
        <v>718</v>
      </c>
      <c r="E53" s="188" t="s">
        <v>292</v>
      </c>
      <c r="F53" s="39" t="n">
        <v>0.5</v>
      </c>
      <c r="G53" s="40" t="n">
        <v>1</v>
      </c>
      <c r="H53" s="41" t="n">
        <v>1.5</v>
      </c>
      <c r="I53" s="272" t="n">
        <v>10</v>
      </c>
      <c r="J53" s="36" t="s">
        <v>617</v>
      </c>
      <c r="K53" s="273" t="n">
        <v>4</v>
      </c>
      <c r="L53" s="273" t="n">
        <v>2</v>
      </c>
      <c r="M53" s="182" t="s">
        <v>636</v>
      </c>
      <c r="N53" s="76" t="str">
        <f aca="false">IFERROR(IF(COUNTIF('📝 Daily Log'!$E$3:$E$600,D53)&gt;0,IF(COUNTIFS('📝 Daily Log'!$E$3:$E$600,D53,'📝 Daily Log'!$G$3:$G$600,"✅ Done")&gt;0,"✅ Done",IF(COUNTIFS('📝 Daily Log'!$E$3:$E$600,D53,'📝 Daily Log'!$G$3:$G$600,"🔄 Partial")&gt;0,"🔄 Partial","⬜ Pending")),"⬜ Pending"),"⬜ Pending")</f>
        <v>⬜ Pending</v>
      </c>
      <c r="O53" s="269"/>
      <c r="P53" s="76" t="str">
        <f aca="false">IF(O53&lt;&gt;"",O53,N53)</f>
        <v>⬜ Pending</v>
      </c>
      <c r="Q53" s="270" t="s">
        <v>719</v>
      </c>
      <c r="R53" s="271" t="str">
        <f aca="false">IF(COUNTIF('📆 Daily Schedule'!$M$5:$M$427,D53)&gt;0,"⚡ In Swap","✅ Available")</f>
        <v>✅ Available</v>
      </c>
    </row>
    <row r="54" customFormat="false" ht="15.75" hidden="false" customHeight="true" outlineLevel="0" collapsed="false">
      <c r="A54" s="32" t="n">
        <v>51</v>
      </c>
      <c r="B54" s="32" t="s">
        <v>717</v>
      </c>
      <c r="C54" s="283" t="n">
        <v>51</v>
      </c>
      <c r="D54" s="284" t="s">
        <v>720</v>
      </c>
      <c r="E54" s="188" t="s">
        <v>292</v>
      </c>
      <c r="F54" s="39" t="n">
        <v>0.5</v>
      </c>
      <c r="G54" s="40" t="n">
        <v>1</v>
      </c>
      <c r="H54" s="41" t="n">
        <v>1.5</v>
      </c>
      <c r="I54" s="285" t="n">
        <v>11</v>
      </c>
      <c r="J54" s="36" t="s">
        <v>617</v>
      </c>
      <c r="K54" s="286" t="n">
        <v>4</v>
      </c>
      <c r="L54" s="286" t="n">
        <v>3</v>
      </c>
      <c r="M54" s="182" t="s">
        <v>636</v>
      </c>
      <c r="N54" s="283" t="str">
        <f aca="false">IFERROR(IF(COUNTIF('📝 Daily Log'!$E$3:$E$600,D54)&gt;0,IF(COUNTIFS('📝 Daily Log'!$E$3:$E$600,D54,'📝 Daily Log'!$G$3:$G$600,"✅ Done")&gt;0,"✅ Done",IF(COUNTIFS('📝 Daily Log'!$E$3:$E$600,D54,'📝 Daily Log'!$G$3:$G$600,"🔄 Partial")&gt;0,"🔄 Partial","⬜ Pending")),"⬜ Pending"),"⬜ Pending")</f>
        <v>⬜ Pending</v>
      </c>
      <c r="O54" s="269"/>
      <c r="P54" s="283" t="str">
        <f aca="false">IF(O54&lt;&gt;"",O54,N54)</f>
        <v>⬜ Pending</v>
      </c>
      <c r="Q54" s="270" t="s">
        <v>721</v>
      </c>
      <c r="R54" s="271" t="str">
        <f aca="false">IF(COUNTIF('📆 Daily Schedule'!$M$5:$M$427,D54)&gt;0,"⚡ In Swap","✅ Available")</f>
        <v>✅ Available</v>
      </c>
    </row>
    <row r="55" customFormat="false" ht="15.75" hidden="false" customHeight="true" outlineLevel="0" collapsed="false">
      <c r="A55" s="32" t="n">
        <v>52</v>
      </c>
      <c r="B55" s="32" t="s">
        <v>717</v>
      </c>
      <c r="C55" s="76" t="n">
        <v>52</v>
      </c>
      <c r="D55" s="37" t="s">
        <v>722</v>
      </c>
      <c r="E55" s="188" t="s">
        <v>292</v>
      </c>
      <c r="F55" s="39" t="n">
        <v>0.5</v>
      </c>
      <c r="G55" s="40" t="n">
        <v>1</v>
      </c>
      <c r="H55" s="41" t="n">
        <v>1.5</v>
      </c>
      <c r="I55" s="272" t="n">
        <v>11</v>
      </c>
      <c r="J55" s="36" t="s">
        <v>617</v>
      </c>
      <c r="K55" s="273" t="n">
        <v>4</v>
      </c>
      <c r="L55" s="273" t="n">
        <v>3</v>
      </c>
      <c r="M55" s="182" t="s">
        <v>636</v>
      </c>
      <c r="N55" s="76" t="str">
        <f aca="false">IFERROR(IF(COUNTIF('📝 Daily Log'!$E$3:$E$600,D55)&gt;0,IF(COUNTIFS('📝 Daily Log'!$E$3:$E$600,D55,'📝 Daily Log'!$G$3:$G$600,"✅ Done")&gt;0,"✅ Done",IF(COUNTIFS('📝 Daily Log'!$E$3:$E$600,D55,'📝 Daily Log'!$G$3:$G$600,"🔄 Partial")&gt;0,"🔄 Partial","⬜ Pending")),"⬜ Pending"),"⬜ Pending")</f>
        <v>⬜ Pending</v>
      </c>
      <c r="O55" s="269"/>
      <c r="P55" s="76" t="str">
        <f aca="false">IF(O55&lt;&gt;"",O55,N55)</f>
        <v>⬜ Pending</v>
      </c>
      <c r="Q55" s="270" t="s">
        <v>723</v>
      </c>
      <c r="R55" s="271" t="str">
        <f aca="false">IF(COUNTIF('📆 Daily Schedule'!$M$5:$M$427,D55)&gt;0,"⚡ In Swap","✅ Available")</f>
        <v>✅ Available</v>
      </c>
    </row>
    <row r="56" customFormat="false" ht="15.75" hidden="false" customHeight="true" outlineLevel="0" collapsed="false">
      <c r="A56" s="32" t="n">
        <v>53</v>
      </c>
      <c r="B56" s="32" t="s">
        <v>717</v>
      </c>
      <c r="C56" s="283" t="n">
        <v>53</v>
      </c>
      <c r="D56" s="284" t="s">
        <v>724</v>
      </c>
      <c r="E56" s="188" t="s">
        <v>292</v>
      </c>
      <c r="F56" s="39" t="n">
        <v>0.5</v>
      </c>
      <c r="G56" s="40" t="n">
        <v>1</v>
      </c>
      <c r="H56" s="41" t="n">
        <v>1.5</v>
      </c>
      <c r="I56" s="285" t="n">
        <v>11</v>
      </c>
      <c r="J56" s="36" t="s">
        <v>617</v>
      </c>
      <c r="K56" s="286" t="n">
        <v>4</v>
      </c>
      <c r="L56" s="286" t="n">
        <v>3</v>
      </c>
      <c r="M56" s="182" t="s">
        <v>636</v>
      </c>
      <c r="N56" s="283" t="str">
        <f aca="false">IFERROR(IF(COUNTIF('📝 Daily Log'!$E$3:$E$600,D56)&gt;0,IF(COUNTIFS('📝 Daily Log'!$E$3:$E$600,D56,'📝 Daily Log'!$G$3:$G$600,"✅ Done")&gt;0,"✅ Done",IF(COUNTIFS('📝 Daily Log'!$E$3:$E$600,D56,'📝 Daily Log'!$G$3:$G$600,"🔄 Partial")&gt;0,"🔄 Partial","⬜ Pending")),"⬜ Pending"),"⬜ Pending")</f>
        <v>⬜ Pending</v>
      </c>
      <c r="O56" s="269"/>
      <c r="P56" s="283" t="str">
        <f aca="false">IF(O56&lt;&gt;"",O56,N56)</f>
        <v>⬜ Pending</v>
      </c>
      <c r="Q56" s="270" t="s">
        <v>725</v>
      </c>
      <c r="R56" s="271" t="str">
        <f aca="false">IF(COUNTIF('📆 Daily Schedule'!$M$5:$M$427,D56)&gt;0,"⚡ In Swap","✅ Available")</f>
        <v>✅ Available</v>
      </c>
    </row>
    <row r="57" customFormat="false" ht="15.75" hidden="false" customHeight="true" outlineLevel="0" collapsed="false">
      <c r="A57" s="32" t="n">
        <v>54</v>
      </c>
      <c r="B57" s="32" t="s">
        <v>717</v>
      </c>
      <c r="C57" s="76" t="n">
        <v>54</v>
      </c>
      <c r="D57" s="37" t="s">
        <v>726</v>
      </c>
      <c r="E57" s="188" t="s">
        <v>292</v>
      </c>
      <c r="F57" s="39" t="n">
        <v>0.3</v>
      </c>
      <c r="G57" s="40" t="n">
        <v>0.5</v>
      </c>
      <c r="H57" s="41" t="n">
        <v>0.75</v>
      </c>
      <c r="I57" s="272" t="n">
        <v>13</v>
      </c>
      <c r="J57" s="274" t="s">
        <v>623</v>
      </c>
      <c r="K57" s="273" t="n">
        <v>5</v>
      </c>
      <c r="L57" s="273" t="n">
        <v>3</v>
      </c>
      <c r="M57" s="188" t="s">
        <v>618</v>
      </c>
      <c r="N57" s="76" t="str">
        <f aca="false">IFERROR(IF(COUNTIF('📝 Daily Log'!$E$3:$E$600,D57)&gt;0,IF(COUNTIFS('📝 Daily Log'!$E$3:$E$600,D57,'📝 Daily Log'!$G$3:$G$600,"✅ Done")&gt;0,"✅ Done",IF(COUNTIFS('📝 Daily Log'!$E$3:$E$600,D57,'📝 Daily Log'!$G$3:$G$600,"🔄 Partial")&gt;0,"🔄 Partial","⬜ Pending")),"⬜ Pending"),"⬜ Pending")</f>
        <v>⬜ Pending</v>
      </c>
      <c r="O57" s="269"/>
      <c r="P57" s="76" t="str">
        <f aca="false">IF(O57&lt;&gt;"",O57,N57)</f>
        <v>⬜ Pending</v>
      </c>
      <c r="Q57" s="270" t="s">
        <v>727</v>
      </c>
      <c r="R57" s="271" t="str">
        <f aca="false">IF(COUNTIF('📆 Daily Schedule'!$M$5:$M$427,D57)&gt;0,"⚡ In Swap","✅ Available")</f>
        <v>✅ Available</v>
      </c>
    </row>
    <row r="58" customFormat="false" ht="15.75" hidden="false" customHeight="true" outlineLevel="0" collapsed="false">
      <c r="A58" s="32" t="n">
        <v>55</v>
      </c>
      <c r="B58" s="32" t="s">
        <v>717</v>
      </c>
      <c r="C58" s="283" t="n">
        <v>55</v>
      </c>
      <c r="D58" s="284" t="s">
        <v>728</v>
      </c>
      <c r="E58" s="188" t="s">
        <v>292</v>
      </c>
      <c r="F58" s="39" t="n">
        <v>1</v>
      </c>
      <c r="G58" s="40" t="n">
        <v>1.5</v>
      </c>
      <c r="H58" s="41" t="n">
        <v>2</v>
      </c>
      <c r="I58" s="285" t="n">
        <v>11</v>
      </c>
      <c r="J58" s="36" t="s">
        <v>617</v>
      </c>
      <c r="K58" s="286" t="n">
        <v>4</v>
      </c>
      <c r="L58" s="286" t="n">
        <v>3</v>
      </c>
      <c r="M58" s="182" t="s">
        <v>636</v>
      </c>
      <c r="N58" s="283" t="str">
        <f aca="false">IFERROR(IF(COUNTIF('📝 Daily Log'!$E$3:$E$600,D58)&gt;0,IF(COUNTIFS('📝 Daily Log'!$E$3:$E$600,D58,'📝 Daily Log'!$G$3:$G$600,"✅ Done")&gt;0,"✅ Done",IF(COUNTIFS('📝 Daily Log'!$E$3:$E$600,D58,'📝 Daily Log'!$G$3:$G$600,"🔄 Partial")&gt;0,"🔄 Partial","⬜ Pending")),"⬜ Pending"),"⬜ Pending")</f>
        <v>⬜ Pending</v>
      </c>
      <c r="O58" s="269"/>
      <c r="P58" s="283" t="str">
        <f aca="false">IF(O58&lt;&gt;"",O58,N58)</f>
        <v>⬜ Pending</v>
      </c>
      <c r="Q58" s="270" t="s">
        <v>729</v>
      </c>
      <c r="R58" s="271" t="str">
        <f aca="false">IF(COUNTIF('📆 Daily Schedule'!$M$5:$M$427,D58)&gt;0,"⚡ In Swap","✅ Available")</f>
        <v>✅ Available</v>
      </c>
    </row>
    <row r="59" customFormat="false" ht="15.75" hidden="false" customHeight="true" outlineLevel="0" collapsed="false">
      <c r="A59" s="32" t="n">
        <v>56</v>
      </c>
      <c r="B59" s="32" t="s">
        <v>717</v>
      </c>
      <c r="C59" s="76" t="n">
        <v>56</v>
      </c>
      <c r="D59" s="37" t="s">
        <v>730</v>
      </c>
      <c r="E59" s="188" t="s">
        <v>292</v>
      </c>
      <c r="F59" s="39" t="n">
        <v>1.5</v>
      </c>
      <c r="G59" s="40" t="n">
        <v>3</v>
      </c>
      <c r="H59" s="41" t="n">
        <v>5</v>
      </c>
      <c r="I59" s="272" t="n">
        <v>11</v>
      </c>
      <c r="J59" s="36" t="s">
        <v>617</v>
      </c>
      <c r="K59" s="273" t="n">
        <v>4</v>
      </c>
      <c r="L59" s="273" t="n">
        <v>3</v>
      </c>
      <c r="M59" s="182" t="s">
        <v>636</v>
      </c>
      <c r="N59" s="76" t="str">
        <f aca="false">IFERROR(IF(COUNTIF('📝 Daily Log'!$E$3:$E$600,D59)&gt;0,IF(COUNTIFS('📝 Daily Log'!$E$3:$E$600,D59,'📝 Daily Log'!$G$3:$G$600,"✅ Done")&gt;0,"✅ Done",IF(COUNTIFS('📝 Daily Log'!$E$3:$E$600,D59,'📝 Daily Log'!$G$3:$G$600,"🔄 Partial")&gt;0,"🔄 Partial","⬜ Pending")),"⬜ Pending"),"⬜ Pending")</f>
        <v>⬜ Pending</v>
      </c>
      <c r="O59" s="269"/>
      <c r="P59" s="76" t="str">
        <f aca="false">IF(O59&lt;&gt;"",O59,N59)</f>
        <v>⬜ Pending</v>
      </c>
      <c r="Q59" s="270" t="s">
        <v>731</v>
      </c>
      <c r="R59" s="271" t="str">
        <f aca="false">IF(COUNTIF('📆 Daily Schedule'!$M$5:$M$427,D59)&gt;0,"⚡ In Swap","✅ Available")</f>
        <v>✅ Available</v>
      </c>
    </row>
    <row r="60" customFormat="false" ht="15.75" hidden="false" customHeight="true" outlineLevel="0" collapsed="false">
      <c r="A60" s="32" t="n">
        <v>57</v>
      </c>
      <c r="B60" s="32" t="s">
        <v>717</v>
      </c>
      <c r="C60" s="283" t="n">
        <v>57</v>
      </c>
      <c r="D60" s="284" t="s">
        <v>732</v>
      </c>
      <c r="E60" s="188" t="s">
        <v>292</v>
      </c>
      <c r="F60" s="39" t="n">
        <v>0.5</v>
      </c>
      <c r="G60" s="40" t="n">
        <v>1</v>
      </c>
      <c r="H60" s="41" t="n">
        <v>1.5</v>
      </c>
      <c r="I60" s="285" t="n">
        <v>13</v>
      </c>
      <c r="J60" s="274" t="s">
        <v>623</v>
      </c>
      <c r="K60" s="286" t="n">
        <v>5</v>
      </c>
      <c r="L60" s="286" t="n">
        <v>3</v>
      </c>
      <c r="M60" s="188" t="s">
        <v>618</v>
      </c>
      <c r="N60" s="283" t="str">
        <f aca="false">IFERROR(IF(COUNTIF('📝 Daily Log'!$E$3:$E$600,D60)&gt;0,IF(COUNTIFS('📝 Daily Log'!$E$3:$E$600,D60,'📝 Daily Log'!$G$3:$G$600,"✅ Done")&gt;0,"✅ Done",IF(COUNTIFS('📝 Daily Log'!$E$3:$E$600,D60,'📝 Daily Log'!$G$3:$G$600,"🔄 Partial")&gt;0,"🔄 Partial","⬜ Pending")),"⬜ Pending"),"⬜ Pending")</f>
        <v>⬜ Pending</v>
      </c>
      <c r="O60" s="269"/>
      <c r="P60" s="283" t="str">
        <f aca="false">IF(O60&lt;&gt;"",O60,N60)</f>
        <v>⬜ Pending</v>
      </c>
      <c r="Q60" s="270" t="s">
        <v>733</v>
      </c>
      <c r="R60" s="271" t="str">
        <f aca="false">IF(COUNTIF('📆 Daily Schedule'!$M$5:$M$427,D60)&gt;0,"⚡ In Swap","✅ Available")</f>
        <v>✅ Available</v>
      </c>
    </row>
    <row r="61" customFormat="false" ht="15.75" hidden="false" customHeight="true" outlineLevel="0" collapsed="false">
      <c r="A61" s="32" t="n">
        <v>58</v>
      </c>
      <c r="B61" s="32" t="s">
        <v>717</v>
      </c>
      <c r="C61" s="76" t="n">
        <v>58</v>
      </c>
      <c r="D61" s="37" t="s">
        <v>734</v>
      </c>
      <c r="E61" s="188" t="s">
        <v>292</v>
      </c>
      <c r="F61" s="39" t="n">
        <v>0.5</v>
      </c>
      <c r="G61" s="40" t="n">
        <v>1</v>
      </c>
      <c r="H61" s="41" t="n">
        <v>1.5</v>
      </c>
      <c r="I61" s="272" t="n">
        <v>11</v>
      </c>
      <c r="J61" s="36" t="s">
        <v>617</v>
      </c>
      <c r="K61" s="273" t="n">
        <v>4</v>
      </c>
      <c r="L61" s="273" t="n">
        <v>3</v>
      </c>
      <c r="M61" s="188" t="s">
        <v>618</v>
      </c>
      <c r="N61" s="76" t="str">
        <f aca="false">IFERROR(IF(COUNTIF('📝 Daily Log'!$E$3:$E$600,D61)&gt;0,IF(COUNTIFS('📝 Daily Log'!$E$3:$E$600,D61,'📝 Daily Log'!$G$3:$G$600,"✅ Done")&gt;0,"✅ Done",IF(COUNTIFS('📝 Daily Log'!$E$3:$E$600,D61,'📝 Daily Log'!$G$3:$G$600,"🔄 Partial")&gt;0,"🔄 Partial","⬜ Pending")),"⬜ Pending"),"⬜ Pending")</f>
        <v>⬜ Pending</v>
      </c>
      <c r="O61" s="269"/>
      <c r="P61" s="76" t="str">
        <f aca="false">IF(O61&lt;&gt;"",O61,N61)</f>
        <v>⬜ Pending</v>
      </c>
      <c r="Q61" s="270" t="s">
        <v>735</v>
      </c>
      <c r="R61" s="271" t="str">
        <f aca="false">IF(COUNTIF('📆 Daily Schedule'!$M$5:$M$427,D61)&gt;0,"⚡ In Swap","✅ Available")</f>
        <v>✅ Available</v>
      </c>
    </row>
    <row r="62" customFormat="false" ht="15.75" hidden="false" customHeight="true" outlineLevel="0" collapsed="false">
      <c r="A62" s="32" t="n">
        <v>59</v>
      </c>
      <c r="B62" s="32" t="s">
        <v>717</v>
      </c>
      <c r="C62" s="283" t="n">
        <v>59</v>
      </c>
      <c r="D62" s="284" t="s">
        <v>736</v>
      </c>
      <c r="E62" s="188" t="s">
        <v>292</v>
      </c>
      <c r="F62" s="39" t="n">
        <v>0.5</v>
      </c>
      <c r="G62" s="40" t="n">
        <v>0.75</v>
      </c>
      <c r="H62" s="41" t="n">
        <v>1</v>
      </c>
      <c r="I62" s="285" t="n">
        <v>8</v>
      </c>
      <c r="J62" s="36" t="s">
        <v>617</v>
      </c>
      <c r="K62" s="286" t="n">
        <v>3</v>
      </c>
      <c r="L62" s="286" t="n">
        <v>2</v>
      </c>
      <c r="M62" s="188" t="s">
        <v>618</v>
      </c>
      <c r="N62" s="283" t="str">
        <f aca="false">IFERROR(IF(COUNTIF('📝 Daily Log'!$E$3:$E$600,D62)&gt;0,IF(COUNTIFS('📝 Daily Log'!$E$3:$E$600,D62,'📝 Daily Log'!$G$3:$G$600,"✅ Done")&gt;0,"✅ Done",IF(COUNTIFS('📝 Daily Log'!$E$3:$E$600,D62,'📝 Daily Log'!$G$3:$G$600,"🔄 Partial")&gt;0,"🔄 Partial","⬜ Pending")),"⬜ Pending"),"⬜ Pending")</f>
        <v>⬜ Pending</v>
      </c>
      <c r="O62" s="269"/>
      <c r="P62" s="283" t="str">
        <f aca="false">IF(O62&lt;&gt;"",O62,N62)</f>
        <v>⬜ Pending</v>
      </c>
      <c r="Q62" s="270" t="s">
        <v>737</v>
      </c>
      <c r="R62" s="271" t="str">
        <f aca="false">IF(COUNTIF('📆 Daily Schedule'!$M$5:$M$427,D62)&gt;0,"⚡ In Swap","✅ Available")</f>
        <v>✅ Available</v>
      </c>
    </row>
    <row r="63" customFormat="false" ht="15.75" hidden="false" customHeight="true" outlineLevel="0" collapsed="false">
      <c r="A63" s="32" t="n">
        <v>60</v>
      </c>
      <c r="B63" s="32" t="s">
        <v>717</v>
      </c>
      <c r="C63" s="76" t="n">
        <v>60</v>
      </c>
      <c r="D63" s="37" t="s">
        <v>738</v>
      </c>
      <c r="E63" s="188" t="s">
        <v>292</v>
      </c>
      <c r="F63" s="39" t="n">
        <v>0.5</v>
      </c>
      <c r="G63" s="40" t="n">
        <v>1</v>
      </c>
      <c r="H63" s="41" t="n">
        <v>1.5</v>
      </c>
      <c r="I63" s="272" t="n">
        <v>13</v>
      </c>
      <c r="J63" s="274" t="s">
        <v>623</v>
      </c>
      <c r="K63" s="273" t="n">
        <v>5</v>
      </c>
      <c r="L63" s="273" t="n">
        <v>3</v>
      </c>
      <c r="M63" s="188" t="s">
        <v>618</v>
      </c>
      <c r="N63" s="76" t="str">
        <f aca="false">IFERROR(IF(COUNTIF('📝 Daily Log'!$E$3:$E$600,D63)&gt;0,IF(COUNTIFS('📝 Daily Log'!$E$3:$E$600,D63,'📝 Daily Log'!$G$3:$G$600,"✅ Done")&gt;0,"✅ Done",IF(COUNTIFS('📝 Daily Log'!$E$3:$E$600,D63,'📝 Daily Log'!$G$3:$G$600,"🔄 Partial")&gt;0,"🔄 Partial","⬜ Pending")),"⬜ Pending"),"⬜ Pending")</f>
        <v>⬜ Pending</v>
      </c>
      <c r="O63" s="269"/>
      <c r="P63" s="76" t="str">
        <f aca="false">IF(O63&lt;&gt;"",O63,N63)</f>
        <v>⬜ Pending</v>
      </c>
      <c r="Q63" s="270" t="s">
        <v>739</v>
      </c>
      <c r="R63" s="271" t="str">
        <f aca="false">IF(COUNTIF('📆 Daily Schedule'!$M$5:$M$427,D63)&gt;0,"⚡ In Swap","✅ Available")</f>
        <v>✅ Available</v>
      </c>
    </row>
    <row r="64" customFormat="false" ht="15.75" hidden="false" customHeight="true" outlineLevel="0" collapsed="false">
      <c r="A64" s="32" t="n">
        <v>61</v>
      </c>
      <c r="B64" s="32" t="s">
        <v>717</v>
      </c>
      <c r="C64" s="283" t="n">
        <v>61</v>
      </c>
      <c r="D64" s="284" t="s">
        <v>740</v>
      </c>
      <c r="E64" s="188" t="s">
        <v>292</v>
      </c>
      <c r="F64" s="39" t="n">
        <v>0.3</v>
      </c>
      <c r="G64" s="40" t="n">
        <v>0.5</v>
      </c>
      <c r="H64" s="41" t="n">
        <v>0.75</v>
      </c>
      <c r="I64" s="285" t="n">
        <v>13</v>
      </c>
      <c r="J64" s="274" t="s">
        <v>623</v>
      </c>
      <c r="K64" s="286" t="n">
        <v>5</v>
      </c>
      <c r="L64" s="286" t="n">
        <v>3</v>
      </c>
      <c r="M64" s="188" t="s">
        <v>618</v>
      </c>
      <c r="N64" s="283" t="str">
        <f aca="false">IFERROR(IF(COUNTIF('📝 Daily Log'!$E$3:$E$600,D64)&gt;0,IF(COUNTIFS('📝 Daily Log'!$E$3:$E$600,D64,'📝 Daily Log'!$G$3:$G$600,"✅ Done")&gt;0,"✅ Done",IF(COUNTIFS('📝 Daily Log'!$E$3:$E$600,D64,'📝 Daily Log'!$G$3:$G$600,"🔄 Partial")&gt;0,"🔄 Partial","⬜ Pending")),"⬜ Pending"),"⬜ Pending")</f>
        <v>⬜ Pending</v>
      </c>
      <c r="O64" s="269"/>
      <c r="P64" s="283" t="str">
        <f aca="false">IF(O64&lt;&gt;"",O64,N64)</f>
        <v>⬜ Pending</v>
      </c>
      <c r="Q64" s="270" t="s">
        <v>741</v>
      </c>
      <c r="R64" s="271" t="str">
        <f aca="false">IF(COUNTIF('📆 Daily Schedule'!$M$5:$M$427,D64)&gt;0,"⚡ In Swap","✅ Available")</f>
        <v>✅ Available</v>
      </c>
    </row>
    <row r="65" customFormat="false" ht="15.75" hidden="false" customHeight="true" outlineLevel="0" collapsed="false">
      <c r="A65" s="32" t="n">
        <v>62</v>
      </c>
      <c r="B65" s="32" t="s">
        <v>717</v>
      </c>
      <c r="C65" s="76" t="n">
        <v>62</v>
      </c>
      <c r="D65" s="37" t="s">
        <v>742</v>
      </c>
      <c r="E65" s="188" t="s">
        <v>292</v>
      </c>
      <c r="F65" s="39" t="n">
        <v>1</v>
      </c>
      <c r="G65" s="40" t="n">
        <v>1.5</v>
      </c>
      <c r="H65" s="41" t="n">
        <v>2</v>
      </c>
      <c r="I65" s="272" t="n">
        <v>14</v>
      </c>
      <c r="J65" s="274" t="s">
        <v>623</v>
      </c>
      <c r="K65" s="273" t="n">
        <v>5</v>
      </c>
      <c r="L65" s="273" t="n">
        <v>4</v>
      </c>
      <c r="M65" s="188" t="s">
        <v>618</v>
      </c>
      <c r="N65" s="76" t="str">
        <f aca="false">IFERROR(IF(COUNTIF('📝 Daily Log'!$E$3:$E$600,D65)&gt;0,IF(COUNTIFS('📝 Daily Log'!$E$3:$E$600,D65,'📝 Daily Log'!$G$3:$G$600,"✅ Done")&gt;0,"✅ Done",IF(COUNTIFS('📝 Daily Log'!$E$3:$E$600,D65,'📝 Daily Log'!$G$3:$G$600,"🔄 Partial")&gt;0,"🔄 Partial","⬜ Pending")),"⬜ Pending"),"⬜ Pending")</f>
        <v>⬜ Pending</v>
      </c>
      <c r="O65" s="269"/>
      <c r="P65" s="76" t="str">
        <f aca="false">IF(O65&lt;&gt;"",O65,N65)</f>
        <v>⬜ Pending</v>
      </c>
      <c r="Q65" s="270" t="s">
        <v>743</v>
      </c>
      <c r="R65" s="271" t="str">
        <f aca="false">IF(COUNTIF('📆 Daily Schedule'!$M$5:$M$427,D65)&gt;0,"⚡ In Swap","✅ Available")</f>
        <v>✅ Available</v>
      </c>
    </row>
    <row r="66" customFormat="false" ht="15.75" hidden="false" customHeight="true" outlineLevel="0" collapsed="false">
      <c r="A66" s="32" t="n">
        <v>63</v>
      </c>
      <c r="B66" s="32" t="s">
        <v>717</v>
      </c>
      <c r="C66" s="283" t="n">
        <v>63</v>
      </c>
      <c r="D66" s="284" t="s">
        <v>744</v>
      </c>
      <c r="E66" s="188" t="s">
        <v>292</v>
      </c>
      <c r="F66" s="39" t="n">
        <v>1.5</v>
      </c>
      <c r="G66" s="40" t="n">
        <v>2</v>
      </c>
      <c r="H66" s="41" t="n">
        <v>3</v>
      </c>
      <c r="I66" s="285" t="n">
        <v>11</v>
      </c>
      <c r="J66" s="36" t="s">
        <v>617</v>
      </c>
      <c r="K66" s="286" t="n">
        <v>4</v>
      </c>
      <c r="L66" s="286" t="n">
        <v>3</v>
      </c>
      <c r="M66" s="188" t="s">
        <v>618</v>
      </c>
      <c r="N66" s="283" t="str">
        <f aca="false">IFERROR(IF(COUNTIF('📝 Daily Log'!$E$3:$E$600,D66)&gt;0,IF(COUNTIFS('📝 Daily Log'!$E$3:$E$600,D66,'📝 Daily Log'!$G$3:$G$600,"✅ Done")&gt;0,"✅ Done",IF(COUNTIFS('📝 Daily Log'!$E$3:$E$600,D66,'📝 Daily Log'!$G$3:$G$600,"🔄 Partial")&gt;0,"🔄 Partial","⬜ Pending")),"⬜ Pending"),"⬜ Pending")</f>
        <v>⬜ Pending</v>
      </c>
      <c r="O66" s="269"/>
      <c r="P66" s="283" t="str">
        <f aca="false">IF(O66&lt;&gt;"",O66,N66)</f>
        <v>⬜ Pending</v>
      </c>
      <c r="Q66" s="270" t="s">
        <v>302</v>
      </c>
      <c r="R66" s="271" t="str">
        <f aca="false">IF(COUNTIF('📆 Daily Schedule'!$M$5:$M$427,D66)&gt;0,"⚡ In Swap","✅ Available")</f>
        <v>✅ Available</v>
      </c>
    </row>
    <row r="67" customFormat="false" ht="15.75" hidden="false" customHeight="true" outlineLevel="0" collapsed="false">
      <c r="A67" s="36" t="n">
        <v>64</v>
      </c>
      <c r="B67" s="36" t="s">
        <v>745</v>
      </c>
      <c r="C67" s="76" t="n">
        <v>64</v>
      </c>
      <c r="D67" s="37" t="s">
        <v>746</v>
      </c>
      <c r="E67" s="190" t="s">
        <v>308</v>
      </c>
      <c r="F67" s="39" t="n">
        <v>0.5</v>
      </c>
      <c r="G67" s="40" t="n">
        <v>1</v>
      </c>
      <c r="H67" s="41" t="n">
        <v>1.5</v>
      </c>
      <c r="I67" s="272" t="n">
        <v>14</v>
      </c>
      <c r="J67" s="274" t="s">
        <v>623</v>
      </c>
      <c r="K67" s="273" t="n">
        <v>5</v>
      </c>
      <c r="L67" s="273" t="n">
        <v>4</v>
      </c>
      <c r="M67" s="182" t="s">
        <v>636</v>
      </c>
      <c r="N67" s="76" t="str">
        <f aca="false">IFERROR(IF(COUNTIF('📝 Daily Log'!$E$3:$E$600,D67)&gt;0,IF(COUNTIFS('📝 Daily Log'!$E$3:$E$600,D67,'📝 Daily Log'!$G$3:$G$600,"✅ Done")&gt;0,"✅ Done",IF(COUNTIFS('📝 Daily Log'!$E$3:$E$600,D67,'📝 Daily Log'!$G$3:$G$600,"🔄 Partial")&gt;0,"🔄 Partial","⬜ Pending")),"⬜ Pending"),"⬜ Pending")</f>
        <v>⬜ Pending</v>
      </c>
      <c r="O67" s="269"/>
      <c r="P67" s="76" t="str">
        <f aca="false">IF(O67&lt;&gt;"",O67,N67)</f>
        <v>⬜ Pending</v>
      </c>
      <c r="Q67" s="270" t="s">
        <v>747</v>
      </c>
      <c r="R67" s="271" t="str">
        <f aca="false">IF(COUNTIF('📆 Daily Schedule'!$M$5:$M$427,D67)&gt;0,"⚡ In Swap","✅ Available")</f>
        <v>✅ Available</v>
      </c>
    </row>
    <row r="68" customFormat="false" ht="15.75" hidden="false" customHeight="true" outlineLevel="0" collapsed="false">
      <c r="A68" s="36" t="n">
        <v>65</v>
      </c>
      <c r="B68" s="36" t="s">
        <v>745</v>
      </c>
      <c r="C68" s="85" t="n">
        <v>65</v>
      </c>
      <c r="D68" s="287" t="s">
        <v>748</v>
      </c>
      <c r="E68" s="190" t="s">
        <v>308</v>
      </c>
      <c r="F68" s="39" t="n">
        <v>0.5</v>
      </c>
      <c r="G68" s="40" t="n">
        <v>1</v>
      </c>
      <c r="H68" s="41" t="n">
        <v>1.5</v>
      </c>
      <c r="I68" s="288" t="n">
        <v>14</v>
      </c>
      <c r="J68" s="274" t="s">
        <v>623</v>
      </c>
      <c r="K68" s="289" t="n">
        <v>5</v>
      </c>
      <c r="L68" s="289" t="n">
        <v>4</v>
      </c>
      <c r="M68" s="182" t="s">
        <v>636</v>
      </c>
      <c r="N68" s="85" t="str">
        <f aca="false">IFERROR(IF(COUNTIF('📝 Daily Log'!$E$3:$E$600,D68)&gt;0,IF(COUNTIFS('📝 Daily Log'!$E$3:$E$600,D68,'📝 Daily Log'!$G$3:$G$600,"✅ Done")&gt;0,"✅ Done",IF(COUNTIFS('📝 Daily Log'!$E$3:$E$600,D68,'📝 Daily Log'!$G$3:$G$600,"🔄 Partial")&gt;0,"🔄 Partial","⬜ Pending")),"⬜ Pending"),"⬜ Pending")</f>
        <v>⬜ Pending</v>
      </c>
      <c r="O68" s="269"/>
      <c r="P68" s="85" t="str">
        <f aca="false">IF(O68&lt;&gt;"",O68,N68)</f>
        <v>⬜ Pending</v>
      </c>
      <c r="Q68" s="270" t="s">
        <v>749</v>
      </c>
      <c r="R68" s="271" t="str">
        <f aca="false">IF(COUNTIF('📆 Daily Schedule'!$M$5:$M$427,D68)&gt;0,"⚡ In Swap","✅ Available")</f>
        <v>✅ Available</v>
      </c>
    </row>
    <row r="69" customFormat="false" ht="15.75" hidden="false" customHeight="true" outlineLevel="0" collapsed="false">
      <c r="A69" s="36" t="n">
        <v>66</v>
      </c>
      <c r="B69" s="36" t="s">
        <v>745</v>
      </c>
      <c r="C69" s="76" t="n">
        <v>66</v>
      </c>
      <c r="D69" s="37" t="s">
        <v>750</v>
      </c>
      <c r="E69" s="190" t="s">
        <v>308</v>
      </c>
      <c r="F69" s="39" t="n">
        <v>0.5</v>
      </c>
      <c r="G69" s="40" t="n">
        <v>1</v>
      </c>
      <c r="H69" s="41" t="n">
        <v>1.5</v>
      </c>
      <c r="I69" s="272" t="n">
        <v>14</v>
      </c>
      <c r="J69" s="274" t="s">
        <v>623</v>
      </c>
      <c r="K69" s="273" t="n">
        <v>5</v>
      </c>
      <c r="L69" s="273" t="n">
        <v>4</v>
      </c>
      <c r="M69" s="182" t="s">
        <v>636</v>
      </c>
      <c r="N69" s="76" t="str">
        <f aca="false">IFERROR(IF(COUNTIF('📝 Daily Log'!$E$3:$E$600,D69)&gt;0,IF(COUNTIFS('📝 Daily Log'!$E$3:$E$600,D69,'📝 Daily Log'!$G$3:$G$600,"✅ Done")&gt;0,"✅ Done",IF(COUNTIFS('📝 Daily Log'!$E$3:$E$600,D69,'📝 Daily Log'!$G$3:$G$600,"🔄 Partial")&gt;0,"🔄 Partial","⬜ Pending")),"⬜ Pending"),"⬜ Pending")</f>
        <v>⬜ Pending</v>
      </c>
      <c r="O69" s="269"/>
      <c r="P69" s="76" t="str">
        <f aca="false">IF(O69&lt;&gt;"",O69,N69)</f>
        <v>⬜ Pending</v>
      </c>
      <c r="Q69" s="270" t="s">
        <v>751</v>
      </c>
      <c r="R69" s="271" t="str">
        <f aca="false">IF(COUNTIF('📆 Daily Schedule'!$M$5:$M$427,D69)&gt;0,"⚡ In Swap","✅ Available")</f>
        <v>✅ Available</v>
      </c>
    </row>
    <row r="70" customFormat="false" ht="15.75" hidden="false" customHeight="true" outlineLevel="0" collapsed="false">
      <c r="A70" s="36" t="n">
        <v>67</v>
      </c>
      <c r="B70" s="36" t="s">
        <v>745</v>
      </c>
      <c r="C70" s="85" t="n">
        <v>67</v>
      </c>
      <c r="D70" s="287" t="s">
        <v>752</v>
      </c>
      <c r="E70" s="190" t="s">
        <v>308</v>
      </c>
      <c r="F70" s="39" t="n">
        <v>0.5</v>
      </c>
      <c r="G70" s="40" t="n">
        <v>1</v>
      </c>
      <c r="H70" s="41" t="n">
        <v>1.5</v>
      </c>
      <c r="I70" s="288" t="n">
        <v>11</v>
      </c>
      <c r="J70" s="36" t="s">
        <v>617</v>
      </c>
      <c r="K70" s="289" t="n">
        <v>4</v>
      </c>
      <c r="L70" s="289" t="n">
        <v>3</v>
      </c>
      <c r="M70" s="182" t="s">
        <v>636</v>
      </c>
      <c r="N70" s="85" t="str">
        <f aca="false">IFERROR(IF(COUNTIF('📝 Daily Log'!$E$3:$E$600,D70)&gt;0,IF(COUNTIFS('📝 Daily Log'!$E$3:$E$600,D70,'📝 Daily Log'!$G$3:$G$600,"✅ Done")&gt;0,"✅ Done",IF(COUNTIFS('📝 Daily Log'!$E$3:$E$600,D70,'📝 Daily Log'!$G$3:$G$600,"🔄 Partial")&gt;0,"🔄 Partial","⬜ Pending")),"⬜ Pending"),"⬜ Pending")</f>
        <v>⬜ Pending</v>
      </c>
      <c r="O70" s="269"/>
      <c r="P70" s="85" t="str">
        <f aca="false">IF(O70&lt;&gt;"",O70,N70)</f>
        <v>⬜ Pending</v>
      </c>
      <c r="Q70" s="270" t="s">
        <v>753</v>
      </c>
      <c r="R70" s="271" t="str">
        <f aca="false">IF(COUNTIF('📆 Daily Schedule'!$M$5:$M$427,D70)&gt;0,"⚡ In Swap","✅ Available")</f>
        <v>✅ Available</v>
      </c>
    </row>
    <row r="71" customFormat="false" ht="15.75" hidden="false" customHeight="true" outlineLevel="0" collapsed="false">
      <c r="A71" s="36" t="n">
        <v>68</v>
      </c>
      <c r="B71" s="36" t="s">
        <v>745</v>
      </c>
      <c r="C71" s="76" t="n">
        <v>68</v>
      </c>
      <c r="D71" s="37" t="s">
        <v>754</v>
      </c>
      <c r="E71" s="190" t="s">
        <v>308</v>
      </c>
      <c r="F71" s="39" t="n">
        <v>0.3</v>
      </c>
      <c r="G71" s="40" t="n">
        <v>0.5</v>
      </c>
      <c r="H71" s="41" t="n">
        <v>0.75</v>
      </c>
      <c r="I71" s="272" t="n">
        <v>14</v>
      </c>
      <c r="J71" s="274" t="s">
        <v>623</v>
      </c>
      <c r="K71" s="273" t="n">
        <v>5</v>
      </c>
      <c r="L71" s="273" t="n">
        <v>4</v>
      </c>
      <c r="M71" s="188" t="s">
        <v>618</v>
      </c>
      <c r="N71" s="76" t="str">
        <f aca="false">IFERROR(IF(COUNTIF('📝 Daily Log'!$E$3:$E$600,D71)&gt;0,IF(COUNTIFS('📝 Daily Log'!$E$3:$E$600,D71,'📝 Daily Log'!$G$3:$G$600,"✅ Done")&gt;0,"✅ Done",IF(COUNTIFS('📝 Daily Log'!$E$3:$E$600,D71,'📝 Daily Log'!$G$3:$G$600,"🔄 Partial")&gt;0,"🔄 Partial","⬜ Pending")),"⬜ Pending"),"⬜ Pending")</f>
        <v>⬜ Pending</v>
      </c>
      <c r="O71" s="269"/>
      <c r="P71" s="76" t="str">
        <f aca="false">IF(O71&lt;&gt;"",O71,N71)</f>
        <v>⬜ Pending</v>
      </c>
      <c r="Q71" s="270" t="s">
        <v>755</v>
      </c>
      <c r="R71" s="271" t="str">
        <f aca="false">IF(COUNTIF('📆 Daily Schedule'!$M$5:$M$427,D71)&gt;0,"⚡ In Swap","✅ Available")</f>
        <v>✅ Available</v>
      </c>
    </row>
    <row r="72" customFormat="false" ht="15.75" hidden="false" customHeight="true" outlineLevel="0" collapsed="false">
      <c r="A72" s="36" t="n">
        <v>69</v>
      </c>
      <c r="B72" s="36" t="s">
        <v>745</v>
      </c>
      <c r="C72" s="85" t="n">
        <v>69</v>
      </c>
      <c r="D72" s="287" t="s">
        <v>756</v>
      </c>
      <c r="E72" s="190" t="s">
        <v>308</v>
      </c>
      <c r="F72" s="39" t="n">
        <v>1</v>
      </c>
      <c r="G72" s="40" t="n">
        <v>1.5</v>
      </c>
      <c r="H72" s="41" t="n">
        <v>2</v>
      </c>
      <c r="I72" s="288" t="n">
        <v>12</v>
      </c>
      <c r="J72" s="274" t="s">
        <v>623</v>
      </c>
      <c r="K72" s="289" t="n">
        <v>4</v>
      </c>
      <c r="L72" s="289" t="n">
        <v>4</v>
      </c>
      <c r="M72" s="188" t="s">
        <v>618</v>
      </c>
      <c r="N72" s="85" t="str">
        <f aca="false">IFERROR(IF(COUNTIF('📝 Daily Log'!$E$3:$E$600,D72)&gt;0,IF(COUNTIFS('📝 Daily Log'!$E$3:$E$600,D72,'📝 Daily Log'!$G$3:$G$600,"✅ Done")&gt;0,"✅ Done",IF(COUNTIFS('📝 Daily Log'!$E$3:$E$600,D72,'📝 Daily Log'!$G$3:$G$600,"🔄 Partial")&gt;0,"🔄 Partial","⬜ Pending")),"⬜ Pending"),"⬜ Pending")</f>
        <v>⬜ Pending</v>
      </c>
      <c r="O72" s="269"/>
      <c r="P72" s="85" t="str">
        <f aca="false">IF(O72&lt;&gt;"",O72,N72)</f>
        <v>⬜ Pending</v>
      </c>
      <c r="Q72" s="270" t="s">
        <v>757</v>
      </c>
      <c r="R72" s="271" t="str">
        <f aca="false">IF(COUNTIF('📆 Daily Schedule'!$M$5:$M$427,D72)&gt;0,"⚡ In Swap","✅ Available")</f>
        <v>✅ Available</v>
      </c>
    </row>
    <row r="73" customFormat="false" ht="15.75" hidden="false" customHeight="true" outlineLevel="0" collapsed="false">
      <c r="A73" s="36" t="n">
        <v>70</v>
      </c>
      <c r="B73" s="36" t="s">
        <v>745</v>
      </c>
      <c r="C73" s="76" t="n">
        <v>70</v>
      </c>
      <c r="D73" s="37" t="s">
        <v>758</v>
      </c>
      <c r="E73" s="190" t="s">
        <v>308</v>
      </c>
      <c r="F73" s="39" t="n">
        <v>1.5</v>
      </c>
      <c r="G73" s="40" t="n">
        <v>3</v>
      </c>
      <c r="H73" s="41" t="n">
        <v>5</v>
      </c>
      <c r="I73" s="272" t="n">
        <v>13</v>
      </c>
      <c r="J73" s="274" t="s">
        <v>623</v>
      </c>
      <c r="K73" s="273" t="n">
        <v>5</v>
      </c>
      <c r="L73" s="273" t="n">
        <v>3</v>
      </c>
      <c r="M73" s="182" t="s">
        <v>636</v>
      </c>
      <c r="N73" s="76" t="str">
        <f aca="false">IFERROR(IF(COUNTIF('📝 Daily Log'!$E$3:$E$600,D73)&gt;0,IF(COUNTIFS('📝 Daily Log'!$E$3:$E$600,D73,'📝 Daily Log'!$G$3:$G$600,"✅ Done")&gt;0,"✅ Done",IF(COUNTIFS('📝 Daily Log'!$E$3:$E$600,D73,'📝 Daily Log'!$G$3:$G$600,"🔄 Partial")&gt;0,"🔄 Partial","⬜ Pending")),"⬜ Pending"),"⬜ Pending")</f>
        <v>⬜ Pending</v>
      </c>
      <c r="O73" s="269"/>
      <c r="P73" s="76" t="str">
        <f aca="false">IF(O73&lt;&gt;"",O73,N73)</f>
        <v>⬜ Pending</v>
      </c>
      <c r="Q73" s="270" t="s">
        <v>731</v>
      </c>
      <c r="R73" s="271" t="str">
        <f aca="false">IF(COUNTIF('📆 Daily Schedule'!$M$5:$M$427,D73)&gt;0,"⚡ In Swap","✅ Available")</f>
        <v>✅ Available</v>
      </c>
    </row>
    <row r="74" customFormat="false" ht="15.75" hidden="false" customHeight="true" outlineLevel="0" collapsed="false">
      <c r="A74" s="36" t="n">
        <v>71</v>
      </c>
      <c r="B74" s="36" t="s">
        <v>745</v>
      </c>
      <c r="C74" s="85" t="n">
        <v>71</v>
      </c>
      <c r="D74" s="287" t="s">
        <v>759</v>
      </c>
      <c r="E74" s="190" t="s">
        <v>308</v>
      </c>
      <c r="F74" s="39" t="n">
        <v>0.5</v>
      </c>
      <c r="G74" s="40" t="n">
        <v>1</v>
      </c>
      <c r="H74" s="41" t="n">
        <v>1.5</v>
      </c>
      <c r="I74" s="288" t="n">
        <v>10</v>
      </c>
      <c r="J74" s="36" t="s">
        <v>617</v>
      </c>
      <c r="K74" s="289" t="n">
        <v>3</v>
      </c>
      <c r="L74" s="289" t="n">
        <v>4</v>
      </c>
      <c r="M74" s="188" t="s">
        <v>618</v>
      </c>
      <c r="N74" s="85" t="str">
        <f aca="false">IFERROR(IF(COUNTIF('📝 Daily Log'!$E$3:$E$600,D74)&gt;0,IF(COUNTIFS('📝 Daily Log'!$E$3:$E$600,D74,'📝 Daily Log'!$G$3:$G$600,"✅ Done")&gt;0,"✅ Done",IF(COUNTIFS('📝 Daily Log'!$E$3:$E$600,D74,'📝 Daily Log'!$G$3:$G$600,"🔄 Partial")&gt;0,"🔄 Partial","⬜ Pending")),"⬜ Pending"),"⬜ Pending")</f>
        <v>⬜ Pending</v>
      </c>
      <c r="O74" s="269"/>
      <c r="P74" s="85" t="str">
        <f aca="false">IF(O74&lt;&gt;"",O74,N74)</f>
        <v>⬜ Pending</v>
      </c>
      <c r="Q74" s="270" t="s">
        <v>760</v>
      </c>
      <c r="R74" s="271" t="str">
        <f aca="false">IF(COUNTIF('📆 Daily Schedule'!$M$5:$M$427,D74)&gt;0,"⚡ In Swap","✅ Available")</f>
        <v>✅ Available</v>
      </c>
    </row>
    <row r="75" customFormat="false" ht="15.75" hidden="false" customHeight="true" outlineLevel="0" collapsed="false">
      <c r="A75" s="36" t="n">
        <v>72</v>
      </c>
      <c r="B75" s="36" t="s">
        <v>745</v>
      </c>
      <c r="C75" s="76" t="n">
        <v>72</v>
      </c>
      <c r="D75" s="37" t="s">
        <v>761</v>
      </c>
      <c r="E75" s="190" t="s">
        <v>308</v>
      </c>
      <c r="F75" s="39" t="n">
        <v>0.5</v>
      </c>
      <c r="G75" s="40" t="n">
        <v>0.75</v>
      </c>
      <c r="H75" s="41" t="n">
        <v>1</v>
      </c>
      <c r="I75" s="272" t="n">
        <v>9</v>
      </c>
      <c r="J75" s="36" t="s">
        <v>617</v>
      </c>
      <c r="K75" s="273" t="n">
        <v>3</v>
      </c>
      <c r="L75" s="273" t="n">
        <v>3</v>
      </c>
      <c r="M75" s="188" t="s">
        <v>618</v>
      </c>
      <c r="N75" s="76" t="str">
        <f aca="false">IFERROR(IF(COUNTIF('📝 Daily Log'!$E$3:$E$600,D75)&gt;0,IF(COUNTIFS('📝 Daily Log'!$E$3:$E$600,D75,'📝 Daily Log'!$G$3:$G$600,"✅ Done")&gt;0,"✅ Done",IF(COUNTIFS('📝 Daily Log'!$E$3:$E$600,D75,'📝 Daily Log'!$G$3:$G$600,"🔄 Partial")&gt;0,"🔄 Partial","⬜ Pending")),"⬜ Pending"),"⬜ Pending")</f>
        <v>⬜ Pending</v>
      </c>
      <c r="O75" s="269"/>
      <c r="P75" s="76" t="str">
        <f aca="false">IF(O75&lt;&gt;"",O75,N75)</f>
        <v>⬜ Pending</v>
      </c>
      <c r="Q75" s="270" t="s">
        <v>762</v>
      </c>
      <c r="R75" s="271" t="str">
        <f aca="false">IF(COUNTIF('📆 Daily Schedule'!$M$5:$M$427,D75)&gt;0,"⚡ In Swap","✅ Available")</f>
        <v>✅ Available</v>
      </c>
    </row>
    <row r="76" customFormat="false" ht="15.75" hidden="false" customHeight="true" outlineLevel="0" collapsed="false">
      <c r="A76" s="36" t="n">
        <v>73</v>
      </c>
      <c r="B76" s="36" t="s">
        <v>745</v>
      </c>
      <c r="C76" s="85" t="n">
        <v>73</v>
      </c>
      <c r="D76" s="287" t="s">
        <v>763</v>
      </c>
      <c r="E76" s="190" t="s">
        <v>308</v>
      </c>
      <c r="F76" s="39" t="n">
        <v>0.5</v>
      </c>
      <c r="G76" s="40" t="n">
        <v>1</v>
      </c>
      <c r="H76" s="41" t="n">
        <v>1.5</v>
      </c>
      <c r="I76" s="288" t="n">
        <v>13</v>
      </c>
      <c r="J76" s="274" t="s">
        <v>623</v>
      </c>
      <c r="K76" s="289" t="n">
        <v>5</v>
      </c>
      <c r="L76" s="289" t="n">
        <v>3</v>
      </c>
      <c r="M76" s="188" t="s">
        <v>618</v>
      </c>
      <c r="N76" s="85" t="str">
        <f aca="false">IFERROR(IF(COUNTIF('📝 Daily Log'!$E$3:$E$600,D76)&gt;0,IF(COUNTIFS('📝 Daily Log'!$E$3:$E$600,D76,'📝 Daily Log'!$G$3:$G$600,"✅ Done")&gt;0,"✅ Done",IF(COUNTIFS('📝 Daily Log'!$E$3:$E$600,D76,'📝 Daily Log'!$G$3:$G$600,"🔄 Partial")&gt;0,"🔄 Partial","⬜ Pending")),"⬜ Pending"),"⬜ Pending")</f>
        <v>⬜ Pending</v>
      </c>
      <c r="O76" s="269"/>
      <c r="P76" s="85" t="str">
        <f aca="false">IF(O76&lt;&gt;"",O76,N76)</f>
        <v>⬜ Pending</v>
      </c>
      <c r="Q76" s="270" t="s">
        <v>764</v>
      </c>
      <c r="R76" s="271" t="str">
        <f aca="false">IF(COUNTIF('📆 Daily Schedule'!$M$5:$M$427,D76)&gt;0,"⚡ In Swap","✅ Available")</f>
        <v>✅ Available</v>
      </c>
    </row>
    <row r="77" customFormat="false" ht="15.75" hidden="false" customHeight="true" outlineLevel="0" collapsed="false">
      <c r="A77" s="36" t="n">
        <v>74</v>
      </c>
      <c r="B77" s="36" t="s">
        <v>745</v>
      </c>
      <c r="C77" s="76" t="n">
        <v>74</v>
      </c>
      <c r="D77" s="37" t="s">
        <v>765</v>
      </c>
      <c r="E77" s="190" t="s">
        <v>308</v>
      </c>
      <c r="F77" s="39" t="n">
        <v>0.5</v>
      </c>
      <c r="G77" s="40" t="n">
        <v>0.75</v>
      </c>
      <c r="H77" s="41" t="n">
        <v>1</v>
      </c>
      <c r="I77" s="272" t="n">
        <v>11</v>
      </c>
      <c r="J77" s="36" t="s">
        <v>617</v>
      </c>
      <c r="K77" s="273" t="n">
        <v>4</v>
      </c>
      <c r="L77" s="273" t="n">
        <v>3</v>
      </c>
      <c r="M77" s="188" t="s">
        <v>618</v>
      </c>
      <c r="N77" s="76" t="str">
        <f aca="false">IFERROR(IF(COUNTIF('📝 Daily Log'!$E$3:$E$600,D77)&gt;0,IF(COUNTIFS('📝 Daily Log'!$E$3:$E$600,D77,'📝 Daily Log'!$G$3:$G$600,"✅ Done")&gt;0,"✅ Done",IF(COUNTIFS('📝 Daily Log'!$E$3:$E$600,D77,'📝 Daily Log'!$G$3:$G$600,"🔄 Partial")&gt;0,"🔄 Partial","⬜ Pending")),"⬜ Pending"),"⬜ Pending")</f>
        <v>⬜ Pending</v>
      </c>
      <c r="O77" s="269"/>
      <c r="P77" s="76" t="str">
        <f aca="false">IF(O77&lt;&gt;"",O77,N77)</f>
        <v>⬜ Pending</v>
      </c>
      <c r="Q77" s="270" t="s">
        <v>766</v>
      </c>
      <c r="R77" s="271" t="str">
        <f aca="false">IF(COUNTIF('📆 Daily Schedule'!$M$5:$M$427,D77)&gt;0,"⚡ In Swap","✅ Available")</f>
        <v>✅ Available</v>
      </c>
    </row>
    <row r="78" customFormat="false" ht="15.75" hidden="false" customHeight="true" outlineLevel="0" collapsed="false">
      <c r="A78" s="36" t="n">
        <v>75</v>
      </c>
      <c r="B78" s="36" t="s">
        <v>745</v>
      </c>
      <c r="C78" s="85" t="n">
        <v>75</v>
      </c>
      <c r="D78" s="287" t="s">
        <v>767</v>
      </c>
      <c r="E78" s="190" t="s">
        <v>308</v>
      </c>
      <c r="F78" s="39" t="n">
        <v>0.3</v>
      </c>
      <c r="G78" s="40" t="n">
        <v>0.5</v>
      </c>
      <c r="H78" s="41" t="n">
        <v>0.75</v>
      </c>
      <c r="I78" s="288" t="n">
        <v>14</v>
      </c>
      <c r="J78" s="274" t="s">
        <v>623</v>
      </c>
      <c r="K78" s="289" t="n">
        <v>5</v>
      </c>
      <c r="L78" s="289" t="n">
        <v>4</v>
      </c>
      <c r="M78" s="188" t="s">
        <v>618</v>
      </c>
      <c r="N78" s="85" t="str">
        <f aca="false">IFERROR(IF(COUNTIF('📝 Daily Log'!$E$3:$E$600,D78)&gt;0,IF(COUNTIFS('📝 Daily Log'!$E$3:$E$600,D78,'📝 Daily Log'!$G$3:$G$600,"✅ Done")&gt;0,"✅ Done",IF(COUNTIFS('📝 Daily Log'!$E$3:$E$600,D78,'📝 Daily Log'!$G$3:$G$600,"🔄 Partial")&gt;0,"🔄 Partial","⬜ Pending")),"⬜ Pending"),"⬜ Pending")</f>
        <v>⬜ Pending</v>
      </c>
      <c r="O78" s="269"/>
      <c r="P78" s="85" t="str">
        <f aca="false">IF(O78&lt;&gt;"",O78,N78)</f>
        <v>⬜ Pending</v>
      </c>
      <c r="Q78" s="270" t="s">
        <v>768</v>
      </c>
      <c r="R78" s="271" t="str">
        <f aca="false">IF(COUNTIF('📆 Daily Schedule'!$M$5:$M$427,D78)&gt;0,"⚡ In Swap","✅ Available")</f>
        <v>✅ Available</v>
      </c>
    </row>
    <row r="79" customFormat="false" ht="15.75" hidden="false" customHeight="true" outlineLevel="0" collapsed="false">
      <c r="A79" s="36" t="n">
        <v>76</v>
      </c>
      <c r="B79" s="36" t="s">
        <v>745</v>
      </c>
      <c r="C79" s="76" t="n">
        <v>76</v>
      </c>
      <c r="D79" s="37" t="s">
        <v>769</v>
      </c>
      <c r="E79" s="190" t="s">
        <v>308</v>
      </c>
      <c r="F79" s="39" t="n">
        <v>1</v>
      </c>
      <c r="G79" s="40" t="n">
        <v>1.5</v>
      </c>
      <c r="H79" s="41" t="n">
        <v>2</v>
      </c>
      <c r="I79" s="272" t="n">
        <v>14</v>
      </c>
      <c r="J79" s="274" t="s">
        <v>623</v>
      </c>
      <c r="K79" s="273" t="n">
        <v>5</v>
      </c>
      <c r="L79" s="273" t="n">
        <v>4</v>
      </c>
      <c r="M79" s="188" t="s">
        <v>618</v>
      </c>
      <c r="N79" s="76" t="str">
        <f aca="false">IFERROR(IF(COUNTIF('📝 Daily Log'!$E$3:$E$600,D79)&gt;0,IF(COUNTIFS('📝 Daily Log'!$E$3:$E$600,D79,'📝 Daily Log'!$G$3:$G$600,"✅ Done")&gt;0,"✅ Done",IF(COUNTIFS('📝 Daily Log'!$E$3:$E$600,D79,'📝 Daily Log'!$G$3:$G$600,"🔄 Partial")&gt;0,"🔄 Partial","⬜ Pending")),"⬜ Pending"),"⬜ Pending")</f>
        <v>⬜ Pending</v>
      </c>
      <c r="O79" s="269"/>
      <c r="P79" s="76" t="str">
        <f aca="false">IF(O79&lt;&gt;"",O79,N79)</f>
        <v>⬜ Pending</v>
      </c>
      <c r="Q79" s="270" t="s">
        <v>770</v>
      </c>
      <c r="R79" s="271" t="str">
        <f aca="false">IF(COUNTIF('📆 Daily Schedule'!$M$5:$M$427,D79)&gt;0,"⚡ In Swap","✅ Available")</f>
        <v>✅ Available</v>
      </c>
    </row>
    <row r="80" customFormat="false" ht="15.75" hidden="false" customHeight="true" outlineLevel="0" collapsed="false">
      <c r="A80" s="36" t="n">
        <v>77</v>
      </c>
      <c r="B80" s="36" t="s">
        <v>745</v>
      </c>
      <c r="C80" s="85" t="n">
        <v>77</v>
      </c>
      <c r="D80" s="287" t="s">
        <v>771</v>
      </c>
      <c r="E80" s="190" t="s">
        <v>308</v>
      </c>
      <c r="F80" s="39" t="n">
        <v>1.5</v>
      </c>
      <c r="G80" s="40" t="n">
        <v>3</v>
      </c>
      <c r="H80" s="41" t="n">
        <v>5</v>
      </c>
      <c r="I80" s="288" t="n">
        <v>13</v>
      </c>
      <c r="J80" s="274" t="s">
        <v>623</v>
      </c>
      <c r="K80" s="289" t="n">
        <v>5</v>
      </c>
      <c r="L80" s="289" t="n">
        <v>3</v>
      </c>
      <c r="M80" s="188" t="s">
        <v>618</v>
      </c>
      <c r="N80" s="85" t="str">
        <f aca="false">IFERROR(IF(COUNTIF('📝 Daily Log'!$E$3:$E$600,D80)&gt;0,IF(COUNTIFS('📝 Daily Log'!$E$3:$E$600,D80,'📝 Daily Log'!$G$3:$G$600,"✅ Done")&gt;0,"✅ Done",IF(COUNTIFS('📝 Daily Log'!$E$3:$E$600,D80,'📝 Daily Log'!$G$3:$G$600,"🔄 Partial")&gt;0,"🔄 Partial","⬜ Pending")),"⬜ Pending"),"⬜ Pending")</f>
        <v>⬜ Pending</v>
      </c>
      <c r="O80" s="269"/>
      <c r="P80" s="85" t="str">
        <f aca="false">IF(O80&lt;&gt;"",O80,N80)</f>
        <v>⬜ Pending</v>
      </c>
      <c r="Q80" s="270" t="s">
        <v>772</v>
      </c>
      <c r="R80" s="271" t="str">
        <f aca="false">IF(COUNTIF('📆 Daily Schedule'!$M$5:$M$427,D80)&gt;0,"⚡ In Swap","✅ Available")</f>
        <v>✅ Available</v>
      </c>
    </row>
    <row r="81" customFormat="false" ht="15.75" hidden="false" customHeight="true" outlineLevel="0" collapsed="false">
      <c r="A81" s="290" t="n">
        <v>78</v>
      </c>
      <c r="B81" s="290" t="s">
        <v>773</v>
      </c>
      <c r="C81" s="76" t="n">
        <v>78</v>
      </c>
      <c r="D81" s="37" t="s">
        <v>774</v>
      </c>
      <c r="E81" s="193" t="s">
        <v>326</v>
      </c>
      <c r="F81" s="39" t="n">
        <v>0.5</v>
      </c>
      <c r="G81" s="40" t="n">
        <v>1</v>
      </c>
      <c r="H81" s="41" t="n">
        <v>1.5</v>
      </c>
      <c r="I81" s="272" t="n">
        <v>13</v>
      </c>
      <c r="J81" s="274" t="s">
        <v>623</v>
      </c>
      <c r="K81" s="273" t="n">
        <v>5</v>
      </c>
      <c r="L81" s="273" t="n">
        <v>3</v>
      </c>
      <c r="M81" s="182" t="s">
        <v>636</v>
      </c>
      <c r="N81" s="76" t="str">
        <f aca="false">IFERROR(IF(COUNTIF('📝 Daily Log'!$E$3:$E$600,D81)&gt;0,IF(COUNTIFS('📝 Daily Log'!$E$3:$E$600,D81,'📝 Daily Log'!$G$3:$G$600,"✅ Done")&gt;0,"✅ Done",IF(COUNTIFS('📝 Daily Log'!$E$3:$E$600,D81,'📝 Daily Log'!$G$3:$G$600,"🔄 Partial")&gt;0,"🔄 Partial","⬜ Pending")),"⬜ Pending"),"⬜ Pending")</f>
        <v>⬜ Pending</v>
      </c>
      <c r="O81" s="269"/>
      <c r="P81" s="76" t="str">
        <f aca="false">IF(O81&lt;&gt;"",O81,N81)</f>
        <v>⬜ Pending</v>
      </c>
      <c r="Q81" s="270" t="s">
        <v>775</v>
      </c>
      <c r="R81" s="271" t="str">
        <f aca="false">IF(COUNTIF('📆 Daily Schedule'!$M$5:$M$427,D81)&gt;0,"⚡ In Swap","✅ Available")</f>
        <v>✅ Available</v>
      </c>
    </row>
    <row r="82" customFormat="false" ht="15.75" hidden="false" customHeight="true" outlineLevel="0" collapsed="false">
      <c r="A82" s="290" t="n">
        <v>79</v>
      </c>
      <c r="B82" s="290" t="s">
        <v>773</v>
      </c>
      <c r="C82" s="291" t="n">
        <v>79</v>
      </c>
      <c r="D82" s="292" t="s">
        <v>776</v>
      </c>
      <c r="E82" s="193" t="s">
        <v>326</v>
      </c>
      <c r="F82" s="39" t="n">
        <v>0.5</v>
      </c>
      <c r="G82" s="40" t="n">
        <v>1</v>
      </c>
      <c r="H82" s="41" t="n">
        <v>1.5</v>
      </c>
      <c r="I82" s="293" t="n">
        <v>13</v>
      </c>
      <c r="J82" s="274" t="s">
        <v>623</v>
      </c>
      <c r="K82" s="294" t="n">
        <v>5</v>
      </c>
      <c r="L82" s="294" t="n">
        <v>3</v>
      </c>
      <c r="M82" s="182" t="s">
        <v>636</v>
      </c>
      <c r="N82" s="291" t="str">
        <f aca="false">IFERROR(IF(COUNTIF('📝 Daily Log'!$E$3:$E$600,D82)&gt;0,IF(COUNTIFS('📝 Daily Log'!$E$3:$E$600,D82,'📝 Daily Log'!$G$3:$G$600,"✅ Done")&gt;0,"✅ Done",IF(COUNTIFS('📝 Daily Log'!$E$3:$E$600,D82,'📝 Daily Log'!$G$3:$G$600,"🔄 Partial")&gt;0,"🔄 Partial","⬜ Pending")),"⬜ Pending"),"⬜ Pending")</f>
        <v>⬜ Pending</v>
      </c>
      <c r="O82" s="269"/>
      <c r="P82" s="291" t="str">
        <f aca="false">IF(O82&lt;&gt;"",O82,N82)</f>
        <v>⬜ Pending</v>
      </c>
      <c r="Q82" s="270" t="s">
        <v>777</v>
      </c>
      <c r="R82" s="271" t="str">
        <f aca="false">IF(COUNTIF('📆 Daily Schedule'!$M$5:$M$427,D82)&gt;0,"⚡ In Swap","✅ Available")</f>
        <v>✅ Available</v>
      </c>
    </row>
    <row r="83" customFormat="false" ht="15.75" hidden="false" customHeight="true" outlineLevel="0" collapsed="false">
      <c r="A83" s="290" t="n">
        <v>80</v>
      </c>
      <c r="B83" s="290" t="s">
        <v>773</v>
      </c>
      <c r="C83" s="76" t="n">
        <v>80</v>
      </c>
      <c r="D83" s="37" t="s">
        <v>778</v>
      </c>
      <c r="E83" s="193" t="s">
        <v>326</v>
      </c>
      <c r="F83" s="39" t="n">
        <v>0.5</v>
      </c>
      <c r="G83" s="40" t="n">
        <v>1</v>
      </c>
      <c r="H83" s="41" t="n">
        <v>1.5</v>
      </c>
      <c r="I83" s="272" t="n">
        <v>11</v>
      </c>
      <c r="J83" s="36" t="s">
        <v>617</v>
      </c>
      <c r="K83" s="273" t="n">
        <v>4</v>
      </c>
      <c r="L83" s="273" t="n">
        <v>3</v>
      </c>
      <c r="M83" s="182" t="s">
        <v>636</v>
      </c>
      <c r="N83" s="76" t="str">
        <f aca="false">IFERROR(IF(COUNTIF('📝 Daily Log'!$E$3:$E$600,D83)&gt;0,IF(COUNTIFS('📝 Daily Log'!$E$3:$E$600,D83,'📝 Daily Log'!$G$3:$G$600,"✅ Done")&gt;0,"✅ Done",IF(COUNTIFS('📝 Daily Log'!$E$3:$E$600,D83,'📝 Daily Log'!$G$3:$G$600,"🔄 Partial")&gt;0,"🔄 Partial","⬜ Pending")),"⬜ Pending"),"⬜ Pending")</f>
        <v>⬜ Pending</v>
      </c>
      <c r="O83" s="269"/>
      <c r="P83" s="76" t="str">
        <f aca="false">IF(O83&lt;&gt;"",O83,N83)</f>
        <v>⬜ Pending</v>
      </c>
      <c r="Q83" s="270" t="s">
        <v>779</v>
      </c>
      <c r="R83" s="271" t="str">
        <f aca="false">IF(COUNTIF('📆 Daily Schedule'!$M$5:$M$427,D83)&gt;0,"⚡ In Swap","✅ Available")</f>
        <v>✅ Available</v>
      </c>
    </row>
    <row r="84" customFormat="false" ht="15.75" hidden="false" customHeight="true" outlineLevel="0" collapsed="false">
      <c r="A84" s="290" t="n">
        <v>81</v>
      </c>
      <c r="B84" s="290" t="s">
        <v>773</v>
      </c>
      <c r="C84" s="291" t="n">
        <v>81</v>
      </c>
      <c r="D84" s="292" t="s">
        <v>780</v>
      </c>
      <c r="E84" s="193" t="s">
        <v>326</v>
      </c>
      <c r="F84" s="39" t="n">
        <v>0.5</v>
      </c>
      <c r="G84" s="40" t="n">
        <v>1</v>
      </c>
      <c r="H84" s="41" t="n">
        <v>1.5</v>
      </c>
      <c r="I84" s="293" t="n">
        <v>12</v>
      </c>
      <c r="J84" s="274" t="s">
        <v>623</v>
      </c>
      <c r="K84" s="294" t="n">
        <v>4</v>
      </c>
      <c r="L84" s="294" t="n">
        <v>4</v>
      </c>
      <c r="M84" s="182" t="s">
        <v>636</v>
      </c>
      <c r="N84" s="291" t="str">
        <f aca="false">IFERROR(IF(COUNTIF('📝 Daily Log'!$E$3:$E$600,D84)&gt;0,IF(COUNTIFS('📝 Daily Log'!$E$3:$E$600,D84,'📝 Daily Log'!$G$3:$G$600,"✅ Done")&gt;0,"✅ Done",IF(COUNTIFS('📝 Daily Log'!$E$3:$E$600,D84,'📝 Daily Log'!$G$3:$G$600,"🔄 Partial")&gt;0,"🔄 Partial","⬜ Pending")),"⬜ Pending"),"⬜ Pending")</f>
        <v>⬜ Pending</v>
      </c>
      <c r="O84" s="269"/>
      <c r="P84" s="291" t="str">
        <f aca="false">IF(O84&lt;&gt;"",O84,N84)</f>
        <v>⬜ Pending</v>
      </c>
      <c r="Q84" s="270" t="s">
        <v>781</v>
      </c>
      <c r="R84" s="271" t="str">
        <f aca="false">IF(COUNTIF('📆 Daily Schedule'!$M$5:$M$427,D84)&gt;0,"⚡ In Swap","✅ Available")</f>
        <v>✅ Available</v>
      </c>
    </row>
    <row r="85" customFormat="false" ht="15.75" hidden="false" customHeight="true" outlineLevel="0" collapsed="false">
      <c r="A85" s="290" t="n">
        <v>82</v>
      </c>
      <c r="B85" s="290" t="s">
        <v>773</v>
      </c>
      <c r="C85" s="76" t="n">
        <v>82</v>
      </c>
      <c r="D85" s="37" t="s">
        <v>782</v>
      </c>
      <c r="E85" s="193" t="s">
        <v>326</v>
      </c>
      <c r="F85" s="39" t="n">
        <v>0.3</v>
      </c>
      <c r="G85" s="40" t="n">
        <v>0.5</v>
      </c>
      <c r="H85" s="41" t="n">
        <v>0.75</v>
      </c>
      <c r="I85" s="272" t="n">
        <v>15</v>
      </c>
      <c r="J85" s="274" t="s">
        <v>623</v>
      </c>
      <c r="K85" s="273" t="n">
        <v>5</v>
      </c>
      <c r="L85" s="273" t="n">
        <v>5</v>
      </c>
      <c r="M85" s="188" t="s">
        <v>618</v>
      </c>
      <c r="N85" s="76" t="str">
        <f aca="false">IFERROR(IF(COUNTIF('📝 Daily Log'!$E$3:$E$600,D85)&gt;0,IF(COUNTIFS('📝 Daily Log'!$E$3:$E$600,D85,'📝 Daily Log'!$G$3:$G$600,"✅ Done")&gt;0,"✅ Done",IF(COUNTIFS('📝 Daily Log'!$E$3:$E$600,D85,'📝 Daily Log'!$G$3:$G$600,"🔄 Partial")&gt;0,"🔄 Partial","⬜ Pending")),"⬜ Pending"),"⬜ Pending")</f>
        <v>⬜ Pending</v>
      </c>
      <c r="O85" s="269"/>
      <c r="P85" s="76" t="str">
        <f aca="false">IF(O85&lt;&gt;"",O85,N85)</f>
        <v>⬜ Pending</v>
      </c>
      <c r="Q85" s="270" t="s">
        <v>783</v>
      </c>
      <c r="R85" s="271" t="str">
        <f aca="false">IF(COUNTIF('📆 Daily Schedule'!$M$5:$M$427,D85)&gt;0,"⚡ In Swap","✅ Available")</f>
        <v>✅ Available</v>
      </c>
    </row>
    <row r="86" customFormat="false" ht="15.75" hidden="false" customHeight="true" outlineLevel="0" collapsed="false">
      <c r="A86" s="290" t="n">
        <v>83</v>
      </c>
      <c r="B86" s="290" t="s">
        <v>773</v>
      </c>
      <c r="C86" s="291" t="n">
        <v>83</v>
      </c>
      <c r="D86" s="292" t="s">
        <v>784</v>
      </c>
      <c r="E86" s="193" t="s">
        <v>326</v>
      </c>
      <c r="F86" s="39" t="n">
        <v>1</v>
      </c>
      <c r="G86" s="40" t="n">
        <v>1.5</v>
      </c>
      <c r="H86" s="41" t="n">
        <v>2</v>
      </c>
      <c r="I86" s="293" t="n">
        <v>12</v>
      </c>
      <c r="J86" s="274" t="s">
        <v>623</v>
      </c>
      <c r="K86" s="294" t="n">
        <v>4</v>
      </c>
      <c r="L86" s="294" t="n">
        <v>4</v>
      </c>
      <c r="M86" s="182" t="s">
        <v>636</v>
      </c>
      <c r="N86" s="291" t="str">
        <f aca="false">IFERROR(IF(COUNTIF('📝 Daily Log'!$E$3:$E$600,D86)&gt;0,IF(COUNTIFS('📝 Daily Log'!$E$3:$E$600,D86,'📝 Daily Log'!$G$3:$G$600,"✅ Done")&gt;0,"✅ Done",IF(COUNTIFS('📝 Daily Log'!$E$3:$E$600,D86,'📝 Daily Log'!$G$3:$G$600,"🔄 Partial")&gt;0,"🔄 Partial","⬜ Pending")),"⬜ Pending"),"⬜ Pending")</f>
        <v>⬜ Pending</v>
      </c>
      <c r="O86" s="269"/>
      <c r="P86" s="291" t="str">
        <f aca="false">IF(O86&lt;&gt;"",O86,N86)</f>
        <v>⬜ Pending</v>
      </c>
      <c r="Q86" s="270" t="s">
        <v>785</v>
      </c>
      <c r="R86" s="271" t="str">
        <f aca="false">IF(COUNTIF('📆 Daily Schedule'!$M$5:$M$427,D86)&gt;0,"⚡ In Swap","✅ Available")</f>
        <v>✅ Available</v>
      </c>
    </row>
    <row r="87" customFormat="false" ht="15.75" hidden="false" customHeight="true" outlineLevel="0" collapsed="false">
      <c r="A87" s="290" t="n">
        <v>84</v>
      </c>
      <c r="B87" s="290" t="s">
        <v>773</v>
      </c>
      <c r="C87" s="76" t="n">
        <v>84</v>
      </c>
      <c r="D87" s="37" t="s">
        <v>786</v>
      </c>
      <c r="E87" s="193" t="s">
        <v>326</v>
      </c>
      <c r="F87" s="39" t="n">
        <v>1.5</v>
      </c>
      <c r="G87" s="40" t="n">
        <v>3</v>
      </c>
      <c r="H87" s="41" t="n">
        <v>5</v>
      </c>
      <c r="I87" s="272" t="n">
        <v>11</v>
      </c>
      <c r="J87" s="36" t="s">
        <v>617</v>
      </c>
      <c r="K87" s="273" t="n">
        <v>4</v>
      </c>
      <c r="L87" s="273" t="n">
        <v>3</v>
      </c>
      <c r="M87" s="188" t="s">
        <v>618</v>
      </c>
      <c r="N87" s="76" t="str">
        <f aca="false">IFERROR(IF(COUNTIF('📝 Daily Log'!$E$3:$E$600,D87)&gt;0,IF(COUNTIFS('📝 Daily Log'!$E$3:$E$600,D87,'📝 Daily Log'!$G$3:$G$600,"✅ Done")&gt;0,"✅ Done",IF(COUNTIFS('📝 Daily Log'!$E$3:$E$600,D87,'📝 Daily Log'!$G$3:$G$600,"🔄 Partial")&gt;0,"🔄 Partial","⬜ Pending")),"⬜ Pending"),"⬜ Pending")</f>
        <v>⬜ Pending</v>
      </c>
      <c r="O87" s="269"/>
      <c r="P87" s="76" t="str">
        <f aca="false">IF(O87&lt;&gt;"",O87,N87)</f>
        <v>⬜ Pending</v>
      </c>
      <c r="Q87" s="270" t="s">
        <v>787</v>
      </c>
      <c r="R87" s="271" t="str">
        <f aca="false">IF(COUNTIF('📆 Daily Schedule'!$M$5:$M$427,D87)&gt;0,"⚡ In Swap","✅ Available")</f>
        <v>✅ Available</v>
      </c>
    </row>
    <row r="88" customFormat="false" ht="15.75" hidden="false" customHeight="true" outlineLevel="0" collapsed="false">
      <c r="A88" s="290" t="n">
        <v>85</v>
      </c>
      <c r="B88" s="290" t="s">
        <v>773</v>
      </c>
      <c r="C88" s="291" t="n">
        <v>85</v>
      </c>
      <c r="D88" s="292" t="s">
        <v>788</v>
      </c>
      <c r="E88" s="193" t="s">
        <v>326</v>
      </c>
      <c r="F88" s="39" t="n">
        <v>0.5</v>
      </c>
      <c r="G88" s="40" t="n">
        <v>1</v>
      </c>
      <c r="H88" s="41" t="n">
        <v>1.5</v>
      </c>
      <c r="I88" s="293" t="n">
        <v>13</v>
      </c>
      <c r="J88" s="274" t="s">
        <v>623</v>
      </c>
      <c r="K88" s="294" t="n">
        <v>5</v>
      </c>
      <c r="L88" s="294" t="n">
        <v>3</v>
      </c>
      <c r="M88" s="188" t="s">
        <v>618</v>
      </c>
      <c r="N88" s="291" t="str">
        <f aca="false">IFERROR(IF(COUNTIF('📝 Daily Log'!$E$3:$E$600,D88)&gt;0,IF(COUNTIFS('📝 Daily Log'!$E$3:$E$600,D88,'📝 Daily Log'!$G$3:$G$600,"✅ Done")&gt;0,"✅ Done",IF(COUNTIFS('📝 Daily Log'!$E$3:$E$600,D88,'📝 Daily Log'!$G$3:$G$600,"🔄 Partial")&gt;0,"🔄 Partial","⬜ Pending")),"⬜ Pending"),"⬜ Pending")</f>
        <v>⬜ Pending</v>
      </c>
      <c r="O88" s="269"/>
      <c r="P88" s="291" t="str">
        <f aca="false">IF(O88&lt;&gt;"",O88,N88)</f>
        <v>⬜ Pending</v>
      </c>
      <c r="Q88" s="270" t="s">
        <v>339</v>
      </c>
      <c r="R88" s="271" t="str">
        <f aca="false">IF(COUNTIF('📆 Daily Schedule'!$M$5:$M$427,D88)&gt;0,"⚡ In Swap","✅ Available")</f>
        <v>✅ Available</v>
      </c>
    </row>
    <row r="89" customFormat="false" ht="15.75" hidden="false" customHeight="true" outlineLevel="0" collapsed="false">
      <c r="A89" s="290" t="n">
        <v>86</v>
      </c>
      <c r="B89" s="290" t="s">
        <v>773</v>
      </c>
      <c r="C89" s="76" t="n">
        <v>86</v>
      </c>
      <c r="D89" s="37" t="s">
        <v>789</v>
      </c>
      <c r="E89" s="193" t="s">
        <v>326</v>
      </c>
      <c r="F89" s="39" t="n">
        <v>0.5</v>
      </c>
      <c r="G89" s="40" t="n">
        <v>0.75</v>
      </c>
      <c r="H89" s="41" t="n">
        <v>1</v>
      </c>
      <c r="I89" s="272" t="n">
        <v>13</v>
      </c>
      <c r="J89" s="274" t="s">
        <v>623</v>
      </c>
      <c r="K89" s="273" t="n">
        <v>5</v>
      </c>
      <c r="L89" s="273" t="n">
        <v>3</v>
      </c>
      <c r="M89" s="188" t="s">
        <v>618</v>
      </c>
      <c r="N89" s="76" t="str">
        <f aca="false">IFERROR(IF(COUNTIF('📝 Daily Log'!$E$3:$E$600,D89)&gt;0,IF(COUNTIFS('📝 Daily Log'!$E$3:$E$600,D89,'📝 Daily Log'!$G$3:$G$600,"✅ Done")&gt;0,"✅ Done",IF(COUNTIFS('📝 Daily Log'!$E$3:$E$600,D89,'📝 Daily Log'!$G$3:$G$600,"🔄 Partial")&gt;0,"🔄 Partial","⬜ Pending")),"⬜ Pending"),"⬜ Pending")</f>
        <v>⬜ Pending</v>
      </c>
      <c r="O89" s="269"/>
      <c r="P89" s="76" t="str">
        <f aca="false">IF(O89&lt;&gt;"",O89,N89)</f>
        <v>⬜ Pending</v>
      </c>
      <c r="Q89" s="270" t="s">
        <v>790</v>
      </c>
      <c r="R89" s="271" t="str">
        <f aca="false">IF(COUNTIF('📆 Daily Schedule'!$M$5:$M$427,D89)&gt;0,"⚡ In Swap","✅ Available")</f>
        <v>✅ Available</v>
      </c>
    </row>
    <row r="90" customFormat="false" ht="15.75" hidden="false" customHeight="true" outlineLevel="0" collapsed="false">
      <c r="A90" s="290" t="n">
        <v>87</v>
      </c>
      <c r="B90" s="290" t="s">
        <v>773</v>
      </c>
      <c r="C90" s="291" t="n">
        <v>87</v>
      </c>
      <c r="D90" s="292" t="s">
        <v>791</v>
      </c>
      <c r="E90" s="193" t="s">
        <v>326</v>
      </c>
      <c r="F90" s="39" t="n">
        <v>0.5</v>
      </c>
      <c r="G90" s="40" t="n">
        <v>1</v>
      </c>
      <c r="H90" s="41" t="n">
        <v>1.5</v>
      </c>
      <c r="I90" s="293" t="n">
        <v>14</v>
      </c>
      <c r="J90" s="274" t="s">
        <v>623</v>
      </c>
      <c r="K90" s="294" t="n">
        <v>5</v>
      </c>
      <c r="L90" s="294" t="n">
        <v>4</v>
      </c>
      <c r="M90" s="182" t="s">
        <v>792</v>
      </c>
      <c r="N90" s="291" t="str">
        <f aca="false">IFERROR(IF(COUNTIF('📝 Daily Log'!$E$3:$E$600,D90)&gt;0,IF(COUNTIFS('📝 Daily Log'!$E$3:$E$600,D90,'📝 Daily Log'!$G$3:$G$600,"✅ Done")&gt;0,"✅ Done",IF(COUNTIFS('📝 Daily Log'!$E$3:$E$600,D90,'📝 Daily Log'!$G$3:$G$600,"🔄 Partial")&gt;0,"🔄 Partial","⬜ Pending")),"⬜ Pending"),"⬜ Pending")</f>
        <v>⬜ Pending</v>
      </c>
      <c r="O90" s="269"/>
      <c r="P90" s="291" t="str">
        <f aca="false">IF(O90&lt;&gt;"",O90,N90)</f>
        <v>⬜ Pending</v>
      </c>
      <c r="Q90" s="270" t="s">
        <v>793</v>
      </c>
      <c r="R90" s="271" t="str">
        <f aca="false">IF(COUNTIF('📆 Daily Schedule'!$M$5:$M$427,D90)&gt;0,"⚡ In Swap","✅ Available")</f>
        <v>✅ Available</v>
      </c>
    </row>
    <row r="91" customFormat="false" ht="15.75" hidden="false" customHeight="true" outlineLevel="0" collapsed="false">
      <c r="A91" s="290" t="n">
        <v>88</v>
      </c>
      <c r="B91" s="290" t="s">
        <v>773</v>
      </c>
      <c r="C91" s="76" t="n">
        <v>88</v>
      </c>
      <c r="D91" s="37" t="s">
        <v>794</v>
      </c>
      <c r="E91" s="193" t="s">
        <v>326</v>
      </c>
      <c r="F91" s="39" t="n">
        <v>0.5</v>
      </c>
      <c r="G91" s="40" t="n">
        <v>1</v>
      </c>
      <c r="H91" s="41" t="n">
        <v>1.5</v>
      </c>
      <c r="I91" s="272" t="n">
        <v>14</v>
      </c>
      <c r="J91" s="274" t="s">
        <v>623</v>
      </c>
      <c r="K91" s="273" t="n">
        <v>5</v>
      </c>
      <c r="L91" s="273" t="n">
        <v>4</v>
      </c>
      <c r="M91" s="182" t="s">
        <v>792</v>
      </c>
      <c r="N91" s="76" t="str">
        <f aca="false">IFERROR(IF(COUNTIF('📝 Daily Log'!$E$3:$E$600,D91)&gt;0,IF(COUNTIFS('📝 Daily Log'!$E$3:$E$600,D91,'📝 Daily Log'!$G$3:$G$600,"✅ Done")&gt;0,"✅ Done",IF(COUNTIFS('📝 Daily Log'!$E$3:$E$600,D91,'📝 Daily Log'!$G$3:$G$600,"🔄 Partial")&gt;0,"🔄 Partial","⬜ Pending")),"⬜ Pending"),"⬜ Pending")</f>
        <v>⬜ Pending</v>
      </c>
      <c r="O91" s="269"/>
      <c r="P91" s="76" t="str">
        <f aca="false">IF(O91&lt;&gt;"",O91,N91)</f>
        <v>⬜ Pending</v>
      </c>
      <c r="Q91" s="270" t="s">
        <v>795</v>
      </c>
      <c r="R91" s="271" t="str">
        <f aca="false">IF(COUNTIF('📆 Daily Schedule'!$M$5:$M$427,D91)&gt;0,"⚡ In Swap","✅ Available")</f>
        <v>✅ Available</v>
      </c>
    </row>
    <row r="92" customFormat="false" ht="15.75" hidden="false" customHeight="true" outlineLevel="0" collapsed="false">
      <c r="A92" s="290" t="n">
        <v>89</v>
      </c>
      <c r="B92" s="290" t="s">
        <v>773</v>
      </c>
      <c r="C92" s="291" t="n">
        <v>89</v>
      </c>
      <c r="D92" s="292" t="s">
        <v>796</v>
      </c>
      <c r="E92" s="193" t="s">
        <v>326</v>
      </c>
      <c r="F92" s="39" t="n">
        <v>0.3</v>
      </c>
      <c r="G92" s="40" t="n">
        <v>0.5</v>
      </c>
      <c r="H92" s="41" t="n">
        <v>0.75</v>
      </c>
      <c r="I92" s="293" t="n">
        <v>13</v>
      </c>
      <c r="J92" s="274" t="s">
        <v>623</v>
      </c>
      <c r="K92" s="294" t="n">
        <v>5</v>
      </c>
      <c r="L92" s="294" t="n">
        <v>3</v>
      </c>
      <c r="M92" s="188" t="s">
        <v>618</v>
      </c>
      <c r="N92" s="291" t="str">
        <f aca="false">IFERROR(IF(COUNTIF('📝 Daily Log'!$E$3:$E$600,D92)&gt;0,IF(COUNTIFS('📝 Daily Log'!$E$3:$E$600,D92,'📝 Daily Log'!$G$3:$G$600,"✅ Done")&gt;0,"✅ Done",IF(COUNTIFS('📝 Daily Log'!$E$3:$E$600,D92,'📝 Daily Log'!$G$3:$G$600,"🔄 Partial")&gt;0,"🔄 Partial","⬜ Pending")),"⬜ Pending"),"⬜ Pending")</f>
        <v>⬜ Pending</v>
      </c>
      <c r="O92" s="269"/>
      <c r="P92" s="291" t="str">
        <f aca="false">IF(O92&lt;&gt;"",O92,N92)</f>
        <v>⬜ Pending</v>
      </c>
      <c r="Q92" s="270" t="s">
        <v>797</v>
      </c>
      <c r="R92" s="271" t="str">
        <f aca="false">IF(COUNTIF('📆 Daily Schedule'!$M$5:$M$427,D92)&gt;0,"⚡ In Swap","✅ Available")</f>
        <v>✅ Available</v>
      </c>
    </row>
    <row r="93" customFormat="false" ht="15.75" hidden="false" customHeight="true" outlineLevel="0" collapsed="false">
      <c r="A93" s="290" t="n">
        <v>90</v>
      </c>
      <c r="B93" s="290" t="s">
        <v>773</v>
      </c>
      <c r="C93" s="76" t="n">
        <v>90</v>
      </c>
      <c r="D93" s="37" t="s">
        <v>798</v>
      </c>
      <c r="E93" s="193" t="s">
        <v>326</v>
      </c>
      <c r="F93" s="39" t="n">
        <v>1</v>
      </c>
      <c r="G93" s="40" t="n">
        <v>1.5</v>
      </c>
      <c r="H93" s="41" t="n">
        <v>2</v>
      </c>
      <c r="I93" s="272" t="n">
        <v>11</v>
      </c>
      <c r="J93" s="36" t="s">
        <v>617</v>
      </c>
      <c r="K93" s="273" t="n">
        <v>4</v>
      </c>
      <c r="L93" s="273" t="n">
        <v>3</v>
      </c>
      <c r="M93" s="188" t="s">
        <v>618</v>
      </c>
      <c r="N93" s="76" t="str">
        <f aca="false">IFERROR(IF(COUNTIF('📝 Daily Log'!$E$3:$E$600,D93)&gt;0,IF(COUNTIFS('📝 Daily Log'!$E$3:$E$600,D93,'📝 Daily Log'!$G$3:$G$600,"✅ Done")&gt;0,"✅ Done",IF(COUNTIFS('📝 Daily Log'!$E$3:$E$600,D93,'📝 Daily Log'!$G$3:$G$600,"🔄 Partial")&gt;0,"🔄 Partial","⬜ Pending")),"⬜ Pending"),"⬜ Pending")</f>
        <v>⬜ Pending</v>
      </c>
      <c r="O93" s="269"/>
      <c r="P93" s="76" t="str">
        <f aca="false">IF(O93&lt;&gt;"",O93,N93)</f>
        <v>⬜ Pending</v>
      </c>
      <c r="Q93" s="270" t="s">
        <v>799</v>
      </c>
      <c r="R93" s="271" t="str">
        <f aca="false">IF(COUNTIF('📆 Daily Schedule'!$M$5:$M$427,D93)&gt;0,"⚡ In Swap","✅ Available")</f>
        <v>✅ Available</v>
      </c>
    </row>
    <row r="94" customFormat="false" ht="15.75" hidden="false" customHeight="true" outlineLevel="0" collapsed="false">
      <c r="A94" s="290" t="n">
        <v>91</v>
      </c>
      <c r="B94" s="290" t="s">
        <v>773</v>
      </c>
      <c r="C94" s="291" t="n">
        <v>91</v>
      </c>
      <c r="D94" s="292" t="s">
        <v>800</v>
      </c>
      <c r="E94" s="193" t="s">
        <v>326</v>
      </c>
      <c r="F94" s="39" t="n">
        <v>1.5</v>
      </c>
      <c r="G94" s="40" t="n">
        <v>3</v>
      </c>
      <c r="H94" s="41" t="n">
        <v>4</v>
      </c>
      <c r="I94" s="293" t="n">
        <v>13</v>
      </c>
      <c r="J94" s="274" t="s">
        <v>623</v>
      </c>
      <c r="K94" s="294" t="n">
        <v>5</v>
      </c>
      <c r="L94" s="294" t="n">
        <v>3</v>
      </c>
      <c r="M94" s="188" t="s">
        <v>618</v>
      </c>
      <c r="N94" s="291" t="str">
        <f aca="false">IFERROR(IF(COUNTIF('📝 Daily Log'!$E$3:$E$600,D94)&gt;0,IF(COUNTIFS('📝 Daily Log'!$E$3:$E$600,D94,'📝 Daily Log'!$G$3:$G$600,"✅ Done")&gt;0,"✅ Done",IF(COUNTIFS('📝 Daily Log'!$E$3:$E$600,D94,'📝 Daily Log'!$G$3:$G$600,"🔄 Partial")&gt;0,"🔄 Partial","⬜ Pending")),"⬜ Pending"),"⬜ Pending")</f>
        <v>⬜ Pending</v>
      </c>
      <c r="O94" s="269"/>
      <c r="P94" s="291" t="str">
        <f aca="false">IF(O94&lt;&gt;"",O94,N94)</f>
        <v>⬜ Pending</v>
      </c>
      <c r="Q94" s="270" t="s">
        <v>801</v>
      </c>
      <c r="R94" s="271" t="str">
        <f aca="false">IF(COUNTIF('📆 Daily Schedule'!$M$5:$M$427,D94)&gt;0,"⚡ In Swap","✅ Available")</f>
        <v>✅ Available</v>
      </c>
    </row>
    <row r="95" customFormat="false" ht="15.75" hidden="false" customHeight="true" outlineLevel="0" collapsed="false">
      <c r="A95" s="183" t="n">
        <v>92</v>
      </c>
      <c r="B95" s="183" t="s">
        <v>802</v>
      </c>
      <c r="C95" s="76" t="n">
        <v>92</v>
      </c>
      <c r="D95" s="37" t="s">
        <v>803</v>
      </c>
      <c r="E95" s="196" t="s">
        <v>351</v>
      </c>
      <c r="F95" s="39" t="n">
        <v>0.5</v>
      </c>
      <c r="G95" s="40" t="n">
        <v>1</v>
      </c>
      <c r="H95" s="41" t="n">
        <v>1.5</v>
      </c>
      <c r="I95" s="272" t="n">
        <v>14</v>
      </c>
      <c r="J95" s="274" t="s">
        <v>623</v>
      </c>
      <c r="K95" s="273" t="n">
        <v>5</v>
      </c>
      <c r="L95" s="273" t="n">
        <v>4</v>
      </c>
      <c r="M95" s="182" t="s">
        <v>636</v>
      </c>
      <c r="N95" s="76" t="str">
        <f aca="false">IFERROR(IF(COUNTIF('📝 Daily Log'!$E$3:$E$600,D95)&gt;0,IF(COUNTIFS('📝 Daily Log'!$E$3:$E$600,D95,'📝 Daily Log'!$G$3:$G$600,"✅ Done")&gt;0,"✅ Done",IF(COUNTIFS('📝 Daily Log'!$E$3:$E$600,D95,'📝 Daily Log'!$G$3:$G$600,"🔄 Partial")&gt;0,"🔄 Partial","⬜ Pending")),"⬜ Pending"),"⬜ Pending")</f>
        <v>⬜ Pending</v>
      </c>
      <c r="O95" s="269"/>
      <c r="P95" s="76" t="str">
        <f aca="false">IF(O95&lt;&gt;"",O95,N95)</f>
        <v>⬜ Pending</v>
      </c>
      <c r="Q95" s="270" t="s">
        <v>804</v>
      </c>
      <c r="R95" s="271" t="str">
        <f aca="false">IF(COUNTIF('📆 Daily Schedule'!$M$5:$M$427,D95)&gt;0,"⚡ In Swap","✅ Available")</f>
        <v>✅ Available</v>
      </c>
    </row>
    <row r="96" customFormat="false" ht="15.75" hidden="false" customHeight="true" outlineLevel="0" collapsed="false">
      <c r="A96" s="183" t="n">
        <v>93</v>
      </c>
      <c r="B96" s="183" t="s">
        <v>802</v>
      </c>
      <c r="C96" s="295" t="n">
        <v>93</v>
      </c>
      <c r="D96" s="296" t="s">
        <v>805</v>
      </c>
      <c r="E96" s="196" t="s">
        <v>351</v>
      </c>
      <c r="F96" s="39" t="n">
        <v>0.5</v>
      </c>
      <c r="G96" s="40" t="n">
        <v>1</v>
      </c>
      <c r="H96" s="41" t="n">
        <v>1.5</v>
      </c>
      <c r="I96" s="297" t="n">
        <v>14</v>
      </c>
      <c r="J96" s="274" t="s">
        <v>623</v>
      </c>
      <c r="K96" s="298" t="n">
        <v>5</v>
      </c>
      <c r="L96" s="298" t="n">
        <v>4</v>
      </c>
      <c r="M96" s="182" t="s">
        <v>636</v>
      </c>
      <c r="N96" s="295" t="str">
        <f aca="false">IFERROR(IF(COUNTIF('📝 Daily Log'!$E$3:$E$600,D96)&gt;0,IF(COUNTIFS('📝 Daily Log'!$E$3:$E$600,D96,'📝 Daily Log'!$G$3:$G$600,"✅ Done")&gt;0,"✅ Done",IF(COUNTIFS('📝 Daily Log'!$E$3:$E$600,D96,'📝 Daily Log'!$G$3:$G$600,"🔄 Partial")&gt;0,"🔄 Partial","⬜ Pending")),"⬜ Pending"),"⬜ Pending")</f>
        <v>⬜ Pending</v>
      </c>
      <c r="O96" s="269"/>
      <c r="P96" s="295" t="str">
        <f aca="false">IF(O96&lt;&gt;"",O96,N96)</f>
        <v>⬜ Pending</v>
      </c>
      <c r="Q96" s="270" t="s">
        <v>804</v>
      </c>
      <c r="R96" s="271" t="str">
        <f aca="false">IF(COUNTIF('📆 Daily Schedule'!$M$5:$M$427,D96)&gt;0,"⚡ In Swap","✅ Available")</f>
        <v>✅ Available</v>
      </c>
    </row>
    <row r="97" customFormat="false" ht="15.75" hidden="false" customHeight="true" outlineLevel="0" collapsed="false">
      <c r="A97" s="183" t="n">
        <v>94</v>
      </c>
      <c r="B97" s="183" t="s">
        <v>802</v>
      </c>
      <c r="C97" s="76" t="n">
        <v>94</v>
      </c>
      <c r="D97" s="37" t="s">
        <v>806</v>
      </c>
      <c r="E97" s="196" t="s">
        <v>351</v>
      </c>
      <c r="F97" s="39" t="n">
        <v>0.5</v>
      </c>
      <c r="G97" s="40" t="n">
        <v>1</v>
      </c>
      <c r="H97" s="41" t="n">
        <v>1.5</v>
      </c>
      <c r="I97" s="272" t="n">
        <v>13</v>
      </c>
      <c r="J97" s="274" t="s">
        <v>623</v>
      </c>
      <c r="K97" s="273" t="n">
        <v>4</v>
      </c>
      <c r="L97" s="273" t="n">
        <v>5</v>
      </c>
      <c r="M97" s="182" t="s">
        <v>636</v>
      </c>
      <c r="N97" s="76" t="str">
        <f aca="false">IFERROR(IF(COUNTIF('📝 Daily Log'!$E$3:$E$600,D97)&gt;0,IF(COUNTIFS('📝 Daily Log'!$E$3:$E$600,D97,'📝 Daily Log'!$G$3:$G$600,"✅ Done")&gt;0,"✅ Done",IF(COUNTIFS('📝 Daily Log'!$E$3:$E$600,D97,'📝 Daily Log'!$G$3:$G$600,"🔄 Partial")&gt;0,"🔄 Partial","⬜ Pending")),"⬜ Pending"),"⬜ Pending")</f>
        <v>⬜ Pending</v>
      </c>
      <c r="O97" s="269"/>
      <c r="P97" s="76" t="str">
        <f aca="false">IF(O97&lt;&gt;"",O97,N97)</f>
        <v>⬜ Pending</v>
      </c>
      <c r="Q97" s="270" t="s">
        <v>807</v>
      </c>
      <c r="R97" s="271" t="str">
        <f aca="false">IF(COUNTIF('📆 Daily Schedule'!$M$5:$M$427,D97)&gt;0,"⚡ In Swap","✅ Available")</f>
        <v>✅ Available</v>
      </c>
    </row>
    <row r="98" customFormat="false" ht="15.75" hidden="false" customHeight="true" outlineLevel="0" collapsed="false">
      <c r="A98" s="183" t="n">
        <v>95</v>
      </c>
      <c r="B98" s="183" t="s">
        <v>802</v>
      </c>
      <c r="C98" s="295" t="n">
        <v>95</v>
      </c>
      <c r="D98" s="296" t="s">
        <v>808</v>
      </c>
      <c r="E98" s="196" t="s">
        <v>351</v>
      </c>
      <c r="F98" s="39" t="n">
        <v>0.5</v>
      </c>
      <c r="G98" s="40" t="n">
        <v>1</v>
      </c>
      <c r="H98" s="41" t="n">
        <v>1.5</v>
      </c>
      <c r="I98" s="297" t="n">
        <v>14</v>
      </c>
      <c r="J98" s="274" t="s">
        <v>623</v>
      </c>
      <c r="K98" s="298" t="n">
        <v>5</v>
      </c>
      <c r="L98" s="298" t="n">
        <v>4</v>
      </c>
      <c r="M98" s="182" t="s">
        <v>636</v>
      </c>
      <c r="N98" s="295" t="str">
        <f aca="false">IFERROR(IF(COUNTIF('📝 Daily Log'!$E$3:$E$600,D98)&gt;0,IF(COUNTIFS('📝 Daily Log'!$E$3:$E$600,D98,'📝 Daily Log'!$G$3:$G$600,"✅ Done")&gt;0,"✅ Done",IF(COUNTIFS('📝 Daily Log'!$E$3:$E$600,D98,'📝 Daily Log'!$G$3:$G$600,"🔄 Partial")&gt;0,"🔄 Partial","⬜ Pending")),"⬜ Pending"),"⬜ Pending")</f>
        <v>⬜ Pending</v>
      </c>
      <c r="O98" s="269"/>
      <c r="P98" s="295" t="str">
        <f aca="false">IF(O98&lt;&gt;"",O98,N98)</f>
        <v>⬜ Pending</v>
      </c>
      <c r="Q98" s="270" t="s">
        <v>807</v>
      </c>
      <c r="R98" s="271" t="str">
        <f aca="false">IF(COUNTIF('📆 Daily Schedule'!$M$5:$M$427,D98)&gt;0,"⚡ In Swap","✅ Available")</f>
        <v>✅ Available</v>
      </c>
    </row>
    <row r="99" customFormat="false" ht="15.75" hidden="false" customHeight="true" outlineLevel="0" collapsed="false">
      <c r="A99" s="183" t="n">
        <v>96</v>
      </c>
      <c r="B99" s="183" t="s">
        <v>802</v>
      </c>
      <c r="C99" s="76" t="n">
        <v>96</v>
      </c>
      <c r="D99" s="37" t="s">
        <v>809</v>
      </c>
      <c r="E99" s="196" t="s">
        <v>351</v>
      </c>
      <c r="F99" s="39" t="n">
        <v>0.3</v>
      </c>
      <c r="G99" s="40" t="n">
        <v>0.5</v>
      </c>
      <c r="H99" s="41" t="n">
        <v>0.75</v>
      </c>
      <c r="I99" s="272" t="n">
        <v>14</v>
      </c>
      <c r="J99" s="274" t="s">
        <v>623</v>
      </c>
      <c r="K99" s="273" t="n">
        <v>5</v>
      </c>
      <c r="L99" s="273" t="n">
        <v>4</v>
      </c>
      <c r="M99" s="188" t="s">
        <v>618</v>
      </c>
      <c r="N99" s="76" t="str">
        <f aca="false">IFERROR(IF(COUNTIF('📝 Daily Log'!$E$3:$E$600,D99)&gt;0,IF(COUNTIFS('📝 Daily Log'!$E$3:$E$600,D99,'📝 Daily Log'!$G$3:$G$600,"✅ Done")&gt;0,"✅ Done",IF(COUNTIFS('📝 Daily Log'!$E$3:$E$600,D99,'📝 Daily Log'!$G$3:$G$600,"🔄 Partial")&gt;0,"🔄 Partial","⬜ Pending")),"⬜ Pending"),"⬜ Pending")</f>
        <v>⬜ Pending</v>
      </c>
      <c r="O99" s="269"/>
      <c r="P99" s="76" t="str">
        <f aca="false">IF(O99&lt;&gt;"",O99,N99)</f>
        <v>⬜ Pending</v>
      </c>
      <c r="Q99" s="270" t="s">
        <v>810</v>
      </c>
      <c r="R99" s="271" t="str">
        <f aca="false">IF(COUNTIF('📆 Daily Schedule'!$M$5:$M$427,D99)&gt;0,"⚡ In Swap","✅ Available")</f>
        <v>✅ Available</v>
      </c>
    </row>
    <row r="100" customFormat="false" ht="15.75" hidden="false" customHeight="true" outlineLevel="0" collapsed="false">
      <c r="A100" s="183" t="n">
        <v>97</v>
      </c>
      <c r="B100" s="183" t="s">
        <v>802</v>
      </c>
      <c r="C100" s="295" t="n">
        <v>97</v>
      </c>
      <c r="D100" s="296" t="s">
        <v>811</v>
      </c>
      <c r="E100" s="196" t="s">
        <v>351</v>
      </c>
      <c r="F100" s="39" t="n">
        <v>1</v>
      </c>
      <c r="G100" s="40" t="n">
        <v>1.5</v>
      </c>
      <c r="H100" s="41" t="n">
        <v>2</v>
      </c>
      <c r="I100" s="297" t="n">
        <v>13</v>
      </c>
      <c r="J100" s="274" t="s">
        <v>623</v>
      </c>
      <c r="K100" s="298" t="n">
        <v>5</v>
      </c>
      <c r="L100" s="298" t="n">
        <v>3</v>
      </c>
      <c r="M100" s="182" t="s">
        <v>636</v>
      </c>
      <c r="N100" s="295" t="str">
        <f aca="false">IFERROR(IF(COUNTIF('📝 Daily Log'!$E$3:$E$600,D100)&gt;0,IF(COUNTIFS('📝 Daily Log'!$E$3:$E$600,D100,'📝 Daily Log'!$G$3:$G$600,"✅ Done")&gt;0,"✅ Done",IF(COUNTIFS('📝 Daily Log'!$E$3:$E$600,D100,'📝 Daily Log'!$G$3:$G$600,"🔄 Partial")&gt;0,"🔄 Partial","⬜ Pending")),"⬜ Pending"),"⬜ Pending")</f>
        <v>⬜ Pending</v>
      </c>
      <c r="O100" s="269"/>
      <c r="P100" s="295" t="str">
        <f aca="false">IF(O100&lt;&gt;"",O100,N100)</f>
        <v>⬜ Pending</v>
      </c>
      <c r="Q100" s="270" t="s">
        <v>812</v>
      </c>
      <c r="R100" s="271" t="str">
        <f aca="false">IF(COUNTIF('📆 Daily Schedule'!$M$5:$M$427,D100)&gt;0,"⚡ In Swap","✅ Available")</f>
        <v>✅ Available</v>
      </c>
    </row>
    <row r="101" customFormat="false" ht="15.75" hidden="false" customHeight="true" outlineLevel="0" collapsed="false">
      <c r="A101" s="183" t="n">
        <v>98</v>
      </c>
      <c r="B101" s="183" t="s">
        <v>802</v>
      </c>
      <c r="C101" s="76" t="n">
        <v>98</v>
      </c>
      <c r="D101" s="37" t="s">
        <v>813</v>
      </c>
      <c r="E101" s="196" t="s">
        <v>351</v>
      </c>
      <c r="F101" s="39" t="n">
        <v>1.5</v>
      </c>
      <c r="G101" s="40" t="n">
        <v>3</v>
      </c>
      <c r="H101" s="41" t="n">
        <v>5</v>
      </c>
      <c r="I101" s="272" t="n">
        <v>13</v>
      </c>
      <c r="J101" s="274" t="s">
        <v>623</v>
      </c>
      <c r="K101" s="273" t="n">
        <v>5</v>
      </c>
      <c r="L101" s="273" t="n">
        <v>3</v>
      </c>
      <c r="M101" s="188" t="s">
        <v>618</v>
      </c>
      <c r="N101" s="76" t="str">
        <f aca="false">IFERROR(IF(COUNTIF('📝 Daily Log'!$E$3:$E$600,D101)&gt;0,IF(COUNTIFS('📝 Daily Log'!$E$3:$E$600,D101,'📝 Daily Log'!$G$3:$G$600,"✅ Done")&gt;0,"✅ Done",IF(COUNTIFS('📝 Daily Log'!$E$3:$E$600,D101,'📝 Daily Log'!$G$3:$G$600,"🔄 Partial")&gt;0,"🔄 Partial","⬜ Pending")),"⬜ Pending"),"⬜ Pending")</f>
        <v>⬜ Pending</v>
      </c>
      <c r="O101" s="269"/>
      <c r="P101" s="76" t="str">
        <f aca="false">IF(O101&lt;&gt;"",O101,N101)</f>
        <v>⬜ Pending</v>
      </c>
      <c r="Q101" s="270" t="s">
        <v>814</v>
      </c>
      <c r="R101" s="271" t="str">
        <f aca="false">IF(COUNTIF('📆 Daily Schedule'!$M$5:$M$427,D101)&gt;0,"⚡ In Swap","✅ Available")</f>
        <v>✅ Available</v>
      </c>
    </row>
    <row r="102" customFormat="false" ht="15.75" hidden="false" customHeight="true" outlineLevel="0" collapsed="false">
      <c r="A102" s="183" t="n">
        <v>99</v>
      </c>
      <c r="B102" s="183" t="s">
        <v>802</v>
      </c>
      <c r="C102" s="295" t="n">
        <v>99</v>
      </c>
      <c r="D102" s="296" t="s">
        <v>815</v>
      </c>
      <c r="E102" s="196" t="s">
        <v>351</v>
      </c>
      <c r="F102" s="39" t="n">
        <v>0.5</v>
      </c>
      <c r="G102" s="40" t="n">
        <v>1</v>
      </c>
      <c r="H102" s="41" t="n">
        <v>1.5</v>
      </c>
      <c r="I102" s="297" t="n">
        <v>14</v>
      </c>
      <c r="J102" s="274" t="s">
        <v>623</v>
      </c>
      <c r="K102" s="298" t="n">
        <v>5</v>
      </c>
      <c r="L102" s="298" t="n">
        <v>4</v>
      </c>
      <c r="M102" s="182" t="s">
        <v>636</v>
      </c>
      <c r="N102" s="295" t="str">
        <f aca="false">IFERROR(IF(COUNTIF('📝 Daily Log'!$E$3:$E$600,D102)&gt;0,IF(COUNTIFS('📝 Daily Log'!$E$3:$E$600,D102,'📝 Daily Log'!$G$3:$G$600,"✅ Done")&gt;0,"✅ Done",IF(COUNTIFS('📝 Daily Log'!$E$3:$E$600,D102,'📝 Daily Log'!$G$3:$G$600,"🔄 Partial")&gt;0,"🔄 Partial","⬜ Pending")),"⬜ Pending"),"⬜ Pending")</f>
        <v>⬜ Pending</v>
      </c>
      <c r="O102" s="269"/>
      <c r="P102" s="295" t="str">
        <f aca="false">IF(O102&lt;&gt;"",O102,N102)</f>
        <v>⬜ Pending</v>
      </c>
      <c r="Q102" s="270" t="s">
        <v>816</v>
      </c>
      <c r="R102" s="271" t="str">
        <f aca="false">IF(COUNTIF('📆 Daily Schedule'!$M$5:$M$427,D102)&gt;0,"⚡ In Swap","✅ Available")</f>
        <v>✅ Available</v>
      </c>
    </row>
    <row r="103" customFormat="false" ht="15.75" hidden="false" customHeight="true" outlineLevel="0" collapsed="false">
      <c r="A103" s="183" t="n">
        <v>100</v>
      </c>
      <c r="B103" s="183" t="s">
        <v>802</v>
      </c>
      <c r="C103" s="76" t="n">
        <v>100</v>
      </c>
      <c r="D103" s="37" t="s">
        <v>817</v>
      </c>
      <c r="E103" s="196" t="s">
        <v>351</v>
      </c>
      <c r="F103" s="39" t="n">
        <v>0.5</v>
      </c>
      <c r="G103" s="40" t="n">
        <v>1</v>
      </c>
      <c r="H103" s="41" t="n">
        <v>1.5</v>
      </c>
      <c r="I103" s="272" t="n">
        <v>11</v>
      </c>
      <c r="J103" s="36" t="s">
        <v>617</v>
      </c>
      <c r="K103" s="273" t="n">
        <v>4</v>
      </c>
      <c r="L103" s="273" t="n">
        <v>3</v>
      </c>
      <c r="M103" s="182" t="s">
        <v>636</v>
      </c>
      <c r="N103" s="76" t="str">
        <f aca="false">IFERROR(IF(COUNTIF('📝 Daily Log'!$E$3:$E$600,D103)&gt;0,IF(COUNTIFS('📝 Daily Log'!$E$3:$E$600,D103,'📝 Daily Log'!$G$3:$G$600,"✅ Done")&gt;0,"✅ Done",IF(COUNTIFS('📝 Daily Log'!$E$3:$E$600,D103,'📝 Daily Log'!$G$3:$G$600,"🔄 Partial")&gt;0,"🔄 Partial","⬜ Pending")),"⬜ Pending"),"⬜ Pending")</f>
        <v>⬜ Pending</v>
      </c>
      <c r="O103" s="269"/>
      <c r="P103" s="76" t="str">
        <f aca="false">IF(O103&lt;&gt;"",O103,N103)</f>
        <v>⬜ Pending</v>
      </c>
      <c r="Q103" s="270" t="s">
        <v>812</v>
      </c>
      <c r="R103" s="271" t="str">
        <f aca="false">IF(COUNTIF('📆 Daily Schedule'!$M$5:$M$427,D103)&gt;0,"⚡ In Swap","✅ Available")</f>
        <v>✅ Available</v>
      </c>
    </row>
    <row r="104" customFormat="false" ht="15.75" hidden="false" customHeight="true" outlineLevel="0" collapsed="false">
      <c r="A104" s="183" t="n">
        <v>101</v>
      </c>
      <c r="B104" s="183" t="s">
        <v>802</v>
      </c>
      <c r="C104" s="295" t="n">
        <v>101</v>
      </c>
      <c r="D104" s="296" t="s">
        <v>818</v>
      </c>
      <c r="E104" s="196" t="s">
        <v>351</v>
      </c>
      <c r="F104" s="39" t="n">
        <v>0.5</v>
      </c>
      <c r="G104" s="40" t="n">
        <v>1</v>
      </c>
      <c r="H104" s="41" t="n">
        <v>1.5</v>
      </c>
      <c r="I104" s="297" t="n">
        <v>14</v>
      </c>
      <c r="J104" s="274" t="s">
        <v>623</v>
      </c>
      <c r="K104" s="298" t="n">
        <v>5</v>
      </c>
      <c r="L104" s="298" t="n">
        <v>4</v>
      </c>
      <c r="M104" s="182" t="s">
        <v>636</v>
      </c>
      <c r="N104" s="295" t="str">
        <f aca="false">IFERROR(IF(COUNTIF('📝 Daily Log'!$E$3:$E$600,D104)&gt;0,IF(COUNTIFS('📝 Daily Log'!$E$3:$E$600,D104,'📝 Daily Log'!$G$3:$G$600,"✅ Done")&gt;0,"✅ Done",IF(COUNTIFS('📝 Daily Log'!$E$3:$E$600,D104,'📝 Daily Log'!$G$3:$G$600,"🔄 Partial")&gt;0,"🔄 Partial","⬜ Pending")),"⬜ Pending"),"⬜ Pending")</f>
        <v>⬜ Pending</v>
      </c>
      <c r="O104" s="269"/>
      <c r="P104" s="295" t="str">
        <f aca="false">IF(O104&lt;&gt;"",O104,N104)</f>
        <v>⬜ Pending</v>
      </c>
      <c r="Q104" s="270" t="s">
        <v>819</v>
      </c>
      <c r="R104" s="271" t="str">
        <f aca="false">IF(COUNTIF('📆 Daily Schedule'!$M$5:$M$427,D104)&gt;0,"⚡ In Swap","✅ Available")</f>
        <v>✅ Available</v>
      </c>
    </row>
    <row r="105" customFormat="false" ht="15.75" hidden="false" customHeight="true" outlineLevel="0" collapsed="false">
      <c r="A105" s="183" t="n">
        <v>102</v>
      </c>
      <c r="B105" s="183" t="s">
        <v>802</v>
      </c>
      <c r="C105" s="76" t="n">
        <v>102</v>
      </c>
      <c r="D105" s="37" t="s">
        <v>820</v>
      </c>
      <c r="E105" s="196" t="s">
        <v>351</v>
      </c>
      <c r="F105" s="39" t="n">
        <v>0.5</v>
      </c>
      <c r="G105" s="40" t="n">
        <v>1</v>
      </c>
      <c r="H105" s="41" t="n">
        <v>1.5</v>
      </c>
      <c r="I105" s="272" t="n">
        <v>15</v>
      </c>
      <c r="J105" s="274" t="s">
        <v>623</v>
      </c>
      <c r="K105" s="273" t="n">
        <v>5</v>
      </c>
      <c r="L105" s="273" t="n">
        <v>5</v>
      </c>
      <c r="M105" s="188" t="s">
        <v>618</v>
      </c>
      <c r="N105" s="76" t="str">
        <f aca="false">IFERROR(IF(COUNTIF('📝 Daily Log'!$E$3:$E$600,D105)&gt;0,IF(COUNTIFS('📝 Daily Log'!$E$3:$E$600,D105,'📝 Daily Log'!$G$3:$G$600,"✅ Done")&gt;0,"✅ Done",IF(COUNTIFS('📝 Daily Log'!$E$3:$E$600,D105,'📝 Daily Log'!$G$3:$G$600,"🔄 Partial")&gt;0,"🔄 Partial","⬜ Pending")),"⬜ Pending"),"⬜ Pending")</f>
        <v>⬜ Pending</v>
      </c>
      <c r="O105" s="269"/>
      <c r="P105" s="76" t="str">
        <f aca="false">IF(O105&lt;&gt;"",O105,N105)</f>
        <v>⬜ Pending</v>
      </c>
      <c r="Q105" s="270" t="s">
        <v>821</v>
      </c>
      <c r="R105" s="271" t="str">
        <f aca="false">IF(COUNTIF('📆 Daily Schedule'!$M$5:$M$427,D105)&gt;0,"⚡ In Swap","✅ Available")</f>
        <v>✅ Available</v>
      </c>
    </row>
    <row r="106" customFormat="false" ht="15.75" hidden="false" customHeight="true" outlineLevel="0" collapsed="false">
      <c r="A106" s="183" t="n">
        <v>103</v>
      </c>
      <c r="B106" s="183" t="s">
        <v>802</v>
      </c>
      <c r="C106" s="295" t="n">
        <v>103</v>
      </c>
      <c r="D106" s="296" t="s">
        <v>822</v>
      </c>
      <c r="E106" s="196" t="s">
        <v>351</v>
      </c>
      <c r="F106" s="39" t="n">
        <v>0.3</v>
      </c>
      <c r="G106" s="40" t="n">
        <v>0.5</v>
      </c>
      <c r="H106" s="41" t="n">
        <v>0.75</v>
      </c>
      <c r="I106" s="297" t="n">
        <v>13</v>
      </c>
      <c r="J106" s="274" t="s">
        <v>623</v>
      </c>
      <c r="K106" s="298" t="n">
        <v>5</v>
      </c>
      <c r="L106" s="298" t="n">
        <v>3</v>
      </c>
      <c r="M106" s="188" t="s">
        <v>618</v>
      </c>
      <c r="N106" s="295" t="str">
        <f aca="false">IFERROR(IF(COUNTIF('📝 Daily Log'!$E$3:$E$600,D106)&gt;0,IF(COUNTIFS('📝 Daily Log'!$E$3:$E$600,D106,'📝 Daily Log'!$G$3:$G$600,"✅ Done")&gt;0,"✅ Done",IF(COUNTIFS('📝 Daily Log'!$E$3:$E$600,D106,'📝 Daily Log'!$G$3:$G$600,"🔄 Partial")&gt;0,"🔄 Partial","⬜ Pending")),"⬜ Pending"),"⬜ Pending")</f>
        <v>⬜ Pending</v>
      </c>
      <c r="O106" s="269"/>
      <c r="P106" s="295" t="str">
        <f aca="false">IF(O106&lt;&gt;"",O106,N106)</f>
        <v>⬜ Pending</v>
      </c>
      <c r="Q106" s="270" t="s">
        <v>823</v>
      </c>
      <c r="R106" s="271" t="str">
        <f aca="false">IF(COUNTIF('📆 Daily Schedule'!$M$5:$M$427,D106)&gt;0,"⚡ In Swap","✅ Available")</f>
        <v>✅ Available</v>
      </c>
    </row>
    <row r="107" customFormat="false" ht="15.75" hidden="false" customHeight="true" outlineLevel="0" collapsed="false">
      <c r="A107" s="183" t="n">
        <v>104</v>
      </c>
      <c r="B107" s="183" t="s">
        <v>802</v>
      </c>
      <c r="C107" s="76" t="n">
        <v>104</v>
      </c>
      <c r="D107" s="37" t="s">
        <v>824</v>
      </c>
      <c r="E107" s="196" t="s">
        <v>351</v>
      </c>
      <c r="F107" s="39" t="n">
        <v>1</v>
      </c>
      <c r="G107" s="40" t="n">
        <v>1.5</v>
      </c>
      <c r="H107" s="41" t="n">
        <v>2</v>
      </c>
      <c r="I107" s="272" t="n">
        <v>13</v>
      </c>
      <c r="J107" s="274" t="s">
        <v>623</v>
      </c>
      <c r="K107" s="273" t="n">
        <v>4</v>
      </c>
      <c r="L107" s="273" t="n">
        <v>5</v>
      </c>
      <c r="M107" s="188" t="s">
        <v>618</v>
      </c>
      <c r="N107" s="76" t="str">
        <f aca="false">IFERROR(IF(COUNTIF('📝 Daily Log'!$E$3:$E$600,D107)&gt;0,IF(COUNTIFS('📝 Daily Log'!$E$3:$E$600,D107,'📝 Daily Log'!$G$3:$G$600,"✅ Done")&gt;0,"✅ Done",IF(COUNTIFS('📝 Daily Log'!$E$3:$E$600,D107,'📝 Daily Log'!$G$3:$G$600,"🔄 Partial")&gt;0,"🔄 Partial","⬜ Pending")),"⬜ Pending"),"⬜ Pending")</f>
        <v>⬜ Pending</v>
      </c>
      <c r="O107" s="269"/>
      <c r="P107" s="76" t="str">
        <f aca="false">IF(O107&lt;&gt;"",O107,N107)</f>
        <v>⬜ Pending</v>
      </c>
      <c r="Q107" s="270" t="s">
        <v>825</v>
      </c>
      <c r="R107" s="271" t="str">
        <f aca="false">IF(COUNTIF('📆 Daily Schedule'!$M$5:$M$427,D107)&gt;0,"⚡ In Swap","✅ Available")</f>
        <v>✅ Available</v>
      </c>
    </row>
    <row r="108" customFormat="false" ht="15.75" hidden="false" customHeight="true" outlineLevel="0" collapsed="false">
      <c r="A108" s="183" t="n">
        <v>105</v>
      </c>
      <c r="B108" s="183" t="s">
        <v>802</v>
      </c>
      <c r="C108" s="295" t="n">
        <v>105</v>
      </c>
      <c r="D108" s="296" t="s">
        <v>826</v>
      </c>
      <c r="E108" s="196" t="s">
        <v>351</v>
      </c>
      <c r="F108" s="39" t="n">
        <v>1.5</v>
      </c>
      <c r="G108" s="40" t="n">
        <v>3</v>
      </c>
      <c r="H108" s="41" t="n">
        <v>5</v>
      </c>
      <c r="I108" s="297" t="n">
        <v>14</v>
      </c>
      <c r="J108" s="274" t="s">
        <v>623</v>
      </c>
      <c r="K108" s="298" t="n">
        <v>5</v>
      </c>
      <c r="L108" s="298" t="n">
        <v>4</v>
      </c>
      <c r="M108" s="188" t="s">
        <v>618</v>
      </c>
      <c r="N108" s="295" t="str">
        <f aca="false">IFERROR(IF(COUNTIF('📝 Daily Log'!$E$3:$E$600,D108)&gt;0,IF(COUNTIFS('📝 Daily Log'!$E$3:$E$600,D108,'📝 Daily Log'!$G$3:$G$600,"✅ Done")&gt;0,"✅ Done",IF(COUNTIFS('📝 Daily Log'!$E$3:$E$600,D108,'📝 Daily Log'!$G$3:$G$600,"🔄 Partial")&gt;0,"🔄 Partial","⬜ Pending")),"⬜ Pending"),"⬜ Pending")</f>
        <v>⬜ Pending</v>
      </c>
      <c r="O108" s="269"/>
      <c r="P108" s="295" t="str">
        <f aca="false">IF(O108&lt;&gt;"",O108,N108)</f>
        <v>⬜ Pending</v>
      </c>
      <c r="Q108" s="270" t="s">
        <v>827</v>
      </c>
      <c r="R108" s="271" t="str">
        <f aca="false">IF(COUNTIF('📆 Daily Schedule'!$M$5:$M$427,D108)&gt;0,"⚡ In Swap","✅ Available")</f>
        <v>✅ Available</v>
      </c>
    </row>
    <row r="109" customFormat="false" ht="15.75" hidden="false" customHeight="true" outlineLevel="0" collapsed="false">
      <c r="A109" s="183" t="n">
        <v>106</v>
      </c>
      <c r="B109" s="183" t="s">
        <v>802</v>
      </c>
      <c r="C109" s="76" t="n">
        <v>106</v>
      </c>
      <c r="D109" s="37" t="s">
        <v>828</v>
      </c>
      <c r="E109" s="196" t="s">
        <v>351</v>
      </c>
      <c r="F109" s="39" t="n">
        <v>0.5</v>
      </c>
      <c r="G109" s="40" t="n">
        <v>0.75</v>
      </c>
      <c r="H109" s="41" t="n">
        <v>1</v>
      </c>
      <c r="I109" s="272" t="n">
        <v>11</v>
      </c>
      <c r="J109" s="36" t="s">
        <v>617</v>
      </c>
      <c r="K109" s="273" t="n">
        <v>4</v>
      </c>
      <c r="L109" s="273" t="n">
        <v>3</v>
      </c>
      <c r="M109" s="188" t="s">
        <v>618</v>
      </c>
      <c r="N109" s="76" t="str">
        <f aca="false">IFERROR(IF(COUNTIF('📝 Daily Log'!$E$3:$E$600,D109)&gt;0,IF(COUNTIFS('📝 Daily Log'!$E$3:$E$600,D109,'📝 Daily Log'!$G$3:$G$600,"✅ Done")&gt;0,"✅ Done",IF(COUNTIFS('📝 Daily Log'!$E$3:$E$600,D109,'📝 Daily Log'!$G$3:$G$600,"🔄 Partial")&gt;0,"🔄 Partial","⬜ Pending")),"⬜ Pending"),"⬜ Pending")</f>
        <v>⬜ Pending</v>
      </c>
      <c r="O109" s="269"/>
      <c r="P109" s="76" t="str">
        <f aca="false">IF(O109&lt;&gt;"",O109,N109)</f>
        <v>⬜ Pending</v>
      </c>
      <c r="Q109" s="270" t="s">
        <v>829</v>
      </c>
      <c r="R109" s="271" t="str">
        <f aca="false">IF(COUNTIF('📆 Daily Schedule'!$M$5:$M$427,D109)&gt;0,"⚡ In Swap","✅ Available")</f>
        <v>✅ Available</v>
      </c>
    </row>
    <row r="110" customFormat="false" ht="15.75" hidden="false" customHeight="true" outlineLevel="0" collapsed="false">
      <c r="A110" s="183" t="n">
        <v>107</v>
      </c>
      <c r="B110" s="183" t="s">
        <v>802</v>
      </c>
      <c r="C110" s="295" t="n">
        <v>107</v>
      </c>
      <c r="D110" s="296" t="s">
        <v>830</v>
      </c>
      <c r="E110" s="196" t="s">
        <v>351</v>
      </c>
      <c r="F110" s="39" t="n">
        <v>0.5</v>
      </c>
      <c r="G110" s="40" t="n">
        <v>1</v>
      </c>
      <c r="H110" s="41" t="n">
        <v>1.5</v>
      </c>
      <c r="I110" s="297" t="n">
        <v>14</v>
      </c>
      <c r="J110" s="274" t="s">
        <v>623</v>
      </c>
      <c r="K110" s="298" t="n">
        <v>5</v>
      </c>
      <c r="L110" s="298" t="n">
        <v>4</v>
      </c>
      <c r="M110" s="182" t="s">
        <v>636</v>
      </c>
      <c r="N110" s="295" t="str">
        <f aca="false">IFERROR(IF(COUNTIF('📝 Daily Log'!$E$3:$E$600,D110)&gt;0,IF(COUNTIFS('📝 Daily Log'!$E$3:$E$600,D110,'📝 Daily Log'!$G$3:$G$600,"✅ Done")&gt;0,"✅ Done",IF(COUNTIFS('📝 Daily Log'!$E$3:$E$600,D110,'📝 Daily Log'!$G$3:$G$600,"🔄 Partial")&gt;0,"🔄 Partial","⬜ Pending")),"⬜ Pending"),"⬜ Pending")</f>
        <v>⬜ Pending</v>
      </c>
      <c r="O110" s="269"/>
      <c r="P110" s="295" t="str">
        <f aca="false">IF(O110&lt;&gt;"",O110,N110)</f>
        <v>⬜ Pending</v>
      </c>
      <c r="Q110" s="270" t="s">
        <v>831</v>
      </c>
      <c r="R110" s="271" t="str">
        <f aca="false">IF(COUNTIF('📆 Daily Schedule'!$M$5:$M$427,D110)&gt;0,"⚡ In Swap","✅ Available")</f>
        <v>✅ Available</v>
      </c>
    </row>
    <row r="111" customFormat="false" ht="15.75" hidden="false" customHeight="true" outlineLevel="0" collapsed="false">
      <c r="A111" s="183" t="n">
        <v>108</v>
      </c>
      <c r="B111" s="183" t="s">
        <v>802</v>
      </c>
      <c r="C111" s="76" t="n">
        <v>108</v>
      </c>
      <c r="D111" s="37" t="s">
        <v>832</v>
      </c>
      <c r="E111" s="196" t="s">
        <v>351</v>
      </c>
      <c r="F111" s="39" t="n">
        <v>0.5</v>
      </c>
      <c r="G111" s="40" t="n">
        <v>1</v>
      </c>
      <c r="H111" s="41" t="n">
        <v>1.5</v>
      </c>
      <c r="I111" s="272" t="n">
        <v>15</v>
      </c>
      <c r="J111" s="274" t="s">
        <v>623</v>
      </c>
      <c r="K111" s="273" t="n">
        <v>5</v>
      </c>
      <c r="L111" s="273" t="n">
        <v>5</v>
      </c>
      <c r="M111" s="182" t="s">
        <v>636</v>
      </c>
      <c r="N111" s="76" t="str">
        <f aca="false">IFERROR(IF(COUNTIF('📝 Daily Log'!$E$3:$E$600,D111)&gt;0,IF(COUNTIFS('📝 Daily Log'!$E$3:$E$600,D111,'📝 Daily Log'!$G$3:$G$600,"✅ Done")&gt;0,"✅ Done",IF(COUNTIFS('📝 Daily Log'!$E$3:$E$600,D111,'📝 Daily Log'!$G$3:$G$600,"🔄 Partial")&gt;0,"🔄 Partial","⬜ Pending")),"⬜ Pending"),"⬜ Pending")</f>
        <v>⬜ Pending</v>
      </c>
      <c r="O111" s="269"/>
      <c r="P111" s="76" t="str">
        <f aca="false">IF(O111&lt;&gt;"",O111,N111)</f>
        <v>⬜ Pending</v>
      </c>
      <c r="Q111" s="270" t="s">
        <v>833</v>
      </c>
      <c r="R111" s="271" t="str">
        <f aca="false">IF(COUNTIF('📆 Daily Schedule'!$M$5:$M$427,D111)&gt;0,"⚡ In Swap","✅ Available")</f>
        <v>✅ Available</v>
      </c>
    </row>
    <row r="112" customFormat="false" ht="15.75" hidden="false" customHeight="true" outlineLevel="0" collapsed="false">
      <c r="A112" s="183" t="n">
        <v>109</v>
      </c>
      <c r="B112" s="183" t="s">
        <v>802</v>
      </c>
      <c r="C112" s="295" t="n">
        <v>109</v>
      </c>
      <c r="D112" s="296" t="s">
        <v>834</v>
      </c>
      <c r="E112" s="196" t="s">
        <v>351</v>
      </c>
      <c r="F112" s="39" t="n">
        <v>0.5</v>
      </c>
      <c r="G112" s="40" t="n">
        <v>1</v>
      </c>
      <c r="H112" s="41" t="n">
        <v>1.5</v>
      </c>
      <c r="I112" s="297" t="n">
        <v>15</v>
      </c>
      <c r="J112" s="274" t="s">
        <v>623</v>
      </c>
      <c r="K112" s="298" t="n">
        <v>5</v>
      </c>
      <c r="L112" s="298" t="n">
        <v>5</v>
      </c>
      <c r="M112" s="182" t="s">
        <v>792</v>
      </c>
      <c r="N112" s="295" t="str">
        <f aca="false">IFERROR(IF(COUNTIF('📝 Daily Log'!$E$3:$E$600,D112)&gt;0,IF(COUNTIFS('📝 Daily Log'!$E$3:$E$600,D112,'📝 Daily Log'!$G$3:$G$600,"✅ Done")&gt;0,"✅ Done",IF(COUNTIFS('📝 Daily Log'!$E$3:$E$600,D112,'📝 Daily Log'!$G$3:$G$600,"🔄 Partial")&gt;0,"🔄 Partial","⬜ Pending")),"⬜ Pending"),"⬜ Pending")</f>
        <v>⬜ Pending</v>
      </c>
      <c r="O112" s="269"/>
      <c r="P112" s="295" t="str">
        <f aca="false">IF(O112&lt;&gt;"",O112,N112)</f>
        <v>⬜ Pending</v>
      </c>
      <c r="Q112" s="270" t="s">
        <v>833</v>
      </c>
      <c r="R112" s="271" t="str">
        <f aca="false">IF(COUNTIF('📆 Daily Schedule'!$M$5:$M$427,D112)&gt;0,"⚡ In Swap","✅ Available")</f>
        <v>✅ Available</v>
      </c>
    </row>
    <row r="113" customFormat="false" ht="15.75" hidden="false" customHeight="true" outlineLevel="0" collapsed="false">
      <c r="A113" s="183" t="n">
        <v>110</v>
      </c>
      <c r="B113" s="183" t="s">
        <v>802</v>
      </c>
      <c r="C113" s="76" t="n">
        <v>110</v>
      </c>
      <c r="D113" s="37" t="s">
        <v>835</v>
      </c>
      <c r="E113" s="196" t="s">
        <v>351</v>
      </c>
      <c r="F113" s="39" t="n">
        <v>0.3</v>
      </c>
      <c r="G113" s="40" t="n">
        <v>0.5</v>
      </c>
      <c r="H113" s="41" t="n">
        <v>0.75</v>
      </c>
      <c r="I113" s="272" t="n">
        <v>14</v>
      </c>
      <c r="J113" s="274" t="s">
        <v>623</v>
      </c>
      <c r="K113" s="273" t="n">
        <v>5</v>
      </c>
      <c r="L113" s="273" t="n">
        <v>4</v>
      </c>
      <c r="M113" s="188" t="s">
        <v>618</v>
      </c>
      <c r="N113" s="76" t="str">
        <f aca="false">IFERROR(IF(COUNTIF('📝 Daily Log'!$E$3:$E$600,D113)&gt;0,IF(COUNTIFS('📝 Daily Log'!$E$3:$E$600,D113,'📝 Daily Log'!$G$3:$G$600,"✅ Done")&gt;0,"✅ Done",IF(COUNTIFS('📝 Daily Log'!$E$3:$E$600,D113,'📝 Daily Log'!$G$3:$G$600,"🔄 Partial")&gt;0,"🔄 Partial","⬜ Pending")),"⬜ Pending"),"⬜ Pending")</f>
        <v>⬜ Pending</v>
      </c>
      <c r="O113" s="269"/>
      <c r="P113" s="76" t="str">
        <f aca="false">IF(O113&lt;&gt;"",O113,N113)</f>
        <v>⬜ Pending</v>
      </c>
      <c r="Q113" s="270" t="s">
        <v>836</v>
      </c>
      <c r="R113" s="271" t="str">
        <f aca="false">IF(COUNTIF('📆 Daily Schedule'!$M$5:$M$427,D113)&gt;0,"⚡ In Swap","✅ Available")</f>
        <v>✅ Available</v>
      </c>
    </row>
    <row r="114" customFormat="false" ht="15.75" hidden="false" customHeight="true" outlineLevel="0" collapsed="false">
      <c r="A114" s="183" t="n">
        <v>111</v>
      </c>
      <c r="B114" s="183" t="s">
        <v>802</v>
      </c>
      <c r="C114" s="295" t="n">
        <v>111</v>
      </c>
      <c r="D114" s="296" t="s">
        <v>837</v>
      </c>
      <c r="E114" s="196" t="s">
        <v>351</v>
      </c>
      <c r="F114" s="39" t="n">
        <v>2</v>
      </c>
      <c r="G114" s="40" t="n">
        <v>3</v>
      </c>
      <c r="H114" s="41" t="n">
        <v>4</v>
      </c>
      <c r="I114" s="297" t="n">
        <v>13</v>
      </c>
      <c r="J114" s="274" t="s">
        <v>623</v>
      </c>
      <c r="K114" s="298" t="n">
        <v>5</v>
      </c>
      <c r="L114" s="298" t="n">
        <v>3</v>
      </c>
      <c r="M114" s="188" t="s">
        <v>618</v>
      </c>
      <c r="N114" s="295" t="str">
        <f aca="false">IFERROR(IF(COUNTIF('📝 Daily Log'!$E$3:$E$600,D114)&gt;0,IF(COUNTIFS('📝 Daily Log'!$E$3:$E$600,D114,'📝 Daily Log'!$G$3:$G$600,"✅ Done")&gt;0,"✅ Done",IF(COUNTIFS('📝 Daily Log'!$E$3:$E$600,D114,'📝 Daily Log'!$G$3:$G$600,"🔄 Partial")&gt;0,"🔄 Partial","⬜ Pending")),"⬜ Pending"),"⬜ Pending")</f>
        <v>⬜ Pending</v>
      </c>
      <c r="O114" s="269"/>
      <c r="P114" s="295" t="str">
        <f aca="false">IF(O114&lt;&gt;"",O114,N114)</f>
        <v>⬜ Pending</v>
      </c>
      <c r="Q114" s="270" t="s">
        <v>838</v>
      </c>
      <c r="R114" s="271" t="str">
        <f aca="false">IF(COUNTIF('📆 Daily Schedule'!$M$5:$M$427,D114)&gt;0,"⚡ In Swap","✅ Available")</f>
        <v>✅ Available</v>
      </c>
    </row>
    <row r="115" customFormat="false" ht="15.75" hidden="false" customHeight="true" outlineLevel="0" collapsed="false">
      <c r="A115" s="183" t="n">
        <v>112</v>
      </c>
      <c r="B115" s="183" t="s">
        <v>802</v>
      </c>
      <c r="C115" s="76" t="n">
        <v>112</v>
      </c>
      <c r="D115" s="37" t="s">
        <v>839</v>
      </c>
      <c r="E115" s="196" t="s">
        <v>351</v>
      </c>
      <c r="F115" s="39" t="n">
        <v>1.5</v>
      </c>
      <c r="G115" s="40" t="n">
        <v>3</v>
      </c>
      <c r="H115" s="41" t="n">
        <v>4</v>
      </c>
      <c r="I115" s="272" t="n">
        <v>13</v>
      </c>
      <c r="J115" s="274" t="s">
        <v>623</v>
      </c>
      <c r="K115" s="273" t="n">
        <v>5</v>
      </c>
      <c r="L115" s="273" t="n">
        <v>3</v>
      </c>
      <c r="M115" s="188" t="s">
        <v>618</v>
      </c>
      <c r="N115" s="76" t="str">
        <f aca="false">IFERROR(IF(COUNTIF('📝 Daily Log'!$E$3:$E$600,D115)&gt;0,IF(COUNTIFS('📝 Daily Log'!$E$3:$E$600,D115,'📝 Daily Log'!$G$3:$G$600,"✅ Done")&gt;0,"✅ Done",IF(COUNTIFS('📝 Daily Log'!$E$3:$E$600,D115,'📝 Daily Log'!$G$3:$G$600,"🔄 Partial")&gt;0,"🔄 Partial","⬜ Pending")),"⬜ Pending"),"⬜ Pending")</f>
        <v>⬜ Pending</v>
      </c>
      <c r="O115" s="269"/>
      <c r="P115" s="76" t="str">
        <f aca="false">IF(O115&lt;&gt;"",O115,N115)</f>
        <v>⬜ Pending</v>
      </c>
      <c r="Q115" s="270" t="s">
        <v>840</v>
      </c>
      <c r="R115" s="271" t="str">
        <f aca="false">IF(COUNTIF('📆 Daily Schedule'!$M$5:$M$427,D115)&gt;0,"⚡ In Swap","✅ Available")</f>
        <v>✅ Available</v>
      </c>
    </row>
    <row r="116" customFormat="false" ht="15.75" hidden="false" customHeight="true" outlineLevel="0" collapsed="false">
      <c r="A116" s="183" t="n">
        <v>113</v>
      </c>
      <c r="B116" s="183" t="s">
        <v>802</v>
      </c>
      <c r="C116" s="295" t="n">
        <v>113</v>
      </c>
      <c r="D116" s="296" t="s">
        <v>841</v>
      </c>
      <c r="E116" s="196" t="s">
        <v>351</v>
      </c>
      <c r="F116" s="39" t="n">
        <v>1</v>
      </c>
      <c r="G116" s="40" t="n">
        <v>1.5</v>
      </c>
      <c r="H116" s="41" t="n">
        <v>2</v>
      </c>
      <c r="I116" s="297" t="n">
        <v>13</v>
      </c>
      <c r="J116" s="274" t="s">
        <v>623</v>
      </c>
      <c r="K116" s="298" t="n">
        <v>5</v>
      </c>
      <c r="L116" s="298" t="n">
        <v>3</v>
      </c>
      <c r="M116" s="188" t="s">
        <v>618</v>
      </c>
      <c r="N116" s="295" t="str">
        <f aca="false">IFERROR(IF(COUNTIF('📝 Daily Log'!$E$3:$E$600,D116)&gt;0,IF(COUNTIFS('📝 Daily Log'!$E$3:$E$600,D116,'📝 Daily Log'!$G$3:$G$600,"✅ Done")&gt;0,"✅ Done",IF(COUNTIFS('📝 Daily Log'!$E$3:$E$600,D116,'📝 Daily Log'!$G$3:$G$600,"🔄 Partial")&gt;0,"🔄 Partial","⬜ Pending")),"⬜ Pending"),"⬜ Pending")</f>
        <v>⬜ Pending</v>
      </c>
      <c r="O116" s="269"/>
      <c r="P116" s="295" t="str">
        <f aca="false">IF(O116&lt;&gt;"",O116,N116)</f>
        <v>⬜ Pending</v>
      </c>
      <c r="Q116" s="270" t="s">
        <v>842</v>
      </c>
      <c r="R116" s="271" t="str">
        <f aca="false">IF(COUNTIF('📆 Daily Schedule'!$M$5:$M$427,D116)&gt;0,"⚡ In Swap","✅ Available")</f>
        <v>✅ Available</v>
      </c>
    </row>
    <row r="117" customFormat="false" ht="15.75" hidden="false" customHeight="true" outlineLevel="0" collapsed="false">
      <c r="A117" s="183" t="n">
        <v>114</v>
      </c>
      <c r="B117" s="183" t="s">
        <v>802</v>
      </c>
      <c r="C117" s="76" t="n">
        <v>114</v>
      </c>
      <c r="D117" s="37" t="s">
        <v>843</v>
      </c>
      <c r="E117" s="196" t="s">
        <v>351</v>
      </c>
      <c r="F117" s="39" t="n">
        <v>0.5</v>
      </c>
      <c r="G117" s="40" t="n">
        <v>1</v>
      </c>
      <c r="H117" s="41" t="n">
        <v>1.5</v>
      </c>
      <c r="I117" s="272" t="n">
        <v>14</v>
      </c>
      <c r="J117" s="274" t="s">
        <v>623</v>
      </c>
      <c r="K117" s="273" t="n">
        <v>5</v>
      </c>
      <c r="L117" s="273" t="n">
        <v>4</v>
      </c>
      <c r="M117" s="182" t="s">
        <v>636</v>
      </c>
      <c r="N117" s="76" t="str">
        <f aca="false">IFERROR(IF(COUNTIF('📝 Daily Log'!$E$3:$E$600,D117)&gt;0,IF(COUNTIFS('📝 Daily Log'!$E$3:$E$600,D117,'📝 Daily Log'!$G$3:$G$600,"✅ Done")&gt;0,"✅ Done",IF(COUNTIFS('📝 Daily Log'!$E$3:$E$600,D117,'📝 Daily Log'!$G$3:$G$600,"🔄 Partial")&gt;0,"🔄 Partial","⬜ Pending")),"⬜ Pending"),"⬜ Pending")</f>
        <v>⬜ Pending</v>
      </c>
      <c r="O117" s="269"/>
      <c r="P117" s="76" t="str">
        <f aca="false">IF(O117&lt;&gt;"",O117,N117)</f>
        <v>⬜ Pending</v>
      </c>
      <c r="Q117" s="270" t="s">
        <v>807</v>
      </c>
      <c r="R117" s="271" t="str">
        <f aca="false">IF(COUNTIF('📆 Daily Schedule'!$M$5:$M$427,D117)&gt;0,"⚡ In Swap","✅ Available")</f>
        <v>✅ Available</v>
      </c>
    </row>
    <row r="118" customFormat="false" ht="15.75" hidden="false" customHeight="true" outlineLevel="0" collapsed="false">
      <c r="A118" s="183" t="n">
        <v>115</v>
      </c>
      <c r="B118" s="183" t="s">
        <v>802</v>
      </c>
      <c r="C118" s="295" t="n">
        <v>115</v>
      </c>
      <c r="D118" s="296" t="s">
        <v>844</v>
      </c>
      <c r="E118" s="196" t="s">
        <v>351</v>
      </c>
      <c r="F118" s="39" t="n">
        <v>0.5</v>
      </c>
      <c r="G118" s="40" t="n">
        <v>0.75</v>
      </c>
      <c r="H118" s="41" t="n">
        <v>1</v>
      </c>
      <c r="I118" s="297" t="n">
        <v>12</v>
      </c>
      <c r="J118" s="274" t="s">
        <v>623</v>
      </c>
      <c r="K118" s="298" t="n">
        <v>4</v>
      </c>
      <c r="L118" s="298" t="n">
        <v>4</v>
      </c>
      <c r="M118" s="188" t="s">
        <v>618</v>
      </c>
      <c r="N118" s="295" t="str">
        <f aca="false">IFERROR(IF(COUNTIF('📝 Daily Log'!$E$3:$E$600,D118)&gt;0,IF(COUNTIFS('📝 Daily Log'!$E$3:$E$600,D118,'📝 Daily Log'!$G$3:$G$600,"✅ Done")&gt;0,"✅ Done",IF(COUNTIFS('📝 Daily Log'!$E$3:$E$600,D118,'📝 Daily Log'!$G$3:$G$600,"🔄 Partial")&gt;0,"🔄 Partial","⬜ Pending")),"⬜ Pending"),"⬜ Pending")</f>
        <v>⬜ Pending</v>
      </c>
      <c r="O118" s="269"/>
      <c r="P118" s="295" t="str">
        <f aca="false">IF(O118&lt;&gt;"",O118,N118)</f>
        <v>⬜ Pending</v>
      </c>
      <c r="Q118" s="270" t="s">
        <v>845</v>
      </c>
      <c r="R118" s="271" t="str">
        <f aca="false">IF(COUNTIF('📆 Daily Schedule'!$M$5:$M$427,D118)&gt;0,"⚡ In Swap","✅ Available")</f>
        <v>✅ Available</v>
      </c>
    </row>
    <row r="119" customFormat="false" ht="15.75" hidden="false" customHeight="true" outlineLevel="0" collapsed="false">
      <c r="A119" s="183" t="n">
        <v>116</v>
      </c>
      <c r="B119" s="183" t="s">
        <v>802</v>
      </c>
      <c r="C119" s="76" t="n">
        <v>116</v>
      </c>
      <c r="D119" s="37" t="s">
        <v>846</v>
      </c>
      <c r="E119" s="196" t="s">
        <v>351</v>
      </c>
      <c r="F119" s="39" t="n">
        <v>0.5</v>
      </c>
      <c r="G119" s="40" t="n">
        <v>0.75</v>
      </c>
      <c r="H119" s="41" t="n">
        <v>1</v>
      </c>
      <c r="I119" s="272" t="n">
        <v>11</v>
      </c>
      <c r="J119" s="36" t="s">
        <v>617</v>
      </c>
      <c r="K119" s="273" t="n">
        <v>4</v>
      </c>
      <c r="L119" s="273" t="n">
        <v>3</v>
      </c>
      <c r="M119" s="182" t="s">
        <v>636</v>
      </c>
      <c r="N119" s="76" t="str">
        <f aca="false">IFERROR(IF(COUNTIF('📝 Daily Log'!$E$3:$E$600,D119)&gt;0,IF(COUNTIFS('📝 Daily Log'!$E$3:$E$600,D119,'📝 Daily Log'!$G$3:$G$600,"✅ Done")&gt;0,"✅ Done",IF(COUNTIFS('📝 Daily Log'!$E$3:$E$600,D119,'📝 Daily Log'!$G$3:$G$600,"🔄 Partial")&gt;0,"🔄 Partial","⬜ Pending")),"⬜ Pending"),"⬜ Pending")</f>
        <v>⬜ Pending</v>
      </c>
      <c r="O119" s="269"/>
      <c r="P119" s="76" t="str">
        <f aca="false">IF(O119&lt;&gt;"",O119,N119)</f>
        <v>⬜ Pending</v>
      </c>
      <c r="Q119" s="270" t="s">
        <v>847</v>
      </c>
      <c r="R119" s="271" t="str">
        <f aca="false">IF(COUNTIF('📆 Daily Schedule'!$M$5:$M$427,D119)&gt;0,"⚡ In Swap","✅ Available")</f>
        <v>✅ Available</v>
      </c>
    </row>
    <row r="120" customFormat="false" ht="15.75" hidden="false" customHeight="true" outlineLevel="0" collapsed="false">
      <c r="A120" s="183" t="n">
        <v>117</v>
      </c>
      <c r="B120" s="183" t="s">
        <v>802</v>
      </c>
      <c r="C120" s="295" t="n">
        <v>117</v>
      </c>
      <c r="D120" s="296" t="s">
        <v>848</v>
      </c>
      <c r="E120" s="196" t="s">
        <v>351</v>
      </c>
      <c r="F120" s="39" t="n">
        <v>0.3</v>
      </c>
      <c r="G120" s="40" t="n">
        <v>0.5</v>
      </c>
      <c r="H120" s="41" t="n">
        <v>0.75</v>
      </c>
      <c r="I120" s="297" t="n">
        <v>13</v>
      </c>
      <c r="J120" s="274" t="s">
        <v>623</v>
      </c>
      <c r="K120" s="298" t="n">
        <v>5</v>
      </c>
      <c r="L120" s="298" t="n">
        <v>3</v>
      </c>
      <c r="M120" s="188" t="s">
        <v>618</v>
      </c>
      <c r="N120" s="295" t="str">
        <f aca="false">IFERROR(IF(COUNTIF('📝 Daily Log'!$E$3:$E$600,D120)&gt;0,IF(COUNTIFS('📝 Daily Log'!$E$3:$E$600,D120,'📝 Daily Log'!$G$3:$G$600,"✅ Done")&gt;0,"✅ Done",IF(COUNTIFS('📝 Daily Log'!$E$3:$E$600,D120,'📝 Daily Log'!$G$3:$G$600,"🔄 Partial")&gt;0,"🔄 Partial","⬜ Pending")),"⬜ Pending"),"⬜ Pending")</f>
        <v>⬜ Pending</v>
      </c>
      <c r="O120" s="269"/>
      <c r="P120" s="295" t="str">
        <f aca="false">IF(O120&lt;&gt;"",O120,N120)</f>
        <v>⬜ Pending</v>
      </c>
      <c r="Q120" s="270" t="s">
        <v>849</v>
      </c>
      <c r="R120" s="271" t="str">
        <f aca="false">IF(COUNTIF('📆 Daily Schedule'!$M$5:$M$427,D120)&gt;0,"⚡ In Swap","✅ Available")</f>
        <v>✅ Available</v>
      </c>
    </row>
    <row r="121" customFormat="false" ht="15.75" hidden="false" customHeight="true" outlineLevel="0" collapsed="false">
      <c r="A121" s="183" t="n">
        <v>118</v>
      </c>
      <c r="B121" s="183" t="s">
        <v>802</v>
      </c>
      <c r="C121" s="76" t="n">
        <v>118</v>
      </c>
      <c r="D121" s="37" t="s">
        <v>850</v>
      </c>
      <c r="E121" s="196" t="s">
        <v>351</v>
      </c>
      <c r="F121" s="39" t="n">
        <v>1</v>
      </c>
      <c r="G121" s="40" t="n">
        <v>2</v>
      </c>
      <c r="H121" s="41" t="n">
        <v>3</v>
      </c>
      <c r="I121" s="272" t="n">
        <v>15</v>
      </c>
      <c r="J121" s="274" t="s">
        <v>623</v>
      </c>
      <c r="K121" s="273" t="n">
        <v>5</v>
      </c>
      <c r="L121" s="273" t="n">
        <v>5</v>
      </c>
      <c r="M121" s="188" t="s">
        <v>618</v>
      </c>
      <c r="N121" s="76" t="str">
        <f aca="false">IFERROR(IF(COUNTIF('📝 Daily Log'!$E$3:$E$600,D121)&gt;0,IF(COUNTIFS('📝 Daily Log'!$E$3:$E$600,D121,'📝 Daily Log'!$G$3:$G$600,"✅ Done")&gt;0,"✅ Done",IF(COUNTIFS('📝 Daily Log'!$E$3:$E$600,D121,'📝 Daily Log'!$G$3:$G$600,"🔄 Partial")&gt;0,"🔄 Partial","⬜ Pending")),"⬜ Pending"),"⬜ Pending")</f>
        <v>⬜ Pending</v>
      </c>
      <c r="O121" s="269"/>
      <c r="P121" s="76" t="str">
        <f aca="false">IF(O121&lt;&gt;"",O121,N121)</f>
        <v>⬜ Pending</v>
      </c>
      <c r="Q121" s="270" t="s">
        <v>851</v>
      </c>
      <c r="R121" s="271" t="str">
        <f aca="false">IF(COUNTIF('📆 Daily Schedule'!$M$5:$M$427,D121)&gt;0,"⚡ In Swap","✅ Available")</f>
        <v>✅ Available</v>
      </c>
    </row>
    <row r="122" customFormat="false" ht="15.75" hidden="false" customHeight="true" outlineLevel="0" collapsed="false">
      <c r="A122" s="183" t="n">
        <v>119</v>
      </c>
      <c r="B122" s="183" t="s">
        <v>802</v>
      </c>
      <c r="C122" s="295" t="n">
        <v>119</v>
      </c>
      <c r="D122" s="296" t="s">
        <v>852</v>
      </c>
      <c r="E122" s="196" t="s">
        <v>351</v>
      </c>
      <c r="F122" s="39" t="n">
        <v>1</v>
      </c>
      <c r="G122" s="40" t="n">
        <v>2</v>
      </c>
      <c r="H122" s="41" t="n">
        <v>3</v>
      </c>
      <c r="I122" s="297" t="n">
        <v>10</v>
      </c>
      <c r="J122" s="36" t="s">
        <v>617</v>
      </c>
      <c r="K122" s="298" t="n">
        <v>4</v>
      </c>
      <c r="L122" s="298" t="n">
        <v>2</v>
      </c>
      <c r="M122" s="188" t="s">
        <v>618</v>
      </c>
      <c r="N122" s="295" t="str">
        <f aca="false">IFERROR(IF(COUNTIF('📝 Daily Log'!$E$3:$E$600,D122)&gt;0,IF(COUNTIFS('📝 Daily Log'!$E$3:$E$600,D122,'📝 Daily Log'!$G$3:$G$600,"✅ Done")&gt;0,"✅ Done",IF(COUNTIFS('📝 Daily Log'!$E$3:$E$600,D122,'📝 Daily Log'!$G$3:$G$600,"🔄 Partial")&gt;0,"🔄 Partial","⬜ Pending")),"⬜ Pending"),"⬜ Pending")</f>
        <v>⬜ Pending</v>
      </c>
      <c r="O122" s="269"/>
      <c r="P122" s="295" t="str">
        <f aca="false">IF(O122&lt;&gt;"",O122,N122)</f>
        <v>⬜ Pending</v>
      </c>
      <c r="Q122" s="270" t="s">
        <v>853</v>
      </c>
      <c r="R122" s="271" t="str">
        <f aca="false">IF(COUNTIF('📆 Daily Schedule'!$M$5:$M$427,D122)&gt;0,"⚡ In Swap","✅ Available")</f>
        <v>✅ Available</v>
      </c>
    </row>
    <row r="123" customFormat="false" ht="15.75" hidden="false" customHeight="true" outlineLevel="0" collapsed="false">
      <c r="A123" s="274" t="n">
        <v>120</v>
      </c>
      <c r="B123" s="274" t="s">
        <v>854</v>
      </c>
      <c r="C123" s="76" t="n">
        <v>120</v>
      </c>
      <c r="D123" s="37" t="s">
        <v>855</v>
      </c>
      <c r="E123" s="198" t="s">
        <v>368</v>
      </c>
      <c r="F123" s="39" t="n">
        <v>0.5</v>
      </c>
      <c r="G123" s="40" t="n">
        <v>1</v>
      </c>
      <c r="H123" s="41" t="n">
        <v>1.5</v>
      </c>
      <c r="I123" s="272" t="n">
        <v>14</v>
      </c>
      <c r="J123" s="274" t="s">
        <v>623</v>
      </c>
      <c r="K123" s="273" t="n">
        <v>5</v>
      </c>
      <c r="L123" s="273" t="n">
        <v>4</v>
      </c>
      <c r="M123" s="182" t="s">
        <v>792</v>
      </c>
      <c r="N123" s="76" t="str">
        <f aca="false">IFERROR(IF(COUNTIF('📝 Daily Log'!$E$3:$E$600,D123)&gt;0,IF(COUNTIFS('📝 Daily Log'!$E$3:$E$600,D123,'📝 Daily Log'!$G$3:$G$600,"✅ Done")&gt;0,"✅ Done",IF(COUNTIFS('📝 Daily Log'!$E$3:$E$600,D123,'📝 Daily Log'!$G$3:$G$600,"🔄 Partial")&gt;0,"🔄 Partial","⬜ Pending")),"⬜ Pending"),"⬜ Pending")</f>
        <v>⬜ Pending</v>
      </c>
      <c r="O123" s="269"/>
      <c r="P123" s="76" t="str">
        <f aca="false">IF(O123&lt;&gt;"",O123,N123)</f>
        <v>⬜ Pending</v>
      </c>
      <c r="Q123" s="270" t="s">
        <v>856</v>
      </c>
      <c r="R123" s="271" t="str">
        <f aca="false">IF(COUNTIF('📆 Daily Schedule'!$M$5:$M$427,D123)&gt;0,"⚡ In Swap","✅ Available")</f>
        <v>✅ Available</v>
      </c>
    </row>
    <row r="124" customFormat="false" ht="15.75" hidden="false" customHeight="true" outlineLevel="0" collapsed="false">
      <c r="A124" s="274" t="n">
        <v>121</v>
      </c>
      <c r="B124" s="274" t="s">
        <v>854</v>
      </c>
      <c r="C124" s="299" t="n">
        <v>121</v>
      </c>
      <c r="D124" s="300" t="s">
        <v>857</v>
      </c>
      <c r="E124" s="198" t="s">
        <v>368</v>
      </c>
      <c r="F124" s="39" t="n">
        <v>0.5</v>
      </c>
      <c r="G124" s="40" t="n">
        <v>1</v>
      </c>
      <c r="H124" s="41" t="n">
        <v>1.5</v>
      </c>
      <c r="I124" s="301" t="n">
        <v>14</v>
      </c>
      <c r="J124" s="274" t="s">
        <v>623</v>
      </c>
      <c r="K124" s="302" t="n">
        <v>5</v>
      </c>
      <c r="L124" s="302" t="n">
        <v>4</v>
      </c>
      <c r="M124" s="188" t="s">
        <v>618</v>
      </c>
      <c r="N124" s="299" t="str">
        <f aca="false">IFERROR(IF(COUNTIF('📝 Daily Log'!$E$3:$E$600,D124)&gt;0,IF(COUNTIFS('📝 Daily Log'!$E$3:$E$600,D124,'📝 Daily Log'!$G$3:$G$600,"✅ Done")&gt;0,"✅ Done",IF(COUNTIFS('📝 Daily Log'!$E$3:$E$600,D124,'📝 Daily Log'!$G$3:$G$600,"🔄 Partial")&gt;0,"🔄 Partial","⬜ Pending")),"⬜ Pending"),"⬜ Pending")</f>
        <v>⬜ Pending</v>
      </c>
      <c r="O124" s="269"/>
      <c r="P124" s="299" t="str">
        <f aca="false">IF(O124&lt;&gt;"",O124,N124)</f>
        <v>⬜ Pending</v>
      </c>
      <c r="Q124" s="270" t="s">
        <v>858</v>
      </c>
      <c r="R124" s="271" t="str">
        <f aca="false">IF(COUNTIF('📆 Daily Schedule'!$M$5:$M$427,D124)&gt;0,"⚡ In Swap","✅ Available")</f>
        <v>✅ Available</v>
      </c>
    </row>
    <row r="125" customFormat="false" ht="15.75" hidden="false" customHeight="true" outlineLevel="0" collapsed="false">
      <c r="A125" s="274" t="n">
        <v>122</v>
      </c>
      <c r="B125" s="274" t="s">
        <v>854</v>
      </c>
      <c r="C125" s="76" t="n">
        <v>122</v>
      </c>
      <c r="D125" s="37" t="s">
        <v>859</v>
      </c>
      <c r="E125" s="198" t="s">
        <v>368</v>
      </c>
      <c r="F125" s="39" t="n">
        <v>0.5</v>
      </c>
      <c r="G125" s="40" t="n">
        <v>0.75</v>
      </c>
      <c r="H125" s="41" t="n">
        <v>1</v>
      </c>
      <c r="I125" s="272" t="n">
        <v>11</v>
      </c>
      <c r="J125" s="36" t="s">
        <v>617</v>
      </c>
      <c r="K125" s="273" t="n">
        <v>4</v>
      </c>
      <c r="L125" s="273" t="n">
        <v>3</v>
      </c>
      <c r="M125" s="182" t="s">
        <v>792</v>
      </c>
      <c r="N125" s="76" t="str">
        <f aca="false">IFERROR(IF(COUNTIF('📝 Daily Log'!$E$3:$E$600,D125)&gt;0,IF(COUNTIFS('📝 Daily Log'!$E$3:$E$600,D125,'📝 Daily Log'!$G$3:$G$600,"✅ Done")&gt;0,"✅ Done",IF(COUNTIFS('📝 Daily Log'!$E$3:$E$600,D125,'📝 Daily Log'!$G$3:$G$600,"🔄 Partial")&gt;0,"🔄 Partial","⬜ Pending")),"⬜ Pending"),"⬜ Pending")</f>
        <v>⬜ Pending</v>
      </c>
      <c r="O125" s="269"/>
      <c r="P125" s="76" t="str">
        <f aca="false">IF(O125&lt;&gt;"",O125,N125)</f>
        <v>⬜ Pending</v>
      </c>
      <c r="Q125" s="270" t="s">
        <v>860</v>
      </c>
      <c r="R125" s="271" t="str">
        <f aca="false">IF(COUNTIF('📆 Daily Schedule'!$M$5:$M$427,D125)&gt;0,"⚡ In Swap","✅ Available")</f>
        <v>✅ Available</v>
      </c>
    </row>
    <row r="126" customFormat="false" ht="15.75" hidden="false" customHeight="true" outlineLevel="0" collapsed="false">
      <c r="A126" s="274" t="n">
        <v>123</v>
      </c>
      <c r="B126" s="274" t="s">
        <v>854</v>
      </c>
      <c r="C126" s="299" t="n">
        <v>123</v>
      </c>
      <c r="D126" s="300" t="s">
        <v>861</v>
      </c>
      <c r="E126" s="198" t="s">
        <v>368</v>
      </c>
      <c r="F126" s="39" t="n">
        <v>0.5</v>
      </c>
      <c r="G126" s="40" t="n">
        <v>1</v>
      </c>
      <c r="H126" s="41" t="n">
        <v>1.5</v>
      </c>
      <c r="I126" s="301" t="n">
        <v>14</v>
      </c>
      <c r="J126" s="274" t="s">
        <v>623</v>
      </c>
      <c r="K126" s="302" t="n">
        <v>5</v>
      </c>
      <c r="L126" s="302" t="n">
        <v>4</v>
      </c>
      <c r="M126" s="188" t="s">
        <v>618</v>
      </c>
      <c r="N126" s="299" t="str">
        <f aca="false">IFERROR(IF(COUNTIF('📝 Daily Log'!$E$3:$E$600,D126)&gt;0,IF(COUNTIFS('📝 Daily Log'!$E$3:$E$600,D126,'📝 Daily Log'!$G$3:$G$600,"✅ Done")&gt;0,"✅ Done",IF(COUNTIFS('📝 Daily Log'!$E$3:$E$600,D126,'📝 Daily Log'!$G$3:$G$600,"🔄 Partial")&gt;0,"🔄 Partial","⬜ Pending")),"⬜ Pending"),"⬜ Pending")</f>
        <v>⬜ Pending</v>
      </c>
      <c r="O126" s="269"/>
      <c r="P126" s="299" t="str">
        <f aca="false">IF(O126&lt;&gt;"",O126,N126)</f>
        <v>⬜ Pending</v>
      </c>
      <c r="Q126" s="270" t="s">
        <v>862</v>
      </c>
      <c r="R126" s="271" t="str">
        <f aca="false">IF(COUNTIF('📆 Daily Schedule'!$M$5:$M$427,D126)&gt;0,"⚡ In Swap","✅ Available")</f>
        <v>✅ Available</v>
      </c>
    </row>
    <row r="127" customFormat="false" ht="15.75" hidden="false" customHeight="true" outlineLevel="0" collapsed="false">
      <c r="A127" s="274" t="n">
        <v>124</v>
      </c>
      <c r="B127" s="274" t="s">
        <v>854</v>
      </c>
      <c r="C127" s="76" t="n">
        <v>124</v>
      </c>
      <c r="D127" s="37" t="s">
        <v>863</v>
      </c>
      <c r="E127" s="198" t="s">
        <v>368</v>
      </c>
      <c r="F127" s="39" t="n">
        <v>0.3</v>
      </c>
      <c r="G127" s="40" t="n">
        <v>0.5</v>
      </c>
      <c r="H127" s="41" t="n">
        <v>0.75</v>
      </c>
      <c r="I127" s="272" t="n">
        <v>15</v>
      </c>
      <c r="J127" s="274" t="s">
        <v>623</v>
      </c>
      <c r="K127" s="273" t="n">
        <v>5</v>
      </c>
      <c r="L127" s="273" t="n">
        <v>5</v>
      </c>
      <c r="M127" s="188" t="s">
        <v>618</v>
      </c>
      <c r="N127" s="76" t="str">
        <f aca="false">IFERROR(IF(COUNTIF('📝 Daily Log'!$E$3:$E$600,D127)&gt;0,IF(COUNTIFS('📝 Daily Log'!$E$3:$E$600,D127,'📝 Daily Log'!$G$3:$G$600,"✅ Done")&gt;0,"✅ Done",IF(COUNTIFS('📝 Daily Log'!$E$3:$E$600,D127,'📝 Daily Log'!$G$3:$G$600,"🔄 Partial")&gt;0,"🔄 Partial","⬜ Pending")),"⬜ Pending"),"⬜ Pending")</f>
        <v>⬜ Pending</v>
      </c>
      <c r="O127" s="269"/>
      <c r="P127" s="76" t="str">
        <f aca="false">IF(O127&lt;&gt;"",O127,N127)</f>
        <v>⬜ Pending</v>
      </c>
      <c r="Q127" s="270" t="s">
        <v>864</v>
      </c>
      <c r="R127" s="271" t="str">
        <f aca="false">IF(COUNTIF('📆 Daily Schedule'!$M$5:$M$427,D127)&gt;0,"⚡ In Swap","✅ Available")</f>
        <v>✅ Available</v>
      </c>
    </row>
    <row r="128" customFormat="false" ht="15.75" hidden="false" customHeight="true" outlineLevel="0" collapsed="false">
      <c r="A128" s="274" t="n">
        <v>125</v>
      </c>
      <c r="B128" s="274" t="s">
        <v>854</v>
      </c>
      <c r="C128" s="299" t="n">
        <v>125</v>
      </c>
      <c r="D128" s="300" t="s">
        <v>865</v>
      </c>
      <c r="E128" s="198" t="s">
        <v>368</v>
      </c>
      <c r="F128" s="39" t="n">
        <v>1</v>
      </c>
      <c r="G128" s="40" t="n">
        <v>1.5</v>
      </c>
      <c r="H128" s="41" t="n">
        <v>2</v>
      </c>
      <c r="I128" s="301" t="n">
        <v>12</v>
      </c>
      <c r="J128" s="274" t="s">
        <v>623</v>
      </c>
      <c r="K128" s="302" t="n">
        <v>4</v>
      </c>
      <c r="L128" s="302" t="n">
        <v>4</v>
      </c>
      <c r="M128" s="182" t="s">
        <v>636</v>
      </c>
      <c r="N128" s="299" t="str">
        <f aca="false">IFERROR(IF(COUNTIF('📝 Daily Log'!$E$3:$E$600,D128)&gt;0,IF(COUNTIFS('📝 Daily Log'!$E$3:$E$600,D128,'📝 Daily Log'!$G$3:$G$600,"✅ Done")&gt;0,"✅ Done",IF(COUNTIFS('📝 Daily Log'!$E$3:$E$600,D128,'📝 Daily Log'!$G$3:$G$600,"🔄 Partial")&gt;0,"🔄 Partial","⬜ Pending")),"⬜ Pending"),"⬜ Pending")</f>
        <v>⬜ Pending</v>
      </c>
      <c r="O128" s="269"/>
      <c r="P128" s="299" t="str">
        <f aca="false">IF(O128&lt;&gt;"",O128,N128)</f>
        <v>⬜ Pending</v>
      </c>
      <c r="Q128" s="270" t="s">
        <v>866</v>
      </c>
      <c r="R128" s="271" t="str">
        <f aca="false">IF(COUNTIF('📆 Daily Schedule'!$M$5:$M$427,D128)&gt;0,"⚡ In Swap","✅ Available")</f>
        <v>✅ Available</v>
      </c>
    </row>
    <row r="129" customFormat="false" ht="15.75" hidden="false" customHeight="true" outlineLevel="0" collapsed="false">
      <c r="A129" s="274" t="n">
        <v>126</v>
      </c>
      <c r="B129" s="274" t="s">
        <v>854</v>
      </c>
      <c r="C129" s="76" t="n">
        <v>126</v>
      </c>
      <c r="D129" s="37" t="s">
        <v>867</v>
      </c>
      <c r="E129" s="198" t="s">
        <v>368</v>
      </c>
      <c r="F129" s="39" t="n">
        <v>2</v>
      </c>
      <c r="G129" s="40" t="n">
        <v>4</v>
      </c>
      <c r="H129" s="41" t="n">
        <v>6</v>
      </c>
      <c r="I129" s="272" t="n">
        <v>14</v>
      </c>
      <c r="J129" s="274" t="s">
        <v>623</v>
      </c>
      <c r="K129" s="273" t="n">
        <v>5</v>
      </c>
      <c r="L129" s="273" t="n">
        <v>4</v>
      </c>
      <c r="M129" s="182" t="s">
        <v>636</v>
      </c>
      <c r="N129" s="76" t="str">
        <f aca="false">IFERROR(IF(COUNTIF('📝 Daily Log'!$E$3:$E$600,D129)&gt;0,IF(COUNTIFS('📝 Daily Log'!$E$3:$E$600,D129,'📝 Daily Log'!$G$3:$G$600,"✅ Done")&gt;0,"✅ Done",IF(COUNTIFS('📝 Daily Log'!$E$3:$E$600,D129,'📝 Daily Log'!$G$3:$G$600,"🔄 Partial")&gt;0,"🔄 Partial","⬜ Pending")),"⬜ Pending"),"⬜ Pending")</f>
        <v>⬜ Pending</v>
      </c>
      <c r="O129" s="269"/>
      <c r="P129" s="76" t="str">
        <f aca="false">IF(O129&lt;&gt;"",O129,N129)</f>
        <v>⬜ Pending</v>
      </c>
      <c r="Q129" s="270" t="s">
        <v>868</v>
      </c>
      <c r="R129" s="271" t="str">
        <f aca="false">IF(COUNTIF('📆 Daily Schedule'!$M$5:$M$427,D129)&gt;0,"⚡ In Swap","✅ Available")</f>
        <v>✅ Available</v>
      </c>
    </row>
    <row r="130" customFormat="false" ht="15.75" hidden="false" customHeight="true" outlineLevel="0" collapsed="false">
      <c r="A130" s="274" t="n">
        <v>127</v>
      </c>
      <c r="B130" s="274" t="s">
        <v>854</v>
      </c>
      <c r="C130" s="299" t="n">
        <v>127</v>
      </c>
      <c r="D130" s="300" t="s">
        <v>869</v>
      </c>
      <c r="E130" s="198" t="s">
        <v>368</v>
      </c>
      <c r="F130" s="39" t="n">
        <v>0.5</v>
      </c>
      <c r="G130" s="40" t="n">
        <v>1</v>
      </c>
      <c r="H130" s="41" t="n">
        <v>1.5</v>
      </c>
      <c r="I130" s="301" t="n">
        <v>12</v>
      </c>
      <c r="J130" s="274" t="s">
        <v>623</v>
      </c>
      <c r="K130" s="302" t="n">
        <v>4</v>
      </c>
      <c r="L130" s="302" t="n">
        <v>4</v>
      </c>
      <c r="M130" s="182" t="s">
        <v>792</v>
      </c>
      <c r="N130" s="299" t="str">
        <f aca="false">IFERROR(IF(COUNTIF('📝 Daily Log'!$E$3:$E$600,D130)&gt;0,IF(COUNTIFS('📝 Daily Log'!$E$3:$E$600,D130,'📝 Daily Log'!$G$3:$G$600,"✅ Done")&gt;0,"✅ Done",IF(COUNTIFS('📝 Daily Log'!$E$3:$E$600,D130,'📝 Daily Log'!$G$3:$G$600,"🔄 Partial")&gt;0,"🔄 Partial","⬜ Pending")),"⬜ Pending"),"⬜ Pending")</f>
        <v>⬜ Pending</v>
      </c>
      <c r="O130" s="269"/>
      <c r="P130" s="299" t="str">
        <f aca="false">IF(O130&lt;&gt;"",O130,N130)</f>
        <v>⬜ Pending</v>
      </c>
      <c r="Q130" s="270" t="s">
        <v>870</v>
      </c>
      <c r="R130" s="271" t="str">
        <f aca="false">IF(COUNTIF('📆 Daily Schedule'!$M$5:$M$427,D130)&gt;0,"⚡ In Swap","✅ Available")</f>
        <v>✅ Available</v>
      </c>
    </row>
    <row r="131" customFormat="false" ht="15.75" hidden="false" customHeight="true" outlineLevel="0" collapsed="false">
      <c r="A131" s="274" t="n">
        <v>128</v>
      </c>
      <c r="B131" s="274" t="s">
        <v>854</v>
      </c>
      <c r="C131" s="76" t="n">
        <v>128</v>
      </c>
      <c r="D131" s="37" t="s">
        <v>871</v>
      </c>
      <c r="E131" s="198" t="s">
        <v>368</v>
      </c>
      <c r="F131" s="39" t="n">
        <v>0.5</v>
      </c>
      <c r="G131" s="40" t="n">
        <v>1</v>
      </c>
      <c r="H131" s="41" t="n">
        <v>1.5</v>
      </c>
      <c r="I131" s="272" t="n">
        <v>12</v>
      </c>
      <c r="J131" s="274" t="s">
        <v>623</v>
      </c>
      <c r="K131" s="273" t="n">
        <v>4</v>
      </c>
      <c r="L131" s="273" t="n">
        <v>4</v>
      </c>
      <c r="M131" s="182" t="s">
        <v>636</v>
      </c>
      <c r="N131" s="76" t="str">
        <f aca="false">IFERROR(IF(COUNTIF('📝 Daily Log'!$E$3:$E$600,D131)&gt;0,IF(COUNTIFS('📝 Daily Log'!$E$3:$E$600,D131,'📝 Daily Log'!$G$3:$G$600,"✅ Done")&gt;0,"✅ Done",IF(COUNTIFS('📝 Daily Log'!$E$3:$E$600,D131,'📝 Daily Log'!$G$3:$G$600,"🔄 Partial")&gt;0,"🔄 Partial","⬜ Pending")),"⬜ Pending"),"⬜ Pending")</f>
        <v>⬜ Pending</v>
      </c>
      <c r="O131" s="269"/>
      <c r="P131" s="76" t="str">
        <f aca="false">IF(O131&lt;&gt;"",O131,N131)</f>
        <v>⬜ Pending</v>
      </c>
      <c r="Q131" s="270" t="s">
        <v>872</v>
      </c>
      <c r="R131" s="271" t="str">
        <f aca="false">IF(COUNTIF('📆 Daily Schedule'!$M$5:$M$427,D131)&gt;0,"⚡ In Swap","✅ Available")</f>
        <v>✅ Available</v>
      </c>
    </row>
    <row r="132" customFormat="false" ht="15.75" hidden="false" customHeight="true" outlineLevel="0" collapsed="false">
      <c r="A132" s="274" t="n">
        <v>129</v>
      </c>
      <c r="B132" s="274" t="s">
        <v>854</v>
      </c>
      <c r="C132" s="299" t="n">
        <v>129</v>
      </c>
      <c r="D132" s="300" t="s">
        <v>873</v>
      </c>
      <c r="E132" s="198" t="s">
        <v>368</v>
      </c>
      <c r="F132" s="39" t="n">
        <v>0.5</v>
      </c>
      <c r="G132" s="40" t="n">
        <v>0.75</v>
      </c>
      <c r="H132" s="41" t="n">
        <v>1</v>
      </c>
      <c r="I132" s="301" t="n">
        <v>12</v>
      </c>
      <c r="J132" s="274" t="s">
        <v>623</v>
      </c>
      <c r="K132" s="302" t="n">
        <v>4</v>
      </c>
      <c r="L132" s="302" t="n">
        <v>4</v>
      </c>
      <c r="M132" s="182" t="s">
        <v>636</v>
      </c>
      <c r="N132" s="299" t="str">
        <f aca="false">IFERROR(IF(COUNTIF('📝 Daily Log'!$E$3:$E$600,D132)&gt;0,IF(COUNTIFS('📝 Daily Log'!$E$3:$E$600,D132,'📝 Daily Log'!$G$3:$G$600,"✅ Done")&gt;0,"✅ Done",IF(COUNTIFS('📝 Daily Log'!$E$3:$E$600,D132,'📝 Daily Log'!$G$3:$G$600,"🔄 Partial")&gt;0,"🔄 Partial","⬜ Pending")),"⬜ Pending"),"⬜ Pending")</f>
        <v>⬜ Pending</v>
      </c>
      <c r="O132" s="269"/>
      <c r="P132" s="299" t="str">
        <f aca="false">IF(O132&lt;&gt;"",O132,N132)</f>
        <v>⬜ Pending</v>
      </c>
      <c r="Q132" s="270" t="s">
        <v>874</v>
      </c>
      <c r="R132" s="271" t="str">
        <f aca="false">IF(COUNTIF('📆 Daily Schedule'!$M$5:$M$427,D132)&gt;0,"⚡ In Swap","✅ Available")</f>
        <v>✅ Available</v>
      </c>
    </row>
    <row r="133" customFormat="false" ht="15.75" hidden="false" customHeight="true" outlineLevel="0" collapsed="false">
      <c r="A133" s="274" t="n">
        <v>130</v>
      </c>
      <c r="B133" s="274" t="s">
        <v>854</v>
      </c>
      <c r="C133" s="76" t="n">
        <v>130</v>
      </c>
      <c r="D133" s="37" t="s">
        <v>875</v>
      </c>
      <c r="E133" s="198" t="s">
        <v>368</v>
      </c>
      <c r="F133" s="39" t="n">
        <v>0.5</v>
      </c>
      <c r="G133" s="40" t="n">
        <v>1</v>
      </c>
      <c r="H133" s="41" t="n">
        <v>1.5</v>
      </c>
      <c r="I133" s="272" t="n">
        <v>13</v>
      </c>
      <c r="J133" s="274" t="s">
        <v>623</v>
      </c>
      <c r="K133" s="273" t="n">
        <v>5</v>
      </c>
      <c r="L133" s="273" t="n">
        <v>3</v>
      </c>
      <c r="M133" s="188" t="s">
        <v>618</v>
      </c>
      <c r="N133" s="76" t="str">
        <f aca="false">IFERROR(IF(COUNTIF('📝 Daily Log'!$E$3:$E$600,D133)&gt;0,IF(COUNTIFS('📝 Daily Log'!$E$3:$E$600,D133,'📝 Daily Log'!$G$3:$G$600,"✅ Done")&gt;0,"✅ Done",IF(COUNTIFS('📝 Daily Log'!$E$3:$E$600,D133,'📝 Daily Log'!$G$3:$G$600,"🔄 Partial")&gt;0,"🔄 Partial","⬜ Pending")),"⬜ Pending"),"⬜ Pending")</f>
        <v>⬜ Pending</v>
      </c>
      <c r="O133" s="269"/>
      <c r="P133" s="76" t="str">
        <f aca="false">IF(O133&lt;&gt;"",O133,N133)</f>
        <v>⬜ Pending</v>
      </c>
      <c r="Q133" s="270" t="s">
        <v>876</v>
      </c>
      <c r="R133" s="271" t="str">
        <f aca="false">IF(COUNTIF('📆 Daily Schedule'!$M$5:$M$427,D133)&gt;0,"⚡ In Swap","✅ Available")</f>
        <v>✅ Available</v>
      </c>
    </row>
    <row r="134" customFormat="false" ht="15.75" hidden="false" customHeight="true" outlineLevel="0" collapsed="false">
      <c r="A134" s="274" t="n">
        <v>131</v>
      </c>
      <c r="B134" s="274" t="s">
        <v>854</v>
      </c>
      <c r="C134" s="299" t="n">
        <v>131</v>
      </c>
      <c r="D134" s="300" t="s">
        <v>877</v>
      </c>
      <c r="E134" s="198" t="s">
        <v>368</v>
      </c>
      <c r="F134" s="39" t="n">
        <v>0.3</v>
      </c>
      <c r="G134" s="40" t="n">
        <v>0.5</v>
      </c>
      <c r="H134" s="41" t="n">
        <v>0.75</v>
      </c>
      <c r="I134" s="301" t="n">
        <v>11</v>
      </c>
      <c r="J134" s="36" t="s">
        <v>617</v>
      </c>
      <c r="K134" s="302" t="n">
        <v>4</v>
      </c>
      <c r="L134" s="302" t="n">
        <v>3</v>
      </c>
      <c r="M134" s="188" t="s">
        <v>618</v>
      </c>
      <c r="N134" s="299" t="str">
        <f aca="false">IFERROR(IF(COUNTIF('📝 Daily Log'!$E$3:$E$600,D134)&gt;0,IF(COUNTIFS('📝 Daily Log'!$E$3:$E$600,D134,'📝 Daily Log'!$G$3:$G$600,"✅ Done")&gt;0,"✅ Done",IF(COUNTIFS('📝 Daily Log'!$E$3:$E$600,D134,'📝 Daily Log'!$G$3:$G$600,"🔄 Partial")&gt;0,"🔄 Partial","⬜ Pending")),"⬜ Pending"),"⬜ Pending")</f>
        <v>⬜ Pending</v>
      </c>
      <c r="O134" s="269"/>
      <c r="P134" s="299" t="str">
        <f aca="false">IF(O134&lt;&gt;"",O134,N134)</f>
        <v>⬜ Pending</v>
      </c>
      <c r="Q134" s="270" t="s">
        <v>878</v>
      </c>
      <c r="R134" s="271" t="str">
        <f aca="false">IF(COUNTIF('📆 Daily Schedule'!$M$5:$M$427,D134)&gt;0,"⚡ In Swap","✅ Available")</f>
        <v>✅ Available</v>
      </c>
    </row>
    <row r="135" customFormat="false" ht="15.75" hidden="false" customHeight="true" outlineLevel="0" collapsed="false">
      <c r="A135" s="274" t="n">
        <v>132</v>
      </c>
      <c r="B135" s="274" t="s">
        <v>854</v>
      </c>
      <c r="C135" s="76" t="n">
        <v>132</v>
      </c>
      <c r="D135" s="37" t="s">
        <v>879</v>
      </c>
      <c r="E135" s="198" t="s">
        <v>368</v>
      </c>
      <c r="F135" s="39" t="n">
        <v>1</v>
      </c>
      <c r="G135" s="40" t="n">
        <v>2</v>
      </c>
      <c r="H135" s="41" t="n">
        <v>3</v>
      </c>
      <c r="I135" s="272" t="n">
        <v>14</v>
      </c>
      <c r="J135" s="274" t="s">
        <v>623</v>
      </c>
      <c r="K135" s="273" t="n">
        <v>5</v>
      </c>
      <c r="L135" s="273" t="n">
        <v>4</v>
      </c>
      <c r="M135" s="188" t="s">
        <v>618</v>
      </c>
      <c r="N135" s="76" t="str">
        <f aca="false">IFERROR(IF(COUNTIF('📝 Daily Log'!$E$3:$E$600,D135)&gt;0,IF(COUNTIFS('📝 Daily Log'!$E$3:$E$600,D135,'📝 Daily Log'!$G$3:$G$600,"✅ Done")&gt;0,"✅ Done",IF(COUNTIFS('📝 Daily Log'!$E$3:$E$600,D135,'📝 Daily Log'!$G$3:$G$600,"🔄 Partial")&gt;0,"🔄 Partial","⬜ Pending")),"⬜ Pending"),"⬜ Pending")</f>
        <v>⬜ Pending</v>
      </c>
      <c r="O135" s="269"/>
      <c r="P135" s="76" t="str">
        <f aca="false">IF(O135&lt;&gt;"",O135,N135)</f>
        <v>⬜ Pending</v>
      </c>
      <c r="Q135" s="270" t="s">
        <v>880</v>
      </c>
      <c r="R135" s="271" t="str">
        <f aca="false">IF(COUNTIF('📆 Daily Schedule'!$M$5:$M$427,D135)&gt;0,"⚡ In Swap","✅ Available")</f>
        <v>✅ Available</v>
      </c>
    </row>
    <row r="136" customFormat="false" ht="15.75" hidden="false" customHeight="true" outlineLevel="0" collapsed="false">
      <c r="A136" s="274" t="n">
        <v>133</v>
      </c>
      <c r="B136" s="274" t="s">
        <v>854</v>
      </c>
      <c r="C136" s="299" t="n">
        <v>133</v>
      </c>
      <c r="D136" s="300" t="s">
        <v>881</v>
      </c>
      <c r="E136" s="198" t="s">
        <v>368</v>
      </c>
      <c r="F136" s="39" t="n">
        <v>1.5</v>
      </c>
      <c r="G136" s="40" t="n">
        <v>3</v>
      </c>
      <c r="H136" s="41" t="n">
        <v>4</v>
      </c>
      <c r="I136" s="301" t="n">
        <v>13</v>
      </c>
      <c r="J136" s="274" t="s">
        <v>623</v>
      </c>
      <c r="K136" s="302" t="n">
        <v>5</v>
      </c>
      <c r="L136" s="302" t="n">
        <v>3</v>
      </c>
      <c r="M136" s="188" t="s">
        <v>618</v>
      </c>
      <c r="N136" s="299" t="str">
        <f aca="false">IFERROR(IF(COUNTIF('📝 Daily Log'!$E$3:$E$600,D136)&gt;0,IF(COUNTIFS('📝 Daily Log'!$E$3:$E$600,D136,'📝 Daily Log'!$G$3:$G$600,"✅ Done")&gt;0,"✅ Done",IF(COUNTIFS('📝 Daily Log'!$E$3:$E$600,D136,'📝 Daily Log'!$G$3:$G$600,"🔄 Partial")&gt;0,"🔄 Partial","⬜ Pending")),"⬜ Pending"),"⬜ Pending")</f>
        <v>⬜ Pending</v>
      </c>
      <c r="O136" s="269"/>
      <c r="P136" s="299" t="str">
        <f aca="false">IF(O136&lt;&gt;"",O136,N136)</f>
        <v>⬜ Pending</v>
      </c>
      <c r="Q136" s="270" t="s">
        <v>882</v>
      </c>
      <c r="R136" s="271" t="str">
        <f aca="false">IF(COUNTIF('📆 Daily Schedule'!$M$5:$M$427,D136)&gt;0,"⚡ In Swap","✅ Available")</f>
        <v>✅ Available</v>
      </c>
    </row>
    <row r="137" customFormat="false" ht="15.75" hidden="false" customHeight="true" outlineLevel="0" collapsed="false">
      <c r="A137" s="172" t="n">
        <v>134</v>
      </c>
      <c r="B137" s="172" t="s">
        <v>883</v>
      </c>
      <c r="C137" s="76" t="n">
        <v>134</v>
      </c>
      <c r="D137" s="37" t="s">
        <v>884</v>
      </c>
      <c r="E137" s="200" t="s">
        <v>382</v>
      </c>
      <c r="F137" s="39" t="n">
        <v>0.5</v>
      </c>
      <c r="G137" s="40" t="n">
        <v>1</v>
      </c>
      <c r="H137" s="41" t="n">
        <v>1.5</v>
      </c>
      <c r="I137" s="272" t="n">
        <v>10</v>
      </c>
      <c r="J137" s="36" t="s">
        <v>617</v>
      </c>
      <c r="K137" s="273" t="n">
        <v>4</v>
      </c>
      <c r="L137" s="273" t="n">
        <v>2</v>
      </c>
      <c r="M137" s="182" t="s">
        <v>636</v>
      </c>
      <c r="N137" s="76" t="str">
        <f aca="false">IFERROR(IF(COUNTIF('📝 Daily Log'!$E$3:$E$600,D137)&gt;0,IF(COUNTIFS('📝 Daily Log'!$E$3:$E$600,D137,'📝 Daily Log'!$G$3:$G$600,"✅ Done")&gt;0,"✅ Done",IF(COUNTIFS('📝 Daily Log'!$E$3:$E$600,D137,'📝 Daily Log'!$G$3:$G$600,"🔄 Partial")&gt;0,"🔄 Partial","⬜ Pending")),"⬜ Pending"),"⬜ Pending")</f>
        <v>⬜ Pending</v>
      </c>
      <c r="O137" s="269"/>
      <c r="P137" s="76" t="str">
        <f aca="false">IF(O137&lt;&gt;"",O137,N137)</f>
        <v>⬜ Pending</v>
      </c>
      <c r="Q137" s="270" t="s">
        <v>885</v>
      </c>
      <c r="R137" s="271" t="str">
        <f aca="false">IF(COUNTIF('📆 Daily Schedule'!$M$5:$M$427,D137)&gt;0,"⚡ In Swap","✅ Available")</f>
        <v>✅ Available</v>
      </c>
    </row>
    <row r="138" customFormat="false" ht="15.75" hidden="false" customHeight="true" outlineLevel="0" collapsed="false">
      <c r="A138" s="172" t="n">
        <v>135</v>
      </c>
      <c r="B138" s="172" t="s">
        <v>883</v>
      </c>
      <c r="C138" s="303" t="n">
        <v>135</v>
      </c>
      <c r="D138" s="304" t="s">
        <v>886</v>
      </c>
      <c r="E138" s="200" t="s">
        <v>382</v>
      </c>
      <c r="F138" s="39" t="n">
        <v>0.5</v>
      </c>
      <c r="G138" s="40" t="n">
        <v>1</v>
      </c>
      <c r="H138" s="41" t="n">
        <v>1.5</v>
      </c>
      <c r="I138" s="305" t="n">
        <v>13</v>
      </c>
      <c r="J138" s="274" t="s">
        <v>623</v>
      </c>
      <c r="K138" s="306" t="n">
        <v>5</v>
      </c>
      <c r="L138" s="306" t="n">
        <v>3</v>
      </c>
      <c r="M138" s="182" t="s">
        <v>792</v>
      </c>
      <c r="N138" s="303" t="str">
        <f aca="false">IFERROR(IF(COUNTIF('📝 Daily Log'!$E$3:$E$600,D138)&gt;0,IF(COUNTIFS('📝 Daily Log'!$E$3:$E$600,D138,'📝 Daily Log'!$G$3:$G$600,"✅ Done")&gt;0,"✅ Done",IF(COUNTIFS('📝 Daily Log'!$E$3:$E$600,D138,'📝 Daily Log'!$G$3:$G$600,"🔄 Partial")&gt;0,"🔄 Partial","⬜ Pending")),"⬜ Pending"),"⬜ Pending")</f>
        <v>⬜ Pending</v>
      </c>
      <c r="O138" s="269"/>
      <c r="P138" s="303" t="str">
        <f aca="false">IF(O138&lt;&gt;"",O138,N138)</f>
        <v>⬜ Pending</v>
      </c>
      <c r="Q138" s="270" t="s">
        <v>887</v>
      </c>
      <c r="R138" s="271" t="str">
        <f aca="false">IF(COUNTIF('📆 Daily Schedule'!$M$5:$M$427,D138)&gt;0,"⚡ In Swap","✅ Available")</f>
        <v>✅ Available</v>
      </c>
    </row>
    <row r="139" customFormat="false" ht="15.75" hidden="false" customHeight="true" outlineLevel="0" collapsed="false">
      <c r="A139" s="172" t="n">
        <v>136</v>
      </c>
      <c r="B139" s="172" t="s">
        <v>883</v>
      </c>
      <c r="C139" s="76" t="n">
        <v>136</v>
      </c>
      <c r="D139" s="37" t="s">
        <v>888</v>
      </c>
      <c r="E139" s="200" t="s">
        <v>382</v>
      </c>
      <c r="F139" s="39" t="n">
        <v>0.5</v>
      </c>
      <c r="G139" s="40" t="n">
        <v>1</v>
      </c>
      <c r="H139" s="41" t="n">
        <v>1.5</v>
      </c>
      <c r="I139" s="272" t="n">
        <v>14</v>
      </c>
      <c r="J139" s="274" t="s">
        <v>623</v>
      </c>
      <c r="K139" s="273" t="n">
        <v>5</v>
      </c>
      <c r="L139" s="273" t="n">
        <v>4</v>
      </c>
      <c r="M139" s="188" t="s">
        <v>618</v>
      </c>
      <c r="N139" s="76" t="str">
        <f aca="false">IFERROR(IF(COUNTIF('📝 Daily Log'!$E$3:$E$600,D139)&gt;0,IF(COUNTIFS('📝 Daily Log'!$E$3:$E$600,D139,'📝 Daily Log'!$G$3:$G$600,"✅ Done")&gt;0,"✅ Done",IF(COUNTIFS('📝 Daily Log'!$E$3:$E$600,D139,'📝 Daily Log'!$G$3:$G$600,"🔄 Partial")&gt;0,"🔄 Partial","⬜ Pending")),"⬜ Pending"),"⬜ Pending")</f>
        <v>⬜ Pending</v>
      </c>
      <c r="O139" s="269"/>
      <c r="P139" s="76" t="str">
        <f aca="false">IF(O139&lt;&gt;"",O139,N139)</f>
        <v>⬜ Pending</v>
      </c>
      <c r="Q139" s="270" t="s">
        <v>889</v>
      </c>
      <c r="R139" s="271" t="str">
        <f aca="false">IF(COUNTIF('📆 Daily Schedule'!$M$5:$M$427,D139)&gt;0,"⚡ In Swap","✅ Available")</f>
        <v>✅ Available</v>
      </c>
    </row>
    <row r="140" customFormat="false" ht="15.75" hidden="false" customHeight="true" outlineLevel="0" collapsed="false">
      <c r="A140" s="172" t="n">
        <v>137</v>
      </c>
      <c r="B140" s="172" t="s">
        <v>883</v>
      </c>
      <c r="C140" s="303" t="n">
        <v>137</v>
      </c>
      <c r="D140" s="304" t="s">
        <v>890</v>
      </c>
      <c r="E140" s="200" t="s">
        <v>382</v>
      </c>
      <c r="F140" s="39" t="n">
        <v>0.5</v>
      </c>
      <c r="G140" s="40" t="n">
        <v>1</v>
      </c>
      <c r="H140" s="41" t="n">
        <v>1.5</v>
      </c>
      <c r="I140" s="305" t="n">
        <v>14</v>
      </c>
      <c r="J140" s="274" t="s">
        <v>623</v>
      </c>
      <c r="K140" s="306" t="n">
        <v>5</v>
      </c>
      <c r="L140" s="306" t="n">
        <v>4</v>
      </c>
      <c r="M140" s="182" t="s">
        <v>792</v>
      </c>
      <c r="N140" s="303" t="str">
        <f aca="false">IFERROR(IF(COUNTIF('📝 Daily Log'!$E$3:$E$600,D140)&gt;0,IF(COUNTIFS('📝 Daily Log'!$E$3:$E$600,D140,'📝 Daily Log'!$G$3:$G$600,"✅ Done")&gt;0,"✅ Done",IF(COUNTIFS('📝 Daily Log'!$E$3:$E$600,D140,'📝 Daily Log'!$G$3:$G$600,"🔄 Partial")&gt;0,"🔄 Partial","⬜ Pending")),"⬜ Pending"),"⬜ Pending")</f>
        <v>⬜ Pending</v>
      </c>
      <c r="O140" s="269"/>
      <c r="P140" s="303" t="str">
        <f aca="false">IF(O140&lt;&gt;"",O140,N140)</f>
        <v>⬜ Pending</v>
      </c>
      <c r="Q140" s="270" t="s">
        <v>891</v>
      </c>
      <c r="R140" s="271" t="str">
        <f aca="false">IF(COUNTIF('📆 Daily Schedule'!$M$5:$M$427,D140)&gt;0,"⚡ In Swap","✅ Available")</f>
        <v>✅ Available</v>
      </c>
    </row>
    <row r="141" customFormat="false" ht="15.75" hidden="false" customHeight="true" outlineLevel="0" collapsed="false">
      <c r="A141" s="172" t="n">
        <v>138</v>
      </c>
      <c r="B141" s="172" t="s">
        <v>883</v>
      </c>
      <c r="C141" s="76" t="n">
        <v>138</v>
      </c>
      <c r="D141" s="37" t="s">
        <v>892</v>
      </c>
      <c r="E141" s="200" t="s">
        <v>382</v>
      </c>
      <c r="F141" s="39" t="n">
        <v>0.3</v>
      </c>
      <c r="G141" s="40" t="n">
        <v>0.5</v>
      </c>
      <c r="H141" s="41" t="n">
        <v>0.75</v>
      </c>
      <c r="I141" s="272" t="n">
        <v>14</v>
      </c>
      <c r="J141" s="274" t="s">
        <v>623</v>
      </c>
      <c r="K141" s="273" t="n">
        <v>5</v>
      </c>
      <c r="L141" s="273" t="n">
        <v>4</v>
      </c>
      <c r="M141" s="188" t="s">
        <v>618</v>
      </c>
      <c r="N141" s="76" t="str">
        <f aca="false">IFERROR(IF(COUNTIF('📝 Daily Log'!$E$3:$E$600,D141)&gt;0,IF(COUNTIFS('📝 Daily Log'!$E$3:$E$600,D141,'📝 Daily Log'!$G$3:$G$600,"✅ Done")&gt;0,"✅ Done",IF(COUNTIFS('📝 Daily Log'!$E$3:$E$600,D141,'📝 Daily Log'!$G$3:$G$600,"🔄 Partial")&gt;0,"🔄 Partial","⬜ Pending")),"⬜ Pending"),"⬜ Pending")</f>
        <v>⬜ Pending</v>
      </c>
      <c r="O141" s="269"/>
      <c r="P141" s="76" t="str">
        <f aca="false">IF(O141&lt;&gt;"",O141,N141)</f>
        <v>⬜ Pending</v>
      </c>
      <c r="Q141" s="270" t="s">
        <v>893</v>
      </c>
      <c r="R141" s="271" t="str">
        <f aca="false">IF(COUNTIF('📆 Daily Schedule'!$M$5:$M$427,D141)&gt;0,"⚡ In Swap","✅ Available")</f>
        <v>✅ Available</v>
      </c>
    </row>
    <row r="142" customFormat="false" ht="15.75" hidden="false" customHeight="true" outlineLevel="0" collapsed="false">
      <c r="A142" s="172" t="n">
        <v>139</v>
      </c>
      <c r="B142" s="172" t="s">
        <v>883</v>
      </c>
      <c r="C142" s="303" t="n">
        <v>139</v>
      </c>
      <c r="D142" s="304" t="s">
        <v>894</v>
      </c>
      <c r="E142" s="200" t="s">
        <v>382</v>
      </c>
      <c r="F142" s="39" t="n">
        <v>1</v>
      </c>
      <c r="G142" s="40" t="n">
        <v>1.5</v>
      </c>
      <c r="H142" s="41" t="n">
        <v>2</v>
      </c>
      <c r="I142" s="305" t="n">
        <v>14</v>
      </c>
      <c r="J142" s="274" t="s">
        <v>623</v>
      </c>
      <c r="K142" s="306" t="n">
        <v>5</v>
      </c>
      <c r="L142" s="306" t="n">
        <v>4</v>
      </c>
      <c r="M142" s="188" t="s">
        <v>618</v>
      </c>
      <c r="N142" s="303" t="str">
        <f aca="false">IFERROR(IF(COUNTIF('📝 Daily Log'!$E$3:$E$600,D142)&gt;0,IF(COUNTIFS('📝 Daily Log'!$E$3:$E$600,D142,'📝 Daily Log'!$G$3:$G$600,"✅ Done")&gt;0,"✅ Done",IF(COUNTIFS('📝 Daily Log'!$E$3:$E$600,D142,'📝 Daily Log'!$G$3:$G$600,"🔄 Partial")&gt;0,"🔄 Partial","⬜ Pending")),"⬜ Pending"),"⬜ Pending")</f>
        <v>⬜ Pending</v>
      </c>
      <c r="O142" s="269"/>
      <c r="P142" s="303" t="str">
        <f aca="false">IF(O142&lt;&gt;"",O142,N142)</f>
        <v>⬜ Pending</v>
      </c>
      <c r="Q142" s="270" t="s">
        <v>895</v>
      </c>
      <c r="R142" s="271" t="str">
        <f aca="false">IF(COUNTIF('📆 Daily Schedule'!$M$5:$M$427,D142)&gt;0,"⚡ In Swap","✅ Available")</f>
        <v>✅ Available</v>
      </c>
    </row>
    <row r="143" customFormat="false" ht="15.75" hidden="false" customHeight="true" outlineLevel="0" collapsed="false">
      <c r="A143" s="172" t="n">
        <v>140</v>
      </c>
      <c r="B143" s="172" t="s">
        <v>883</v>
      </c>
      <c r="C143" s="76" t="n">
        <v>140</v>
      </c>
      <c r="D143" s="37" t="s">
        <v>896</v>
      </c>
      <c r="E143" s="200" t="s">
        <v>382</v>
      </c>
      <c r="F143" s="39" t="n">
        <v>1.5</v>
      </c>
      <c r="G143" s="40" t="n">
        <v>3</v>
      </c>
      <c r="H143" s="41" t="n">
        <v>4</v>
      </c>
      <c r="I143" s="272" t="n">
        <v>13</v>
      </c>
      <c r="J143" s="274" t="s">
        <v>623</v>
      </c>
      <c r="K143" s="273" t="n">
        <v>5</v>
      </c>
      <c r="L143" s="273" t="n">
        <v>3</v>
      </c>
      <c r="M143" s="188" t="s">
        <v>618</v>
      </c>
      <c r="N143" s="76" t="str">
        <f aca="false">IFERROR(IF(COUNTIF('📝 Daily Log'!$E$3:$E$600,D143)&gt;0,IF(COUNTIFS('📝 Daily Log'!$E$3:$E$600,D143,'📝 Daily Log'!$G$3:$G$600,"✅ Done")&gt;0,"✅ Done",IF(COUNTIFS('📝 Daily Log'!$E$3:$E$600,D143,'📝 Daily Log'!$G$3:$G$600,"🔄 Partial")&gt;0,"🔄 Partial","⬜ Pending")),"⬜ Pending"),"⬜ Pending")</f>
        <v>⬜ Pending</v>
      </c>
      <c r="O143" s="269"/>
      <c r="P143" s="76" t="str">
        <f aca="false">IF(O143&lt;&gt;"",O143,N143)</f>
        <v>⬜ Pending</v>
      </c>
      <c r="Q143" s="270" t="s">
        <v>897</v>
      </c>
      <c r="R143" s="271" t="str">
        <f aca="false">IF(COUNTIF('📆 Daily Schedule'!$M$5:$M$427,D143)&gt;0,"⚡ In Swap","✅ Available")</f>
        <v>✅ Available</v>
      </c>
    </row>
    <row r="144" customFormat="false" ht="15.75" hidden="false" customHeight="true" outlineLevel="0" collapsed="false">
      <c r="A144" s="172" t="n">
        <v>141</v>
      </c>
      <c r="B144" s="172" t="s">
        <v>883</v>
      </c>
      <c r="C144" s="303" t="n">
        <v>141</v>
      </c>
      <c r="D144" s="304" t="s">
        <v>898</v>
      </c>
      <c r="E144" s="200" t="s">
        <v>382</v>
      </c>
      <c r="F144" s="39" t="n">
        <v>1</v>
      </c>
      <c r="G144" s="40" t="n">
        <v>1.5</v>
      </c>
      <c r="H144" s="41" t="n">
        <v>2</v>
      </c>
      <c r="I144" s="305" t="n">
        <v>13</v>
      </c>
      <c r="J144" s="274" t="s">
        <v>623</v>
      </c>
      <c r="K144" s="306" t="n">
        <v>5</v>
      </c>
      <c r="L144" s="306" t="n">
        <v>3</v>
      </c>
      <c r="M144" s="188" t="s">
        <v>618</v>
      </c>
      <c r="N144" s="303" t="str">
        <f aca="false">IFERROR(IF(COUNTIF('📝 Daily Log'!$E$3:$E$600,D144)&gt;0,IF(COUNTIFS('📝 Daily Log'!$E$3:$E$600,D144,'📝 Daily Log'!$G$3:$G$600,"✅ Done")&gt;0,"✅ Done",IF(COUNTIFS('📝 Daily Log'!$E$3:$E$600,D144,'📝 Daily Log'!$G$3:$G$600,"🔄 Partial")&gt;0,"🔄 Partial","⬜ Pending")),"⬜ Pending"),"⬜ Pending")</f>
        <v>⬜ Pending</v>
      </c>
      <c r="O144" s="269"/>
      <c r="P144" s="303" t="str">
        <f aca="false">IF(O144&lt;&gt;"",O144,N144)</f>
        <v>⬜ Pending</v>
      </c>
      <c r="Q144" s="270" t="s">
        <v>899</v>
      </c>
      <c r="R144" s="271" t="str">
        <f aca="false">IF(COUNTIF('📆 Daily Schedule'!$M$5:$M$427,D144)&gt;0,"⚡ In Swap","✅ Available")</f>
        <v>✅ Available</v>
      </c>
    </row>
    <row r="145" customFormat="false" ht="15.75" hidden="false" customHeight="true" outlineLevel="0" collapsed="false">
      <c r="A145" s="172" t="n">
        <v>142</v>
      </c>
      <c r="B145" s="172" t="s">
        <v>883</v>
      </c>
      <c r="C145" s="76" t="n">
        <v>142</v>
      </c>
      <c r="D145" s="37" t="s">
        <v>900</v>
      </c>
      <c r="E145" s="200" t="s">
        <v>382</v>
      </c>
      <c r="F145" s="39" t="n">
        <v>0.5</v>
      </c>
      <c r="G145" s="40" t="n">
        <v>1</v>
      </c>
      <c r="H145" s="41" t="n">
        <v>1.5</v>
      </c>
      <c r="I145" s="272" t="n">
        <v>11</v>
      </c>
      <c r="J145" s="36" t="s">
        <v>617</v>
      </c>
      <c r="K145" s="273" t="n">
        <v>4</v>
      </c>
      <c r="L145" s="273" t="n">
        <v>3</v>
      </c>
      <c r="M145" s="188" t="s">
        <v>618</v>
      </c>
      <c r="N145" s="76" t="str">
        <f aca="false">IFERROR(IF(COUNTIF('📝 Daily Log'!$E$3:$E$600,D145)&gt;0,IF(COUNTIFS('📝 Daily Log'!$E$3:$E$600,D145,'📝 Daily Log'!$G$3:$G$600,"✅ Done")&gt;0,"✅ Done",IF(COUNTIFS('📝 Daily Log'!$E$3:$E$600,D145,'📝 Daily Log'!$G$3:$G$600,"🔄 Partial")&gt;0,"🔄 Partial","⬜ Pending")),"⬜ Pending"),"⬜ Pending")</f>
        <v>⬜ Pending</v>
      </c>
      <c r="O145" s="269"/>
      <c r="P145" s="76" t="str">
        <f aca="false">IF(O145&lt;&gt;"",O145,N145)</f>
        <v>⬜ Pending</v>
      </c>
      <c r="Q145" s="270" t="s">
        <v>901</v>
      </c>
      <c r="R145" s="271" t="str">
        <f aca="false">IF(COUNTIF('📆 Daily Schedule'!$M$5:$M$427,D145)&gt;0,"⚡ In Swap","✅ Available")</f>
        <v>✅ Available</v>
      </c>
    </row>
    <row r="146" customFormat="false" ht="15.75" hidden="false" customHeight="true" outlineLevel="0" collapsed="false">
      <c r="A146" s="172" t="n">
        <v>143</v>
      </c>
      <c r="B146" s="172" t="s">
        <v>883</v>
      </c>
      <c r="C146" s="303" t="n">
        <v>143</v>
      </c>
      <c r="D146" s="304" t="s">
        <v>902</v>
      </c>
      <c r="E146" s="200" t="s">
        <v>382</v>
      </c>
      <c r="F146" s="39" t="n">
        <v>0.5</v>
      </c>
      <c r="G146" s="40" t="n">
        <v>0.75</v>
      </c>
      <c r="H146" s="41" t="n">
        <v>1</v>
      </c>
      <c r="I146" s="305" t="n">
        <v>11</v>
      </c>
      <c r="J146" s="36" t="s">
        <v>617</v>
      </c>
      <c r="K146" s="306" t="n">
        <v>4</v>
      </c>
      <c r="L146" s="306" t="n">
        <v>3</v>
      </c>
      <c r="M146" s="188" t="s">
        <v>618</v>
      </c>
      <c r="N146" s="303" t="str">
        <f aca="false">IFERROR(IF(COUNTIF('📝 Daily Log'!$E$3:$E$600,D146)&gt;0,IF(COUNTIFS('📝 Daily Log'!$E$3:$E$600,D146,'📝 Daily Log'!$G$3:$G$600,"✅ Done")&gt;0,"✅ Done",IF(COUNTIFS('📝 Daily Log'!$E$3:$E$600,D146,'📝 Daily Log'!$G$3:$G$600,"🔄 Partial")&gt;0,"🔄 Partial","⬜ Pending")),"⬜ Pending"),"⬜ Pending")</f>
        <v>⬜ Pending</v>
      </c>
      <c r="O146" s="269"/>
      <c r="P146" s="303" t="str">
        <f aca="false">IF(O146&lt;&gt;"",O146,N146)</f>
        <v>⬜ Pending</v>
      </c>
      <c r="Q146" s="270" t="s">
        <v>903</v>
      </c>
      <c r="R146" s="271" t="str">
        <f aca="false">IF(COUNTIF('📆 Daily Schedule'!$M$5:$M$427,D146)&gt;0,"⚡ In Swap","✅ Available")</f>
        <v>✅ Available</v>
      </c>
    </row>
    <row r="147" customFormat="false" ht="15.75" hidden="false" customHeight="true" outlineLevel="0" collapsed="false">
      <c r="A147" s="172" t="n">
        <v>144</v>
      </c>
      <c r="B147" s="172" t="s">
        <v>883</v>
      </c>
      <c r="C147" s="76" t="n">
        <v>144</v>
      </c>
      <c r="D147" s="37" t="s">
        <v>904</v>
      </c>
      <c r="E147" s="200" t="s">
        <v>382</v>
      </c>
      <c r="F147" s="39" t="n">
        <v>0.5</v>
      </c>
      <c r="G147" s="40" t="n">
        <v>1</v>
      </c>
      <c r="H147" s="41" t="n">
        <v>1.5</v>
      </c>
      <c r="I147" s="272" t="n">
        <v>11</v>
      </c>
      <c r="J147" s="36" t="s">
        <v>617</v>
      </c>
      <c r="K147" s="273" t="n">
        <v>4</v>
      </c>
      <c r="L147" s="273" t="n">
        <v>3</v>
      </c>
      <c r="M147" s="188" t="s">
        <v>618</v>
      </c>
      <c r="N147" s="76" t="str">
        <f aca="false">IFERROR(IF(COUNTIF('📝 Daily Log'!$E$3:$E$600,D147)&gt;0,IF(COUNTIFS('📝 Daily Log'!$E$3:$E$600,D147,'📝 Daily Log'!$G$3:$G$600,"✅ Done")&gt;0,"✅ Done",IF(COUNTIFS('📝 Daily Log'!$E$3:$E$600,D147,'📝 Daily Log'!$G$3:$G$600,"🔄 Partial")&gt;0,"🔄 Partial","⬜ Pending")),"⬜ Pending"),"⬜ Pending")</f>
        <v>⬜ Pending</v>
      </c>
      <c r="O147" s="269"/>
      <c r="P147" s="76" t="str">
        <f aca="false">IF(O147&lt;&gt;"",O147,N147)</f>
        <v>⬜ Pending</v>
      </c>
      <c r="Q147" s="270" t="s">
        <v>905</v>
      </c>
      <c r="R147" s="271" t="str">
        <f aca="false">IF(COUNTIF('📆 Daily Schedule'!$M$5:$M$427,D147)&gt;0,"⚡ In Swap","✅ Available")</f>
        <v>✅ Available</v>
      </c>
    </row>
    <row r="148" customFormat="false" ht="15.75" hidden="false" customHeight="true" outlineLevel="0" collapsed="false">
      <c r="A148" s="172" t="n">
        <v>145</v>
      </c>
      <c r="B148" s="172" t="s">
        <v>883</v>
      </c>
      <c r="C148" s="303" t="n">
        <v>145</v>
      </c>
      <c r="D148" s="304" t="s">
        <v>906</v>
      </c>
      <c r="E148" s="200" t="s">
        <v>382</v>
      </c>
      <c r="F148" s="39" t="n">
        <v>0.3</v>
      </c>
      <c r="G148" s="40" t="n">
        <v>0.5</v>
      </c>
      <c r="H148" s="41" t="n">
        <v>0.75</v>
      </c>
      <c r="I148" s="305" t="n">
        <v>14</v>
      </c>
      <c r="J148" s="274" t="s">
        <v>623</v>
      </c>
      <c r="K148" s="306" t="n">
        <v>5</v>
      </c>
      <c r="L148" s="306" t="n">
        <v>4</v>
      </c>
      <c r="M148" s="188" t="s">
        <v>618</v>
      </c>
      <c r="N148" s="303" t="str">
        <f aca="false">IFERROR(IF(COUNTIF('📝 Daily Log'!$E$3:$E$600,D148)&gt;0,IF(COUNTIFS('📝 Daily Log'!$E$3:$E$600,D148,'📝 Daily Log'!$G$3:$G$600,"✅ Done")&gt;0,"✅ Done",IF(COUNTIFS('📝 Daily Log'!$E$3:$E$600,D148,'📝 Daily Log'!$G$3:$G$600,"🔄 Partial")&gt;0,"🔄 Partial","⬜ Pending")),"⬜ Pending"),"⬜ Pending")</f>
        <v>⬜ Pending</v>
      </c>
      <c r="O148" s="269"/>
      <c r="P148" s="303" t="str">
        <f aca="false">IF(O148&lt;&gt;"",O148,N148)</f>
        <v>⬜ Pending</v>
      </c>
      <c r="Q148" s="270" t="s">
        <v>907</v>
      </c>
      <c r="R148" s="271" t="str">
        <f aca="false">IF(COUNTIF('📆 Daily Schedule'!$M$5:$M$427,D148)&gt;0,"⚡ In Swap","✅ Available")</f>
        <v>✅ Available</v>
      </c>
    </row>
    <row r="149" customFormat="false" ht="15.75" hidden="false" customHeight="true" outlineLevel="0" collapsed="false">
      <c r="A149" s="172" t="n">
        <v>146</v>
      </c>
      <c r="B149" s="172" t="s">
        <v>883</v>
      </c>
      <c r="C149" s="76" t="n">
        <v>146</v>
      </c>
      <c r="D149" s="37" t="s">
        <v>908</v>
      </c>
      <c r="E149" s="200" t="s">
        <v>382</v>
      </c>
      <c r="F149" s="39" t="n">
        <v>2</v>
      </c>
      <c r="G149" s="40" t="n">
        <v>3</v>
      </c>
      <c r="H149" s="41" t="n">
        <v>4</v>
      </c>
      <c r="I149" s="272" t="n">
        <v>14</v>
      </c>
      <c r="J149" s="274" t="s">
        <v>623</v>
      </c>
      <c r="K149" s="273" t="n">
        <v>5</v>
      </c>
      <c r="L149" s="273" t="n">
        <v>4</v>
      </c>
      <c r="M149" s="188" t="s">
        <v>618</v>
      </c>
      <c r="N149" s="76" t="str">
        <f aca="false">IFERROR(IF(COUNTIF('📝 Daily Log'!$E$3:$E$600,D149)&gt;0,IF(COUNTIFS('📝 Daily Log'!$E$3:$E$600,D149,'📝 Daily Log'!$G$3:$G$600,"✅ Done")&gt;0,"✅ Done",IF(COUNTIFS('📝 Daily Log'!$E$3:$E$600,D149,'📝 Daily Log'!$G$3:$G$600,"🔄 Partial")&gt;0,"🔄 Partial","⬜ Pending")),"⬜ Pending"),"⬜ Pending")</f>
        <v>⬜ Pending</v>
      </c>
      <c r="O149" s="269"/>
      <c r="P149" s="76" t="str">
        <f aca="false">IF(O149&lt;&gt;"",O149,N149)</f>
        <v>⬜ Pending</v>
      </c>
      <c r="Q149" s="270" t="s">
        <v>909</v>
      </c>
      <c r="R149" s="271" t="str">
        <f aca="false">IF(COUNTIF('📆 Daily Schedule'!$M$5:$M$427,D149)&gt;0,"⚡ In Swap","✅ Available")</f>
        <v>✅ Available</v>
      </c>
    </row>
    <row r="150" customFormat="false" ht="15.75" hidden="false" customHeight="true" outlineLevel="0" collapsed="false">
      <c r="A150" s="172" t="n">
        <v>147</v>
      </c>
      <c r="B150" s="172" t="s">
        <v>883</v>
      </c>
      <c r="C150" s="303" t="n">
        <v>147</v>
      </c>
      <c r="D150" s="304" t="s">
        <v>910</v>
      </c>
      <c r="E150" s="200" t="s">
        <v>382</v>
      </c>
      <c r="F150" s="39" t="n">
        <v>1</v>
      </c>
      <c r="G150" s="40" t="n">
        <v>1.5</v>
      </c>
      <c r="H150" s="41" t="n">
        <v>2</v>
      </c>
      <c r="I150" s="305" t="n">
        <v>14</v>
      </c>
      <c r="J150" s="274" t="s">
        <v>623</v>
      </c>
      <c r="K150" s="306" t="n">
        <v>5</v>
      </c>
      <c r="L150" s="306" t="n">
        <v>4</v>
      </c>
      <c r="M150" s="188" t="s">
        <v>618</v>
      </c>
      <c r="N150" s="303" t="str">
        <f aca="false">IFERROR(IF(COUNTIF('📝 Daily Log'!$E$3:$E$600,D150)&gt;0,IF(COUNTIFS('📝 Daily Log'!$E$3:$E$600,D150,'📝 Daily Log'!$G$3:$G$600,"✅ Done")&gt;0,"✅ Done",IF(COUNTIFS('📝 Daily Log'!$E$3:$E$600,D150,'📝 Daily Log'!$G$3:$G$600,"🔄 Partial")&gt;0,"🔄 Partial","⬜ Pending")),"⬜ Pending"),"⬜ Pending")</f>
        <v>⬜ Pending</v>
      </c>
      <c r="O150" s="269"/>
      <c r="P150" s="303" t="str">
        <f aca="false">IF(O150&lt;&gt;"",O150,N150)</f>
        <v>⬜ Pending</v>
      </c>
      <c r="Q150" s="270" t="s">
        <v>911</v>
      </c>
      <c r="R150" s="271" t="str">
        <f aca="false">IF(COUNTIF('📆 Daily Schedule'!$M$5:$M$427,D150)&gt;0,"⚡ In Swap","✅ Available")</f>
        <v>✅ Available</v>
      </c>
    </row>
    <row r="151" customFormat="false" ht="15.75" hidden="false" customHeight="true" outlineLevel="0" collapsed="false">
      <c r="A151" s="271" t="n">
        <v>148</v>
      </c>
      <c r="B151" s="271" t="s">
        <v>912</v>
      </c>
      <c r="C151" s="76" t="n">
        <v>148</v>
      </c>
      <c r="D151" s="37" t="s">
        <v>913</v>
      </c>
      <c r="E151" s="185" t="s">
        <v>397</v>
      </c>
      <c r="F151" s="39" t="n">
        <v>0.5</v>
      </c>
      <c r="G151" s="40" t="n">
        <v>1</v>
      </c>
      <c r="H151" s="41" t="n">
        <v>1.5</v>
      </c>
      <c r="I151" s="272" t="n">
        <v>13</v>
      </c>
      <c r="J151" s="274" t="s">
        <v>623</v>
      </c>
      <c r="K151" s="273" t="n">
        <v>5</v>
      </c>
      <c r="L151" s="273" t="n">
        <v>3</v>
      </c>
      <c r="M151" s="182" t="s">
        <v>636</v>
      </c>
      <c r="N151" s="76" t="str">
        <f aca="false">IFERROR(IF(COUNTIF('📝 Daily Log'!$E$3:$E$600,D151)&gt;0,IF(COUNTIFS('📝 Daily Log'!$E$3:$E$600,D151,'📝 Daily Log'!$G$3:$G$600,"✅ Done")&gt;0,"✅ Done",IF(COUNTIFS('📝 Daily Log'!$E$3:$E$600,D151,'📝 Daily Log'!$G$3:$G$600,"🔄 Partial")&gt;0,"🔄 Partial","⬜ Pending")),"⬜ Pending"),"⬜ Pending")</f>
        <v>⬜ Pending</v>
      </c>
      <c r="O151" s="269"/>
      <c r="P151" s="76" t="str">
        <f aca="false">IF(O151&lt;&gt;"",O151,N151)</f>
        <v>⬜ Pending</v>
      </c>
      <c r="Q151" s="270" t="s">
        <v>914</v>
      </c>
      <c r="R151" s="271" t="str">
        <f aca="false">IF(COUNTIF('📆 Daily Schedule'!$M$5:$M$427,D151)&gt;0,"⚡ In Swap","✅ Available")</f>
        <v>✅ Available</v>
      </c>
    </row>
    <row r="152" customFormat="false" ht="15.75" hidden="false" customHeight="true" outlineLevel="0" collapsed="false">
      <c r="A152" s="271" t="n">
        <v>149</v>
      </c>
      <c r="B152" s="271" t="s">
        <v>912</v>
      </c>
      <c r="C152" s="279" t="n">
        <v>149</v>
      </c>
      <c r="D152" s="280" t="s">
        <v>915</v>
      </c>
      <c r="E152" s="185" t="s">
        <v>397</v>
      </c>
      <c r="F152" s="39" t="n">
        <v>0.5</v>
      </c>
      <c r="G152" s="40" t="n">
        <v>1</v>
      </c>
      <c r="H152" s="41" t="n">
        <v>1.5</v>
      </c>
      <c r="I152" s="281" t="n">
        <v>11</v>
      </c>
      <c r="J152" s="36" t="s">
        <v>617</v>
      </c>
      <c r="K152" s="282" t="n">
        <v>4</v>
      </c>
      <c r="L152" s="282" t="n">
        <v>3</v>
      </c>
      <c r="M152" s="182" t="s">
        <v>792</v>
      </c>
      <c r="N152" s="279" t="str">
        <f aca="false">IFERROR(IF(COUNTIF('📝 Daily Log'!$E$3:$E$600,D152)&gt;0,IF(COUNTIFS('📝 Daily Log'!$E$3:$E$600,D152,'📝 Daily Log'!$G$3:$G$600,"✅ Done")&gt;0,"✅ Done",IF(COUNTIFS('📝 Daily Log'!$E$3:$E$600,D152,'📝 Daily Log'!$G$3:$G$600,"🔄 Partial")&gt;0,"🔄 Partial","⬜ Pending")),"⬜ Pending"),"⬜ Pending")</f>
        <v>⬜ Pending</v>
      </c>
      <c r="O152" s="269"/>
      <c r="P152" s="279" t="str">
        <f aca="false">IF(O152&lt;&gt;"",O152,N152)</f>
        <v>⬜ Pending</v>
      </c>
      <c r="Q152" s="270" t="s">
        <v>914</v>
      </c>
      <c r="R152" s="271" t="str">
        <f aca="false">IF(COUNTIF('📆 Daily Schedule'!$M$5:$M$427,D152)&gt;0,"⚡ In Swap","✅ Available")</f>
        <v>✅ Available</v>
      </c>
    </row>
    <row r="153" customFormat="false" ht="15.75" hidden="false" customHeight="true" outlineLevel="0" collapsed="false">
      <c r="A153" s="271" t="n">
        <v>150</v>
      </c>
      <c r="B153" s="271" t="s">
        <v>912</v>
      </c>
      <c r="C153" s="76" t="n">
        <v>150</v>
      </c>
      <c r="D153" s="37" t="s">
        <v>916</v>
      </c>
      <c r="E153" s="185" t="s">
        <v>397</v>
      </c>
      <c r="F153" s="39" t="n">
        <v>0.5</v>
      </c>
      <c r="G153" s="40" t="n">
        <v>1</v>
      </c>
      <c r="H153" s="41" t="n">
        <v>1.5</v>
      </c>
      <c r="I153" s="272" t="n">
        <v>11</v>
      </c>
      <c r="J153" s="36" t="s">
        <v>617</v>
      </c>
      <c r="K153" s="273" t="n">
        <v>4</v>
      </c>
      <c r="L153" s="273" t="n">
        <v>3</v>
      </c>
      <c r="M153" s="188" t="s">
        <v>618</v>
      </c>
      <c r="N153" s="76" t="str">
        <f aca="false">IFERROR(IF(COUNTIF('📝 Daily Log'!$E$3:$E$600,D153)&gt;0,IF(COUNTIFS('📝 Daily Log'!$E$3:$E$600,D153,'📝 Daily Log'!$G$3:$G$600,"✅ Done")&gt;0,"✅ Done",IF(COUNTIFS('📝 Daily Log'!$E$3:$E$600,D153,'📝 Daily Log'!$G$3:$G$600,"🔄 Partial")&gt;0,"🔄 Partial","⬜ Pending")),"⬜ Pending"),"⬜ Pending")</f>
        <v>⬜ Pending</v>
      </c>
      <c r="O153" s="269"/>
      <c r="P153" s="76" t="str">
        <f aca="false">IF(O153&lt;&gt;"",O153,N153)</f>
        <v>⬜ Pending</v>
      </c>
      <c r="Q153" s="270" t="s">
        <v>917</v>
      </c>
      <c r="R153" s="271" t="str">
        <f aca="false">IF(COUNTIF('📆 Daily Schedule'!$M$5:$M$427,D153)&gt;0,"⚡ In Swap","✅ Available")</f>
        <v>✅ Available</v>
      </c>
    </row>
    <row r="154" customFormat="false" ht="15.75" hidden="false" customHeight="true" outlineLevel="0" collapsed="false">
      <c r="A154" s="271" t="n">
        <v>151</v>
      </c>
      <c r="B154" s="271" t="s">
        <v>912</v>
      </c>
      <c r="C154" s="279" t="n">
        <v>151</v>
      </c>
      <c r="D154" s="280" t="s">
        <v>918</v>
      </c>
      <c r="E154" s="185" t="s">
        <v>397</v>
      </c>
      <c r="F154" s="39" t="n">
        <v>0.5</v>
      </c>
      <c r="G154" s="40" t="n">
        <v>0.75</v>
      </c>
      <c r="H154" s="41" t="n">
        <v>1</v>
      </c>
      <c r="I154" s="281" t="n">
        <v>11</v>
      </c>
      <c r="J154" s="36" t="s">
        <v>617</v>
      </c>
      <c r="K154" s="282" t="n">
        <v>4</v>
      </c>
      <c r="L154" s="282" t="n">
        <v>3</v>
      </c>
      <c r="M154" s="188" t="s">
        <v>618</v>
      </c>
      <c r="N154" s="279" t="str">
        <f aca="false">IFERROR(IF(COUNTIF('📝 Daily Log'!$E$3:$E$600,D154)&gt;0,IF(COUNTIFS('📝 Daily Log'!$E$3:$E$600,D154,'📝 Daily Log'!$G$3:$G$600,"✅ Done")&gt;0,"✅ Done",IF(COUNTIFS('📝 Daily Log'!$E$3:$E$600,D154,'📝 Daily Log'!$G$3:$G$600,"🔄 Partial")&gt;0,"🔄 Partial","⬜ Pending")),"⬜ Pending"),"⬜ Pending")</f>
        <v>⬜ Pending</v>
      </c>
      <c r="O154" s="269"/>
      <c r="P154" s="279" t="str">
        <f aca="false">IF(O154&lt;&gt;"",O154,N154)</f>
        <v>⬜ Pending</v>
      </c>
      <c r="Q154" s="270" t="s">
        <v>403</v>
      </c>
      <c r="R154" s="271" t="str">
        <f aca="false">IF(COUNTIF('📆 Daily Schedule'!$M$5:$M$427,D154)&gt;0,"⚡ In Swap","✅ Available")</f>
        <v>✅ Available</v>
      </c>
    </row>
    <row r="155" customFormat="false" ht="15.75" hidden="false" customHeight="true" outlineLevel="0" collapsed="false">
      <c r="A155" s="271" t="n">
        <v>152</v>
      </c>
      <c r="B155" s="271" t="s">
        <v>912</v>
      </c>
      <c r="C155" s="76" t="n">
        <v>152</v>
      </c>
      <c r="D155" s="37" t="s">
        <v>919</v>
      </c>
      <c r="E155" s="185" t="s">
        <v>397</v>
      </c>
      <c r="F155" s="39" t="n">
        <v>0.3</v>
      </c>
      <c r="G155" s="40" t="n">
        <v>0.5</v>
      </c>
      <c r="H155" s="41" t="n">
        <v>0.75</v>
      </c>
      <c r="I155" s="272" t="n">
        <v>15</v>
      </c>
      <c r="J155" s="274" t="s">
        <v>623</v>
      </c>
      <c r="K155" s="273" t="n">
        <v>5</v>
      </c>
      <c r="L155" s="273" t="n">
        <v>5</v>
      </c>
      <c r="M155" s="188" t="s">
        <v>618</v>
      </c>
      <c r="N155" s="76" t="str">
        <f aca="false">IFERROR(IF(COUNTIF('📝 Daily Log'!$E$3:$E$600,D155)&gt;0,IF(COUNTIFS('📝 Daily Log'!$E$3:$E$600,D155,'📝 Daily Log'!$G$3:$G$600,"✅ Done")&gt;0,"✅ Done",IF(COUNTIFS('📝 Daily Log'!$E$3:$E$600,D155,'📝 Daily Log'!$G$3:$G$600,"🔄 Partial")&gt;0,"🔄 Partial","⬜ Pending")),"⬜ Pending"),"⬜ Pending")</f>
        <v>⬜ Pending</v>
      </c>
      <c r="O155" s="269"/>
      <c r="P155" s="76" t="str">
        <f aca="false">IF(O155&lt;&gt;"",O155,N155)</f>
        <v>⬜ Pending</v>
      </c>
      <c r="Q155" s="270" t="s">
        <v>920</v>
      </c>
      <c r="R155" s="271" t="str">
        <f aca="false">IF(COUNTIF('📆 Daily Schedule'!$M$5:$M$427,D155)&gt;0,"⚡ In Swap","✅ Available")</f>
        <v>✅ Available</v>
      </c>
    </row>
    <row r="156" customFormat="false" ht="15.75" hidden="false" customHeight="true" outlineLevel="0" collapsed="false">
      <c r="A156" s="271" t="n">
        <v>153</v>
      </c>
      <c r="B156" s="271" t="s">
        <v>912</v>
      </c>
      <c r="C156" s="279" t="n">
        <v>153</v>
      </c>
      <c r="D156" s="280" t="s">
        <v>921</v>
      </c>
      <c r="E156" s="185" t="s">
        <v>397</v>
      </c>
      <c r="F156" s="39" t="n">
        <v>1</v>
      </c>
      <c r="G156" s="40" t="n">
        <v>1.5</v>
      </c>
      <c r="H156" s="41" t="n">
        <v>2</v>
      </c>
      <c r="I156" s="281" t="n">
        <v>11</v>
      </c>
      <c r="J156" s="36" t="s">
        <v>617</v>
      </c>
      <c r="K156" s="282" t="n">
        <v>4</v>
      </c>
      <c r="L156" s="282" t="n">
        <v>3</v>
      </c>
      <c r="M156" s="188" t="s">
        <v>618</v>
      </c>
      <c r="N156" s="279" t="str">
        <f aca="false">IFERROR(IF(COUNTIF('📝 Daily Log'!$E$3:$E$600,D156)&gt;0,IF(COUNTIFS('📝 Daily Log'!$E$3:$E$600,D156,'📝 Daily Log'!$G$3:$G$600,"✅ Done")&gt;0,"✅ Done",IF(COUNTIFS('📝 Daily Log'!$E$3:$E$600,D156,'📝 Daily Log'!$G$3:$G$600,"🔄 Partial")&gt;0,"🔄 Partial","⬜ Pending")),"⬜ Pending"),"⬜ Pending")</f>
        <v>⬜ Pending</v>
      </c>
      <c r="O156" s="269"/>
      <c r="P156" s="279" t="str">
        <f aca="false">IF(O156&lt;&gt;"",O156,N156)</f>
        <v>⬜ Pending</v>
      </c>
      <c r="Q156" s="270" t="s">
        <v>922</v>
      </c>
      <c r="R156" s="271" t="str">
        <f aca="false">IF(COUNTIF('📆 Daily Schedule'!$M$5:$M$427,D156)&gt;0,"⚡ In Swap","✅ Available")</f>
        <v>✅ Available</v>
      </c>
    </row>
    <row r="157" customFormat="false" ht="15.75" hidden="false" customHeight="true" outlineLevel="0" collapsed="false">
      <c r="A157" s="271" t="n">
        <v>154</v>
      </c>
      <c r="B157" s="271" t="s">
        <v>912</v>
      </c>
      <c r="C157" s="76" t="n">
        <v>154</v>
      </c>
      <c r="D157" s="37" t="s">
        <v>923</v>
      </c>
      <c r="E157" s="185" t="s">
        <v>397</v>
      </c>
      <c r="F157" s="39" t="n">
        <v>1.5</v>
      </c>
      <c r="G157" s="40" t="n">
        <v>3</v>
      </c>
      <c r="H157" s="41" t="n">
        <v>5</v>
      </c>
      <c r="I157" s="272" t="n">
        <v>13</v>
      </c>
      <c r="J157" s="274" t="s">
        <v>623</v>
      </c>
      <c r="K157" s="273" t="n">
        <v>5</v>
      </c>
      <c r="L157" s="273" t="n">
        <v>3</v>
      </c>
      <c r="M157" s="182" t="s">
        <v>636</v>
      </c>
      <c r="N157" s="76" t="str">
        <f aca="false">IFERROR(IF(COUNTIF('📝 Daily Log'!$E$3:$E$600,D157)&gt;0,IF(COUNTIFS('📝 Daily Log'!$E$3:$E$600,D157,'📝 Daily Log'!$G$3:$G$600,"✅ Done")&gt;0,"✅ Done",IF(COUNTIFS('📝 Daily Log'!$E$3:$E$600,D157,'📝 Daily Log'!$G$3:$G$600,"🔄 Partial")&gt;0,"🔄 Partial","⬜ Pending")),"⬜ Pending"),"⬜ Pending")</f>
        <v>⬜ Pending</v>
      </c>
      <c r="O157" s="269"/>
      <c r="P157" s="76" t="str">
        <f aca="false">IF(O157&lt;&gt;"",O157,N157)</f>
        <v>⬜ Pending</v>
      </c>
      <c r="Q157" s="270" t="s">
        <v>924</v>
      </c>
      <c r="R157" s="271" t="str">
        <f aca="false">IF(COUNTIF('📆 Daily Schedule'!$M$5:$M$427,D157)&gt;0,"⚡ In Swap","✅ Available")</f>
        <v>✅ Available</v>
      </c>
    </row>
    <row r="158" customFormat="false" ht="15.75" hidden="false" customHeight="true" outlineLevel="0" collapsed="false">
      <c r="A158" s="290" t="n">
        <v>155</v>
      </c>
      <c r="B158" s="290" t="s">
        <v>925</v>
      </c>
      <c r="C158" s="291" t="n">
        <v>155</v>
      </c>
      <c r="D158" s="292" t="s">
        <v>926</v>
      </c>
      <c r="E158" s="193" t="s">
        <v>412</v>
      </c>
      <c r="F158" s="39" t="n">
        <v>0.5</v>
      </c>
      <c r="G158" s="40" t="n">
        <v>1</v>
      </c>
      <c r="H158" s="41" t="n">
        <v>1.5</v>
      </c>
      <c r="I158" s="293" t="n">
        <v>14</v>
      </c>
      <c r="J158" s="274" t="s">
        <v>623</v>
      </c>
      <c r="K158" s="294" t="n">
        <v>5</v>
      </c>
      <c r="L158" s="294" t="n">
        <v>4</v>
      </c>
      <c r="M158" s="182" t="s">
        <v>636</v>
      </c>
      <c r="N158" s="291" t="str">
        <f aca="false">IFERROR(IF(COUNTIF('📝 Daily Log'!$E$3:$E$600,D158)&gt;0,IF(COUNTIFS('📝 Daily Log'!$E$3:$E$600,D158,'📝 Daily Log'!$G$3:$G$600,"✅ Done")&gt;0,"✅ Done",IF(COUNTIFS('📝 Daily Log'!$E$3:$E$600,D158,'📝 Daily Log'!$G$3:$G$600,"🔄 Partial")&gt;0,"🔄 Partial","⬜ Pending")),"⬜ Pending"),"⬜ Pending")</f>
        <v>⬜ Pending</v>
      </c>
      <c r="O158" s="269"/>
      <c r="P158" s="291" t="str">
        <f aca="false">IF(O158&lt;&gt;"",O158,N158)</f>
        <v>⬜ Pending</v>
      </c>
      <c r="Q158" s="270" t="s">
        <v>927</v>
      </c>
      <c r="R158" s="271" t="str">
        <f aca="false">IF(COUNTIF('📆 Daily Schedule'!$M$5:$M$427,D158)&gt;0,"⚡ In Swap","✅ Available")</f>
        <v>✅ Available</v>
      </c>
    </row>
    <row r="159" customFormat="false" ht="15.75" hidden="false" customHeight="true" outlineLevel="0" collapsed="false">
      <c r="A159" s="290" t="n">
        <v>156</v>
      </c>
      <c r="B159" s="290" t="s">
        <v>925</v>
      </c>
      <c r="C159" s="76" t="n">
        <v>156</v>
      </c>
      <c r="D159" s="37" t="s">
        <v>928</v>
      </c>
      <c r="E159" s="193" t="s">
        <v>412</v>
      </c>
      <c r="F159" s="39" t="n">
        <v>0.5</v>
      </c>
      <c r="G159" s="40" t="n">
        <v>1</v>
      </c>
      <c r="H159" s="41" t="n">
        <v>1.5</v>
      </c>
      <c r="I159" s="272" t="n">
        <v>14</v>
      </c>
      <c r="J159" s="274" t="s">
        <v>623</v>
      </c>
      <c r="K159" s="273" t="n">
        <v>5</v>
      </c>
      <c r="L159" s="273" t="n">
        <v>4</v>
      </c>
      <c r="M159" s="182" t="s">
        <v>636</v>
      </c>
      <c r="N159" s="76" t="str">
        <f aca="false">IFERROR(IF(COUNTIF('📝 Daily Log'!$E$3:$E$600,D159)&gt;0,IF(COUNTIFS('📝 Daily Log'!$E$3:$E$600,D159,'📝 Daily Log'!$G$3:$G$600,"✅ Done")&gt;0,"✅ Done",IF(COUNTIFS('📝 Daily Log'!$E$3:$E$600,D159,'📝 Daily Log'!$G$3:$G$600,"🔄 Partial")&gt;0,"🔄 Partial","⬜ Pending")),"⬜ Pending"),"⬜ Pending")</f>
        <v>⬜ Pending</v>
      </c>
      <c r="O159" s="269"/>
      <c r="P159" s="76" t="str">
        <f aca="false">IF(O159&lt;&gt;"",O159,N159)</f>
        <v>⬜ Pending</v>
      </c>
      <c r="Q159" s="270" t="s">
        <v>927</v>
      </c>
      <c r="R159" s="271" t="str">
        <f aca="false">IF(COUNTIF('📆 Daily Schedule'!$M$5:$M$427,D159)&gt;0,"⚡ In Swap","✅ Available")</f>
        <v>✅ Available</v>
      </c>
    </row>
    <row r="160" customFormat="false" ht="15.75" hidden="false" customHeight="true" outlineLevel="0" collapsed="false">
      <c r="A160" s="290" t="n">
        <v>157</v>
      </c>
      <c r="B160" s="290" t="s">
        <v>925</v>
      </c>
      <c r="C160" s="291" t="n">
        <v>157</v>
      </c>
      <c r="D160" s="292" t="s">
        <v>929</v>
      </c>
      <c r="E160" s="193" t="s">
        <v>412</v>
      </c>
      <c r="F160" s="39" t="n">
        <v>0.5</v>
      </c>
      <c r="G160" s="40" t="n">
        <v>1</v>
      </c>
      <c r="H160" s="41" t="n">
        <v>1.5</v>
      </c>
      <c r="I160" s="293" t="n">
        <v>14</v>
      </c>
      <c r="J160" s="274" t="s">
        <v>623</v>
      </c>
      <c r="K160" s="294" t="n">
        <v>5</v>
      </c>
      <c r="L160" s="294" t="n">
        <v>4</v>
      </c>
      <c r="M160" s="182" t="s">
        <v>636</v>
      </c>
      <c r="N160" s="291" t="str">
        <f aca="false">IFERROR(IF(COUNTIF('📝 Daily Log'!$E$3:$E$600,D160)&gt;0,IF(COUNTIFS('📝 Daily Log'!$E$3:$E$600,D160,'📝 Daily Log'!$G$3:$G$600,"✅ Done")&gt;0,"✅ Done",IF(COUNTIFS('📝 Daily Log'!$E$3:$E$600,D160,'📝 Daily Log'!$G$3:$G$600,"🔄 Partial")&gt;0,"🔄 Partial","⬜ Pending")),"⬜ Pending"),"⬜ Pending")</f>
        <v>⬜ Pending</v>
      </c>
      <c r="O160" s="269"/>
      <c r="P160" s="291" t="str">
        <f aca="false">IF(O160&lt;&gt;"",O160,N160)</f>
        <v>⬜ Pending</v>
      </c>
      <c r="Q160" s="270" t="s">
        <v>927</v>
      </c>
      <c r="R160" s="271" t="str">
        <f aca="false">IF(COUNTIF('📆 Daily Schedule'!$M$5:$M$427,D160)&gt;0,"⚡ In Swap","✅ Available")</f>
        <v>✅ Available</v>
      </c>
    </row>
    <row r="161" customFormat="false" ht="15.75" hidden="false" customHeight="true" outlineLevel="0" collapsed="false">
      <c r="A161" s="290" t="n">
        <v>158</v>
      </c>
      <c r="B161" s="290" t="s">
        <v>925</v>
      </c>
      <c r="C161" s="76" t="n">
        <v>158</v>
      </c>
      <c r="D161" s="37" t="s">
        <v>930</v>
      </c>
      <c r="E161" s="193" t="s">
        <v>412</v>
      </c>
      <c r="F161" s="39" t="n">
        <v>0.5</v>
      </c>
      <c r="G161" s="40" t="n">
        <v>1</v>
      </c>
      <c r="H161" s="41" t="n">
        <v>1.5</v>
      </c>
      <c r="I161" s="272" t="n">
        <v>15</v>
      </c>
      <c r="J161" s="274" t="s">
        <v>623</v>
      </c>
      <c r="K161" s="273" t="n">
        <v>5</v>
      </c>
      <c r="L161" s="273" t="n">
        <v>5</v>
      </c>
      <c r="M161" s="188" t="s">
        <v>618</v>
      </c>
      <c r="N161" s="76" t="str">
        <f aca="false">IFERROR(IF(COUNTIF('📝 Daily Log'!$E$3:$E$600,D161)&gt;0,IF(COUNTIFS('📝 Daily Log'!$E$3:$E$600,D161,'📝 Daily Log'!$G$3:$G$600,"✅ Done")&gt;0,"✅ Done",IF(COUNTIFS('📝 Daily Log'!$E$3:$E$600,D161,'📝 Daily Log'!$G$3:$G$600,"🔄 Partial")&gt;0,"🔄 Partial","⬜ Pending")),"⬜ Pending"),"⬜ Pending")</f>
        <v>⬜ Pending</v>
      </c>
      <c r="O161" s="269"/>
      <c r="P161" s="76" t="str">
        <f aca="false">IF(O161&lt;&gt;"",O161,N161)</f>
        <v>⬜ Pending</v>
      </c>
      <c r="Q161" s="270" t="s">
        <v>931</v>
      </c>
      <c r="R161" s="271" t="str">
        <f aca="false">IF(COUNTIF('📆 Daily Schedule'!$M$5:$M$427,D161)&gt;0,"⚡ In Swap","✅ Available")</f>
        <v>✅ Available</v>
      </c>
    </row>
    <row r="162" customFormat="false" ht="15.75" hidden="false" customHeight="true" outlineLevel="0" collapsed="false">
      <c r="A162" s="290" t="n">
        <v>159</v>
      </c>
      <c r="B162" s="290" t="s">
        <v>925</v>
      </c>
      <c r="C162" s="291" t="n">
        <v>159</v>
      </c>
      <c r="D162" s="292" t="s">
        <v>932</v>
      </c>
      <c r="E162" s="193" t="s">
        <v>412</v>
      </c>
      <c r="F162" s="39" t="n">
        <v>0.3</v>
      </c>
      <c r="G162" s="40" t="n">
        <v>0.5</v>
      </c>
      <c r="H162" s="41" t="n">
        <v>0.75</v>
      </c>
      <c r="I162" s="293" t="n">
        <v>15</v>
      </c>
      <c r="J162" s="274" t="s">
        <v>623</v>
      </c>
      <c r="K162" s="294" t="n">
        <v>5</v>
      </c>
      <c r="L162" s="294" t="n">
        <v>5</v>
      </c>
      <c r="M162" s="188" t="s">
        <v>618</v>
      </c>
      <c r="N162" s="291" t="str">
        <f aca="false">IFERROR(IF(COUNTIF('📝 Daily Log'!$E$3:$E$600,D162)&gt;0,IF(COUNTIFS('📝 Daily Log'!$E$3:$E$600,D162,'📝 Daily Log'!$G$3:$G$600,"✅ Done")&gt;0,"✅ Done",IF(COUNTIFS('📝 Daily Log'!$E$3:$E$600,D162,'📝 Daily Log'!$G$3:$G$600,"🔄 Partial")&gt;0,"🔄 Partial","⬜ Pending")),"⬜ Pending"),"⬜ Pending")</f>
        <v>⬜ Pending</v>
      </c>
      <c r="O162" s="269"/>
      <c r="P162" s="291" t="str">
        <f aca="false">IF(O162&lt;&gt;"",O162,N162)</f>
        <v>⬜ Pending</v>
      </c>
      <c r="Q162" s="270" t="s">
        <v>933</v>
      </c>
      <c r="R162" s="271" t="str">
        <f aca="false">IF(COUNTIF('📆 Daily Schedule'!$M$5:$M$427,D162)&gt;0,"⚡ In Swap","✅ Available")</f>
        <v>✅ Available</v>
      </c>
    </row>
    <row r="163" customFormat="false" ht="15.75" hidden="false" customHeight="true" outlineLevel="0" collapsed="false">
      <c r="A163" s="290" t="n">
        <v>160</v>
      </c>
      <c r="B163" s="290" t="s">
        <v>925</v>
      </c>
      <c r="C163" s="76" t="n">
        <v>160</v>
      </c>
      <c r="D163" s="37" t="s">
        <v>934</v>
      </c>
      <c r="E163" s="193" t="s">
        <v>412</v>
      </c>
      <c r="F163" s="39" t="n">
        <v>1</v>
      </c>
      <c r="G163" s="40" t="n">
        <v>1.5</v>
      </c>
      <c r="H163" s="41" t="n">
        <v>2</v>
      </c>
      <c r="I163" s="272" t="n">
        <v>14</v>
      </c>
      <c r="J163" s="274" t="s">
        <v>623</v>
      </c>
      <c r="K163" s="273" t="n">
        <v>5</v>
      </c>
      <c r="L163" s="273" t="n">
        <v>4</v>
      </c>
      <c r="M163" s="188" t="s">
        <v>618</v>
      </c>
      <c r="N163" s="76" t="str">
        <f aca="false">IFERROR(IF(COUNTIF('📝 Daily Log'!$E$3:$E$600,D163)&gt;0,IF(COUNTIFS('📝 Daily Log'!$E$3:$E$600,D163,'📝 Daily Log'!$G$3:$G$600,"✅ Done")&gt;0,"✅ Done",IF(COUNTIFS('📝 Daily Log'!$E$3:$E$600,D163,'📝 Daily Log'!$G$3:$G$600,"🔄 Partial")&gt;0,"🔄 Partial","⬜ Pending")),"⬜ Pending"),"⬜ Pending")</f>
        <v>⬜ Pending</v>
      </c>
      <c r="O163" s="269"/>
      <c r="P163" s="76" t="str">
        <f aca="false">IF(O163&lt;&gt;"",O163,N163)</f>
        <v>⬜ Pending</v>
      </c>
      <c r="Q163" s="270" t="s">
        <v>935</v>
      </c>
      <c r="R163" s="271" t="str">
        <f aca="false">IF(COUNTIF('📆 Daily Schedule'!$M$5:$M$427,D163)&gt;0,"⚡ In Swap","✅ Available")</f>
        <v>✅ Available</v>
      </c>
    </row>
    <row r="164" customFormat="false" ht="15.75" hidden="false" customHeight="true" outlineLevel="0" collapsed="false">
      <c r="A164" s="290" t="n">
        <v>161</v>
      </c>
      <c r="B164" s="290" t="s">
        <v>925</v>
      </c>
      <c r="C164" s="291" t="n">
        <v>161</v>
      </c>
      <c r="D164" s="292" t="s">
        <v>936</v>
      </c>
      <c r="E164" s="193" t="s">
        <v>412</v>
      </c>
      <c r="F164" s="39" t="n">
        <v>1.5</v>
      </c>
      <c r="G164" s="40" t="n">
        <v>3</v>
      </c>
      <c r="H164" s="41" t="n">
        <v>5</v>
      </c>
      <c r="I164" s="293" t="n">
        <v>13</v>
      </c>
      <c r="J164" s="274" t="s">
        <v>623</v>
      </c>
      <c r="K164" s="294" t="n">
        <v>5</v>
      </c>
      <c r="L164" s="294" t="n">
        <v>3</v>
      </c>
      <c r="M164" s="182" t="s">
        <v>792</v>
      </c>
      <c r="N164" s="291" t="str">
        <f aca="false">IFERROR(IF(COUNTIF('📝 Daily Log'!$E$3:$E$600,D164)&gt;0,IF(COUNTIFS('📝 Daily Log'!$E$3:$E$600,D164,'📝 Daily Log'!$G$3:$G$600,"✅ Done")&gt;0,"✅ Done",IF(COUNTIFS('📝 Daily Log'!$E$3:$E$600,D164,'📝 Daily Log'!$G$3:$G$600,"🔄 Partial")&gt;0,"🔄 Partial","⬜ Pending")),"⬜ Pending"),"⬜ Pending")</f>
        <v>⬜ Pending</v>
      </c>
      <c r="O164" s="269"/>
      <c r="P164" s="291" t="str">
        <f aca="false">IF(O164&lt;&gt;"",O164,N164)</f>
        <v>⬜ Pending</v>
      </c>
      <c r="Q164" s="270" t="s">
        <v>937</v>
      </c>
      <c r="R164" s="271" t="str">
        <f aca="false">IF(COUNTIF('📆 Daily Schedule'!$M$5:$M$427,D164)&gt;0,"⚡ In Swap","✅ Available")</f>
        <v>✅ Available</v>
      </c>
    </row>
    <row r="165" customFormat="false" ht="15.75" hidden="false" customHeight="true" outlineLevel="0" collapsed="false">
      <c r="A165" s="290" t="n">
        <v>162</v>
      </c>
      <c r="B165" s="290" t="s">
        <v>925</v>
      </c>
      <c r="C165" s="76" t="n">
        <v>162</v>
      </c>
      <c r="D165" s="37" t="s">
        <v>938</v>
      </c>
      <c r="E165" s="193" t="s">
        <v>412</v>
      </c>
      <c r="F165" s="39" t="n">
        <v>0.5</v>
      </c>
      <c r="G165" s="40" t="n">
        <v>1</v>
      </c>
      <c r="H165" s="41" t="n">
        <v>1.5</v>
      </c>
      <c r="I165" s="272" t="n">
        <v>12</v>
      </c>
      <c r="J165" s="274" t="s">
        <v>623</v>
      </c>
      <c r="K165" s="273" t="n">
        <v>4</v>
      </c>
      <c r="L165" s="273" t="n">
        <v>4</v>
      </c>
      <c r="M165" s="188" t="s">
        <v>618</v>
      </c>
      <c r="N165" s="76" t="str">
        <f aca="false">IFERROR(IF(COUNTIF('📝 Daily Log'!$E$3:$E$600,D165)&gt;0,IF(COUNTIFS('📝 Daily Log'!$E$3:$E$600,D165,'📝 Daily Log'!$G$3:$G$600,"✅ Done")&gt;0,"✅ Done",IF(COUNTIFS('📝 Daily Log'!$E$3:$E$600,D165,'📝 Daily Log'!$G$3:$G$600,"🔄 Partial")&gt;0,"🔄 Partial","⬜ Pending")),"⬜ Pending"),"⬜ Pending")</f>
        <v>⬜ Pending</v>
      </c>
      <c r="O165" s="269"/>
      <c r="P165" s="76" t="str">
        <f aca="false">IF(O165&lt;&gt;"",O165,N165)</f>
        <v>⬜ Pending</v>
      </c>
      <c r="Q165" s="270" t="s">
        <v>939</v>
      </c>
      <c r="R165" s="271" t="str">
        <f aca="false">IF(COUNTIF('📆 Daily Schedule'!$M$5:$M$427,D165)&gt;0,"⚡ In Swap","✅ Available")</f>
        <v>✅ Available</v>
      </c>
    </row>
    <row r="166" customFormat="false" ht="15.75" hidden="false" customHeight="true" outlineLevel="0" collapsed="false">
      <c r="A166" s="290" t="n">
        <v>163</v>
      </c>
      <c r="B166" s="290" t="s">
        <v>925</v>
      </c>
      <c r="C166" s="291" t="n">
        <v>163</v>
      </c>
      <c r="D166" s="292" t="s">
        <v>940</v>
      </c>
      <c r="E166" s="193" t="s">
        <v>412</v>
      </c>
      <c r="F166" s="39" t="n">
        <v>0.5</v>
      </c>
      <c r="G166" s="40" t="n">
        <v>1</v>
      </c>
      <c r="H166" s="41" t="n">
        <v>1.5</v>
      </c>
      <c r="I166" s="293" t="n">
        <v>12</v>
      </c>
      <c r="J166" s="274" t="s">
        <v>623</v>
      </c>
      <c r="K166" s="294" t="n">
        <v>4</v>
      </c>
      <c r="L166" s="294" t="n">
        <v>4</v>
      </c>
      <c r="M166" s="188" t="s">
        <v>618</v>
      </c>
      <c r="N166" s="291" t="str">
        <f aca="false">IFERROR(IF(COUNTIF('📝 Daily Log'!$E$3:$E$600,D166)&gt;0,IF(COUNTIFS('📝 Daily Log'!$E$3:$E$600,D166,'📝 Daily Log'!$G$3:$G$600,"✅ Done")&gt;0,"✅ Done",IF(COUNTIFS('📝 Daily Log'!$E$3:$E$600,D166,'📝 Daily Log'!$G$3:$G$600,"🔄 Partial")&gt;0,"🔄 Partial","⬜ Pending")),"⬜ Pending"),"⬜ Pending")</f>
        <v>⬜ Pending</v>
      </c>
      <c r="O166" s="269"/>
      <c r="P166" s="291" t="str">
        <f aca="false">IF(O166&lt;&gt;"",O166,N166)</f>
        <v>⬜ Pending</v>
      </c>
      <c r="Q166" s="270" t="s">
        <v>941</v>
      </c>
      <c r="R166" s="271" t="str">
        <f aca="false">IF(COUNTIF('📆 Daily Schedule'!$M$5:$M$427,D166)&gt;0,"⚡ In Swap","✅ Available")</f>
        <v>✅ Available</v>
      </c>
    </row>
    <row r="167" customFormat="false" ht="15.75" hidden="false" customHeight="true" outlineLevel="0" collapsed="false">
      <c r="A167" s="290" t="n">
        <v>164</v>
      </c>
      <c r="B167" s="290" t="s">
        <v>925</v>
      </c>
      <c r="C167" s="76" t="n">
        <v>164</v>
      </c>
      <c r="D167" s="37" t="s">
        <v>942</v>
      </c>
      <c r="E167" s="193" t="s">
        <v>412</v>
      </c>
      <c r="F167" s="39" t="n">
        <v>0.5</v>
      </c>
      <c r="G167" s="40" t="n">
        <v>1</v>
      </c>
      <c r="H167" s="41" t="n">
        <v>1.5</v>
      </c>
      <c r="I167" s="272" t="n">
        <v>14</v>
      </c>
      <c r="J167" s="274" t="s">
        <v>623</v>
      </c>
      <c r="K167" s="273" t="n">
        <v>5</v>
      </c>
      <c r="L167" s="273" t="n">
        <v>4</v>
      </c>
      <c r="M167" s="188" t="s">
        <v>618</v>
      </c>
      <c r="N167" s="76" t="str">
        <f aca="false">IFERROR(IF(COUNTIF('📝 Daily Log'!$E$3:$E$600,D167)&gt;0,IF(COUNTIFS('📝 Daily Log'!$E$3:$E$600,D167,'📝 Daily Log'!$G$3:$G$600,"✅ Done")&gt;0,"✅ Done",IF(COUNTIFS('📝 Daily Log'!$E$3:$E$600,D167,'📝 Daily Log'!$G$3:$G$600,"🔄 Partial")&gt;0,"🔄 Partial","⬜ Pending")),"⬜ Pending"),"⬜ Pending")</f>
        <v>⬜ Pending</v>
      </c>
      <c r="O167" s="269"/>
      <c r="P167" s="76" t="str">
        <f aca="false">IF(O167&lt;&gt;"",O167,N167)</f>
        <v>⬜ Pending</v>
      </c>
      <c r="Q167" s="270" t="s">
        <v>943</v>
      </c>
      <c r="R167" s="271" t="str">
        <f aca="false">IF(COUNTIF('📆 Daily Schedule'!$M$5:$M$427,D167)&gt;0,"⚡ In Swap","✅ Available")</f>
        <v>✅ Available</v>
      </c>
    </row>
    <row r="168" customFormat="false" ht="15.75" hidden="false" customHeight="true" outlineLevel="0" collapsed="false">
      <c r="A168" s="290" t="n">
        <v>165</v>
      </c>
      <c r="B168" s="290" t="s">
        <v>925</v>
      </c>
      <c r="C168" s="291" t="n">
        <v>165</v>
      </c>
      <c r="D168" s="292" t="s">
        <v>944</v>
      </c>
      <c r="E168" s="193" t="s">
        <v>412</v>
      </c>
      <c r="F168" s="39" t="n">
        <v>0.5</v>
      </c>
      <c r="G168" s="40" t="n">
        <v>1</v>
      </c>
      <c r="H168" s="41" t="n">
        <v>1.5</v>
      </c>
      <c r="I168" s="293" t="n">
        <v>15</v>
      </c>
      <c r="J168" s="274" t="s">
        <v>623</v>
      </c>
      <c r="K168" s="294" t="n">
        <v>5</v>
      </c>
      <c r="L168" s="294" t="n">
        <v>5</v>
      </c>
      <c r="M168" s="188" t="s">
        <v>618</v>
      </c>
      <c r="N168" s="291" t="str">
        <f aca="false">IFERROR(IF(COUNTIF('📝 Daily Log'!$E$3:$E$600,D168)&gt;0,IF(COUNTIFS('📝 Daily Log'!$E$3:$E$600,D168,'📝 Daily Log'!$G$3:$G$600,"✅ Done")&gt;0,"✅ Done",IF(COUNTIFS('📝 Daily Log'!$E$3:$E$600,D168,'📝 Daily Log'!$G$3:$G$600,"🔄 Partial")&gt;0,"🔄 Partial","⬜ Pending")),"⬜ Pending"),"⬜ Pending")</f>
        <v>⬜ Pending</v>
      </c>
      <c r="O168" s="269"/>
      <c r="P168" s="291" t="str">
        <f aca="false">IF(O168&lt;&gt;"",O168,N168)</f>
        <v>⬜ Pending</v>
      </c>
      <c r="Q168" s="270" t="s">
        <v>945</v>
      </c>
      <c r="R168" s="271" t="str">
        <f aca="false">IF(COUNTIF('📆 Daily Schedule'!$M$5:$M$427,D168)&gt;0,"⚡ In Swap","✅ Available")</f>
        <v>✅ Available</v>
      </c>
    </row>
    <row r="169" customFormat="false" ht="15.75" hidden="false" customHeight="true" outlineLevel="0" collapsed="false">
      <c r="A169" s="290" t="n">
        <v>166</v>
      </c>
      <c r="B169" s="290" t="s">
        <v>925</v>
      </c>
      <c r="C169" s="76" t="n">
        <v>166</v>
      </c>
      <c r="D169" s="37" t="s">
        <v>946</v>
      </c>
      <c r="E169" s="193" t="s">
        <v>412</v>
      </c>
      <c r="F169" s="39" t="n">
        <v>0.3</v>
      </c>
      <c r="G169" s="40" t="n">
        <v>0.5</v>
      </c>
      <c r="H169" s="41" t="n">
        <v>0.75</v>
      </c>
      <c r="I169" s="272" t="n">
        <v>14</v>
      </c>
      <c r="J169" s="274" t="s">
        <v>623</v>
      </c>
      <c r="K169" s="273" t="n">
        <v>5</v>
      </c>
      <c r="L169" s="273" t="n">
        <v>4</v>
      </c>
      <c r="M169" s="188" t="s">
        <v>618</v>
      </c>
      <c r="N169" s="76" t="str">
        <f aca="false">IFERROR(IF(COUNTIF('📝 Daily Log'!$E$3:$E$600,D169)&gt;0,IF(COUNTIFS('📝 Daily Log'!$E$3:$E$600,D169,'📝 Daily Log'!$G$3:$G$600,"✅ Done")&gt;0,"✅ Done",IF(COUNTIFS('📝 Daily Log'!$E$3:$E$600,D169,'📝 Daily Log'!$G$3:$G$600,"🔄 Partial")&gt;0,"🔄 Partial","⬜ Pending")),"⬜ Pending"),"⬜ Pending")</f>
        <v>⬜ Pending</v>
      </c>
      <c r="O169" s="269"/>
      <c r="P169" s="76" t="str">
        <f aca="false">IF(O169&lt;&gt;"",O169,N169)</f>
        <v>⬜ Pending</v>
      </c>
      <c r="Q169" s="270" t="s">
        <v>947</v>
      </c>
      <c r="R169" s="271" t="str">
        <f aca="false">IF(COUNTIF('📆 Daily Schedule'!$M$5:$M$427,D169)&gt;0,"⚡ In Swap","✅ Available")</f>
        <v>✅ Available</v>
      </c>
    </row>
    <row r="170" customFormat="false" ht="15.75" hidden="false" customHeight="true" outlineLevel="0" collapsed="false">
      <c r="A170" s="290" t="n">
        <v>167</v>
      </c>
      <c r="B170" s="290" t="s">
        <v>925</v>
      </c>
      <c r="C170" s="291" t="n">
        <v>167</v>
      </c>
      <c r="D170" s="292" t="s">
        <v>948</v>
      </c>
      <c r="E170" s="193" t="s">
        <v>412</v>
      </c>
      <c r="F170" s="39" t="n">
        <v>1</v>
      </c>
      <c r="G170" s="40" t="n">
        <v>1.5</v>
      </c>
      <c r="H170" s="41" t="n">
        <v>2</v>
      </c>
      <c r="I170" s="293" t="n">
        <v>13</v>
      </c>
      <c r="J170" s="274" t="s">
        <v>623</v>
      </c>
      <c r="K170" s="294" t="n">
        <v>5</v>
      </c>
      <c r="L170" s="294" t="n">
        <v>3</v>
      </c>
      <c r="M170" s="188" t="s">
        <v>618</v>
      </c>
      <c r="N170" s="291" t="str">
        <f aca="false">IFERROR(IF(COUNTIF('📝 Daily Log'!$E$3:$E$600,D170)&gt;0,IF(COUNTIFS('📝 Daily Log'!$E$3:$E$600,D170,'📝 Daily Log'!$G$3:$G$600,"✅ Done")&gt;0,"✅ Done",IF(COUNTIFS('📝 Daily Log'!$E$3:$E$600,D170,'📝 Daily Log'!$G$3:$G$600,"🔄 Partial")&gt;0,"🔄 Partial","⬜ Pending")),"⬜ Pending"),"⬜ Pending")</f>
        <v>⬜ Pending</v>
      </c>
      <c r="O170" s="269"/>
      <c r="P170" s="291" t="str">
        <f aca="false">IF(O170&lt;&gt;"",O170,N170)</f>
        <v>⬜ Pending</v>
      </c>
      <c r="Q170" s="270" t="s">
        <v>949</v>
      </c>
      <c r="R170" s="271" t="str">
        <f aca="false">IF(COUNTIF('📆 Daily Schedule'!$M$5:$M$427,D170)&gt;0,"⚡ In Swap","✅ Available")</f>
        <v>✅ Available</v>
      </c>
    </row>
    <row r="171" customFormat="false" ht="15.75" hidden="false" customHeight="true" outlineLevel="0" collapsed="false">
      <c r="A171" s="290" t="n">
        <v>168</v>
      </c>
      <c r="B171" s="290" t="s">
        <v>925</v>
      </c>
      <c r="C171" s="76" t="n">
        <v>168</v>
      </c>
      <c r="D171" s="37" t="s">
        <v>950</v>
      </c>
      <c r="E171" s="193" t="s">
        <v>412</v>
      </c>
      <c r="F171" s="39" t="n">
        <v>1.5</v>
      </c>
      <c r="G171" s="40" t="n">
        <v>3</v>
      </c>
      <c r="H171" s="41" t="n">
        <v>5</v>
      </c>
      <c r="I171" s="272" t="n">
        <v>14</v>
      </c>
      <c r="J171" s="274" t="s">
        <v>623</v>
      </c>
      <c r="K171" s="273" t="n">
        <v>5</v>
      </c>
      <c r="L171" s="273" t="n">
        <v>4</v>
      </c>
      <c r="M171" s="182" t="s">
        <v>636</v>
      </c>
      <c r="N171" s="76" t="str">
        <f aca="false">IFERROR(IF(COUNTIF('📝 Daily Log'!$E$3:$E$600,D171)&gt;0,IF(COUNTIFS('📝 Daily Log'!$E$3:$E$600,D171,'📝 Daily Log'!$G$3:$G$600,"✅ Done")&gt;0,"✅ Done",IF(COUNTIFS('📝 Daily Log'!$E$3:$E$600,D171,'📝 Daily Log'!$G$3:$G$600,"🔄 Partial")&gt;0,"🔄 Partial","⬜ Pending")),"⬜ Pending"),"⬜ Pending")</f>
        <v>⬜ Pending</v>
      </c>
      <c r="O171" s="269"/>
      <c r="P171" s="76" t="str">
        <f aca="false">IF(O171&lt;&gt;"",O171,N171)</f>
        <v>⬜ Pending</v>
      </c>
      <c r="Q171" s="270" t="s">
        <v>951</v>
      </c>
      <c r="R171" s="271" t="str">
        <f aca="false">IF(COUNTIF('📆 Daily Schedule'!$M$5:$M$427,D171)&gt;0,"⚡ In Swap","✅ Available")</f>
        <v>✅ Available</v>
      </c>
    </row>
    <row r="172" customFormat="false" ht="15.75" hidden="false" customHeight="true" outlineLevel="0" collapsed="false">
      <c r="A172" s="290" t="n">
        <v>169</v>
      </c>
      <c r="B172" s="290" t="s">
        <v>925</v>
      </c>
      <c r="C172" s="291" t="n">
        <v>169</v>
      </c>
      <c r="D172" s="292" t="s">
        <v>952</v>
      </c>
      <c r="E172" s="193" t="s">
        <v>412</v>
      </c>
      <c r="F172" s="39" t="n">
        <v>0.5</v>
      </c>
      <c r="G172" s="40" t="n">
        <v>1</v>
      </c>
      <c r="H172" s="41" t="n">
        <v>1.5</v>
      </c>
      <c r="I172" s="293" t="n">
        <v>12</v>
      </c>
      <c r="J172" s="274" t="s">
        <v>623</v>
      </c>
      <c r="K172" s="294" t="n">
        <v>4</v>
      </c>
      <c r="L172" s="294" t="n">
        <v>4</v>
      </c>
      <c r="M172" s="182" t="s">
        <v>792</v>
      </c>
      <c r="N172" s="291" t="str">
        <f aca="false">IFERROR(IF(COUNTIF('📝 Daily Log'!$E$3:$E$600,D172)&gt;0,IF(COUNTIFS('📝 Daily Log'!$E$3:$E$600,D172,'📝 Daily Log'!$G$3:$G$600,"✅ Done")&gt;0,"✅ Done",IF(COUNTIFS('📝 Daily Log'!$E$3:$E$600,D172,'📝 Daily Log'!$G$3:$G$600,"🔄 Partial")&gt;0,"🔄 Partial","⬜ Pending")),"⬜ Pending"),"⬜ Pending")</f>
        <v>⬜ Pending</v>
      </c>
      <c r="O172" s="269"/>
      <c r="P172" s="291" t="str">
        <f aca="false">IF(O172&lt;&gt;"",O172,N172)</f>
        <v>⬜ Pending</v>
      </c>
      <c r="Q172" s="270" t="s">
        <v>953</v>
      </c>
      <c r="R172" s="271" t="str">
        <f aca="false">IF(COUNTIF('📆 Daily Schedule'!$M$5:$M$427,D172)&gt;0,"⚡ In Swap","✅ Available")</f>
        <v>✅ Available</v>
      </c>
    </row>
    <row r="173" customFormat="false" ht="15.75" hidden="false" customHeight="true" outlineLevel="0" collapsed="false">
      <c r="A173" s="290" t="n">
        <v>170</v>
      </c>
      <c r="B173" s="290" t="s">
        <v>925</v>
      </c>
      <c r="C173" s="76" t="n">
        <v>170</v>
      </c>
      <c r="D173" s="37" t="s">
        <v>954</v>
      </c>
      <c r="E173" s="193" t="s">
        <v>412</v>
      </c>
      <c r="F173" s="39" t="n">
        <v>0.5</v>
      </c>
      <c r="G173" s="40" t="n">
        <v>0.75</v>
      </c>
      <c r="H173" s="41" t="n">
        <v>1</v>
      </c>
      <c r="I173" s="272" t="n">
        <v>12</v>
      </c>
      <c r="J173" s="274" t="s">
        <v>623</v>
      </c>
      <c r="K173" s="273" t="n">
        <v>4</v>
      </c>
      <c r="L173" s="273" t="n">
        <v>4</v>
      </c>
      <c r="M173" s="188" t="s">
        <v>618</v>
      </c>
      <c r="N173" s="76" t="str">
        <f aca="false">IFERROR(IF(COUNTIF('📝 Daily Log'!$E$3:$E$600,D173)&gt;0,IF(COUNTIFS('📝 Daily Log'!$E$3:$E$600,D173,'📝 Daily Log'!$G$3:$G$600,"✅ Done")&gt;0,"✅ Done",IF(COUNTIFS('📝 Daily Log'!$E$3:$E$600,D173,'📝 Daily Log'!$G$3:$G$600,"🔄 Partial")&gt;0,"🔄 Partial","⬜ Pending")),"⬜ Pending"),"⬜ Pending")</f>
        <v>⬜ Pending</v>
      </c>
      <c r="O173" s="269"/>
      <c r="P173" s="76" t="str">
        <f aca="false">IF(O173&lt;&gt;"",O173,N173)</f>
        <v>⬜ Pending</v>
      </c>
      <c r="Q173" s="270" t="s">
        <v>955</v>
      </c>
      <c r="R173" s="271" t="str">
        <f aca="false">IF(COUNTIF('📆 Daily Schedule'!$M$5:$M$427,D173)&gt;0,"⚡ In Swap","✅ Available")</f>
        <v>✅ Available</v>
      </c>
    </row>
    <row r="174" customFormat="false" ht="15.75" hidden="false" customHeight="true" outlineLevel="0" collapsed="false">
      <c r="A174" s="290" t="n">
        <v>171</v>
      </c>
      <c r="B174" s="290" t="s">
        <v>925</v>
      </c>
      <c r="C174" s="291" t="n">
        <v>171</v>
      </c>
      <c r="D174" s="292" t="s">
        <v>956</v>
      </c>
      <c r="E174" s="193" t="s">
        <v>412</v>
      </c>
      <c r="F174" s="39" t="n">
        <v>0.5</v>
      </c>
      <c r="G174" s="40" t="n">
        <v>0.75</v>
      </c>
      <c r="H174" s="41" t="n">
        <v>1</v>
      </c>
      <c r="I174" s="293" t="n">
        <v>11</v>
      </c>
      <c r="J174" s="36" t="s">
        <v>617</v>
      </c>
      <c r="K174" s="294" t="n">
        <v>3</v>
      </c>
      <c r="L174" s="294" t="n">
        <v>5</v>
      </c>
      <c r="M174" s="188" t="s">
        <v>618</v>
      </c>
      <c r="N174" s="291" t="str">
        <f aca="false">IFERROR(IF(COUNTIF('📝 Daily Log'!$E$3:$E$600,D174)&gt;0,IF(COUNTIFS('📝 Daily Log'!$E$3:$E$600,D174,'📝 Daily Log'!$G$3:$G$600,"✅ Done")&gt;0,"✅ Done",IF(COUNTIFS('📝 Daily Log'!$E$3:$E$600,D174,'📝 Daily Log'!$G$3:$G$600,"🔄 Partial")&gt;0,"🔄 Partial","⬜ Pending")),"⬜ Pending"),"⬜ Pending")</f>
        <v>⬜ Pending</v>
      </c>
      <c r="O174" s="269"/>
      <c r="P174" s="291" t="str">
        <f aca="false">IF(O174&lt;&gt;"",O174,N174)</f>
        <v>⬜ Pending</v>
      </c>
      <c r="Q174" s="270" t="s">
        <v>957</v>
      </c>
      <c r="R174" s="271" t="str">
        <f aca="false">IF(COUNTIF('📆 Daily Schedule'!$M$5:$M$427,D174)&gt;0,"⚡ In Swap","✅ Available")</f>
        <v>✅ Available</v>
      </c>
    </row>
    <row r="175" customFormat="false" ht="15.75" hidden="false" customHeight="true" outlineLevel="0" collapsed="false">
      <c r="A175" s="290" t="n">
        <v>172</v>
      </c>
      <c r="B175" s="290" t="s">
        <v>925</v>
      </c>
      <c r="C175" s="76" t="n">
        <v>172</v>
      </c>
      <c r="D175" s="37" t="s">
        <v>958</v>
      </c>
      <c r="E175" s="193" t="s">
        <v>412</v>
      </c>
      <c r="F175" s="39" t="n">
        <v>1</v>
      </c>
      <c r="G175" s="40" t="n">
        <v>2</v>
      </c>
      <c r="H175" s="41" t="n">
        <v>3</v>
      </c>
      <c r="I175" s="272" t="n">
        <v>13</v>
      </c>
      <c r="J175" s="274" t="s">
        <v>623</v>
      </c>
      <c r="K175" s="273" t="n">
        <v>5</v>
      </c>
      <c r="L175" s="273" t="n">
        <v>3</v>
      </c>
      <c r="M175" s="182" t="s">
        <v>636</v>
      </c>
      <c r="N175" s="76" t="str">
        <f aca="false">IFERROR(IF(COUNTIF('📝 Daily Log'!$E$3:$E$600,D175)&gt;0,IF(COUNTIFS('📝 Daily Log'!$E$3:$E$600,D175,'📝 Daily Log'!$G$3:$G$600,"✅ Done")&gt;0,"✅ Done",IF(COUNTIFS('📝 Daily Log'!$E$3:$E$600,D175,'📝 Daily Log'!$G$3:$G$600,"🔄 Partial")&gt;0,"🔄 Partial","⬜ Pending")),"⬜ Pending"),"⬜ Pending")</f>
        <v>⬜ Pending</v>
      </c>
      <c r="O175" s="269"/>
      <c r="P175" s="76" t="str">
        <f aca="false">IF(O175&lt;&gt;"",O175,N175)</f>
        <v>⬜ Pending</v>
      </c>
      <c r="Q175" s="270" t="s">
        <v>959</v>
      </c>
      <c r="R175" s="271" t="str">
        <f aca="false">IF(COUNTIF('📆 Daily Schedule'!$M$5:$M$427,D175)&gt;0,"⚡ In Swap","✅ Available")</f>
        <v>✅ Available</v>
      </c>
    </row>
    <row r="176" customFormat="false" ht="15.75" hidden="false" customHeight="true" outlineLevel="0" collapsed="false">
      <c r="A176" s="290" t="n">
        <v>173</v>
      </c>
      <c r="B176" s="290" t="s">
        <v>925</v>
      </c>
      <c r="C176" s="291" t="n">
        <v>173</v>
      </c>
      <c r="D176" s="292" t="s">
        <v>960</v>
      </c>
      <c r="E176" s="193" t="s">
        <v>412</v>
      </c>
      <c r="F176" s="39" t="n">
        <v>0.3</v>
      </c>
      <c r="G176" s="40" t="n">
        <v>0.5</v>
      </c>
      <c r="H176" s="41" t="n">
        <v>0.75</v>
      </c>
      <c r="I176" s="293" t="n">
        <v>15</v>
      </c>
      <c r="J176" s="274" t="s">
        <v>623</v>
      </c>
      <c r="K176" s="294" t="n">
        <v>5</v>
      </c>
      <c r="L176" s="294" t="n">
        <v>5</v>
      </c>
      <c r="M176" s="188" t="s">
        <v>618</v>
      </c>
      <c r="N176" s="291" t="str">
        <f aca="false">IFERROR(IF(COUNTIF('📝 Daily Log'!$E$3:$E$600,D176)&gt;0,IF(COUNTIFS('📝 Daily Log'!$E$3:$E$600,D176,'📝 Daily Log'!$G$3:$G$600,"✅ Done")&gt;0,"✅ Done",IF(COUNTIFS('📝 Daily Log'!$E$3:$E$600,D176,'📝 Daily Log'!$G$3:$G$600,"🔄 Partial")&gt;0,"🔄 Partial","⬜ Pending")),"⬜ Pending"),"⬜ Pending")</f>
        <v>⬜ Pending</v>
      </c>
      <c r="O176" s="269"/>
      <c r="P176" s="291" t="str">
        <f aca="false">IF(O176&lt;&gt;"",O176,N176)</f>
        <v>⬜ Pending</v>
      </c>
      <c r="Q176" s="270" t="s">
        <v>961</v>
      </c>
      <c r="R176" s="271" t="str">
        <f aca="false">IF(COUNTIF('📆 Daily Schedule'!$M$5:$M$427,D176)&gt;0,"⚡ In Swap","✅ Available")</f>
        <v>✅ Available</v>
      </c>
    </row>
    <row r="177" customFormat="false" ht="15.75" hidden="false" customHeight="true" outlineLevel="0" collapsed="false">
      <c r="A177" s="290" t="n">
        <v>174</v>
      </c>
      <c r="B177" s="290" t="s">
        <v>925</v>
      </c>
      <c r="C177" s="76" t="n">
        <v>174</v>
      </c>
      <c r="D177" s="37" t="s">
        <v>962</v>
      </c>
      <c r="E177" s="193" t="s">
        <v>412</v>
      </c>
      <c r="F177" s="39" t="n">
        <v>1.5</v>
      </c>
      <c r="G177" s="40" t="n">
        <v>3</v>
      </c>
      <c r="H177" s="41" t="n">
        <v>5</v>
      </c>
      <c r="I177" s="272" t="n">
        <v>14</v>
      </c>
      <c r="J177" s="274" t="s">
        <v>623</v>
      </c>
      <c r="K177" s="273" t="n">
        <v>5</v>
      </c>
      <c r="L177" s="273" t="n">
        <v>4</v>
      </c>
      <c r="M177" s="188" t="s">
        <v>618</v>
      </c>
      <c r="N177" s="76" t="str">
        <f aca="false">IFERROR(IF(COUNTIF('📝 Daily Log'!$E$3:$E$600,D177)&gt;0,IF(COUNTIFS('📝 Daily Log'!$E$3:$E$600,D177,'📝 Daily Log'!$G$3:$G$600,"✅ Done")&gt;0,"✅ Done",IF(COUNTIFS('📝 Daily Log'!$E$3:$E$600,D177,'📝 Daily Log'!$G$3:$G$600,"🔄 Partial")&gt;0,"🔄 Partial","⬜ Pending")),"⬜ Pending"),"⬜ Pending")</f>
        <v>⬜ Pending</v>
      </c>
      <c r="O177" s="269"/>
      <c r="P177" s="76" t="str">
        <f aca="false">IF(O177&lt;&gt;"",O177,N177)</f>
        <v>⬜ Pending</v>
      </c>
      <c r="Q177" s="270" t="s">
        <v>963</v>
      </c>
      <c r="R177" s="271" t="str">
        <f aca="false">IF(COUNTIF('📆 Daily Schedule'!$M$5:$M$427,D177)&gt;0,"⚡ In Swap","✅ Available")</f>
        <v>✅ Available</v>
      </c>
    </row>
    <row r="178" customFormat="false" ht="15.75" hidden="false" customHeight="true" outlineLevel="0" collapsed="false">
      <c r="A178" s="290" t="n">
        <v>175</v>
      </c>
      <c r="B178" s="290" t="s">
        <v>925</v>
      </c>
      <c r="C178" s="291" t="n">
        <v>175</v>
      </c>
      <c r="D178" s="292" t="s">
        <v>964</v>
      </c>
      <c r="E178" s="193" t="s">
        <v>412</v>
      </c>
      <c r="F178" s="39" t="n">
        <v>1.5</v>
      </c>
      <c r="G178" s="40" t="n">
        <v>3</v>
      </c>
      <c r="H178" s="41" t="n">
        <v>4</v>
      </c>
      <c r="I178" s="293" t="n">
        <v>14</v>
      </c>
      <c r="J178" s="274" t="s">
        <v>623</v>
      </c>
      <c r="K178" s="294" t="n">
        <v>5</v>
      </c>
      <c r="L178" s="294" t="n">
        <v>4</v>
      </c>
      <c r="M178" s="188" t="s">
        <v>618</v>
      </c>
      <c r="N178" s="291" t="str">
        <f aca="false">IFERROR(IF(COUNTIF('📝 Daily Log'!$E$3:$E$600,D178)&gt;0,IF(COUNTIFS('📝 Daily Log'!$E$3:$E$600,D178,'📝 Daily Log'!$G$3:$G$600,"✅ Done")&gt;0,"✅ Done",IF(COUNTIFS('📝 Daily Log'!$E$3:$E$600,D178,'📝 Daily Log'!$G$3:$G$600,"🔄 Partial")&gt;0,"🔄 Partial","⬜ Pending")),"⬜ Pending"),"⬜ Pending")</f>
        <v>⬜ Pending</v>
      </c>
      <c r="O178" s="269"/>
      <c r="P178" s="291" t="str">
        <f aca="false">IF(O178&lt;&gt;"",O178,N178)</f>
        <v>⬜ Pending</v>
      </c>
      <c r="Q178" s="270" t="s">
        <v>965</v>
      </c>
      <c r="R178" s="271" t="str">
        <f aca="false">IF(COUNTIF('📆 Daily Schedule'!$M$5:$M$427,D178)&gt;0,"⚡ In Swap","✅ Available")</f>
        <v>✅ Available</v>
      </c>
    </row>
    <row r="179" customFormat="false" ht="15.75" hidden="false" customHeight="true" outlineLevel="0" collapsed="false">
      <c r="A179" s="183" t="n">
        <v>176</v>
      </c>
      <c r="B179" s="183" t="s">
        <v>966</v>
      </c>
      <c r="C179" s="76" t="n">
        <v>176</v>
      </c>
      <c r="D179" s="37" t="s">
        <v>967</v>
      </c>
      <c r="E179" s="196" t="s">
        <v>425</v>
      </c>
      <c r="F179" s="39" t="n">
        <v>0.5</v>
      </c>
      <c r="G179" s="40" t="n">
        <v>1</v>
      </c>
      <c r="H179" s="41" t="n">
        <v>1.5</v>
      </c>
      <c r="I179" s="272" t="n">
        <v>13</v>
      </c>
      <c r="J179" s="274" t="s">
        <v>623</v>
      </c>
      <c r="K179" s="273" t="n">
        <v>5</v>
      </c>
      <c r="L179" s="273" t="n">
        <v>3</v>
      </c>
      <c r="M179" s="182" t="s">
        <v>636</v>
      </c>
      <c r="N179" s="76" t="str">
        <f aca="false">IFERROR(IF(COUNTIF('📝 Daily Log'!$E$3:$E$600,D179)&gt;0,IF(COUNTIFS('📝 Daily Log'!$E$3:$E$600,D179,'📝 Daily Log'!$G$3:$G$600,"✅ Done")&gt;0,"✅ Done",IF(COUNTIFS('📝 Daily Log'!$E$3:$E$600,D179,'📝 Daily Log'!$G$3:$G$600,"🔄 Partial")&gt;0,"🔄 Partial","⬜ Pending")),"⬜ Pending"),"⬜ Pending")</f>
        <v>⬜ Pending</v>
      </c>
      <c r="O179" s="269"/>
      <c r="P179" s="76" t="str">
        <f aca="false">IF(O179&lt;&gt;"",O179,N179)</f>
        <v>⬜ Pending</v>
      </c>
      <c r="Q179" s="270" t="s">
        <v>968</v>
      </c>
      <c r="R179" s="271" t="str">
        <f aca="false">IF(COUNTIF('📆 Daily Schedule'!$M$5:$M$427,D179)&gt;0,"⚡ In Swap","✅ Available")</f>
        <v>✅ Available</v>
      </c>
    </row>
    <row r="180" customFormat="false" ht="15.75" hidden="false" customHeight="true" outlineLevel="0" collapsed="false">
      <c r="A180" s="183" t="n">
        <v>177</v>
      </c>
      <c r="B180" s="183" t="s">
        <v>966</v>
      </c>
      <c r="C180" s="295" t="n">
        <v>177</v>
      </c>
      <c r="D180" s="296" t="s">
        <v>969</v>
      </c>
      <c r="E180" s="196" t="s">
        <v>425</v>
      </c>
      <c r="F180" s="39" t="n">
        <v>0.5</v>
      </c>
      <c r="G180" s="40" t="n">
        <v>1</v>
      </c>
      <c r="H180" s="41" t="n">
        <v>1.5</v>
      </c>
      <c r="I180" s="297" t="n">
        <v>13</v>
      </c>
      <c r="J180" s="274" t="s">
        <v>623</v>
      </c>
      <c r="K180" s="298" t="n">
        <v>5</v>
      </c>
      <c r="L180" s="298" t="n">
        <v>3</v>
      </c>
      <c r="M180" s="182" t="s">
        <v>792</v>
      </c>
      <c r="N180" s="295" t="str">
        <f aca="false">IFERROR(IF(COUNTIF('📝 Daily Log'!$E$3:$E$600,D180)&gt;0,IF(COUNTIFS('📝 Daily Log'!$E$3:$E$600,D180,'📝 Daily Log'!$G$3:$G$600,"✅ Done")&gt;0,"✅ Done",IF(COUNTIFS('📝 Daily Log'!$E$3:$E$600,D180,'📝 Daily Log'!$G$3:$G$600,"🔄 Partial")&gt;0,"🔄 Partial","⬜ Pending")),"⬜ Pending"),"⬜ Pending")</f>
        <v>⬜ Pending</v>
      </c>
      <c r="O180" s="269"/>
      <c r="P180" s="295" t="str">
        <f aca="false">IF(O180&lt;&gt;"",O180,N180)</f>
        <v>⬜ Pending</v>
      </c>
      <c r="Q180" s="270" t="s">
        <v>970</v>
      </c>
      <c r="R180" s="271" t="str">
        <f aca="false">IF(COUNTIF('📆 Daily Schedule'!$M$5:$M$427,D180)&gt;0,"⚡ In Swap","✅ Available")</f>
        <v>✅ Available</v>
      </c>
    </row>
    <row r="181" customFormat="false" ht="15.75" hidden="false" customHeight="true" outlineLevel="0" collapsed="false">
      <c r="A181" s="183" t="n">
        <v>178</v>
      </c>
      <c r="B181" s="183" t="s">
        <v>966</v>
      </c>
      <c r="C181" s="76" t="n">
        <v>178</v>
      </c>
      <c r="D181" s="37" t="s">
        <v>971</v>
      </c>
      <c r="E181" s="196" t="s">
        <v>425</v>
      </c>
      <c r="F181" s="39" t="n">
        <v>0.5</v>
      </c>
      <c r="G181" s="40" t="n">
        <v>1</v>
      </c>
      <c r="H181" s="41" t="n">
        <v>1.5</v>
      </c>
      <c r="I181" s="272" t="n">
        <v>11</v>
      </c>
      <c r="J181" s="36" t="s">
        <v>617</v>
      </c>
      <c r="K181" s="273" t="n">
        <v>4</v>
      </c>
      <c r="L181" s="273" t="n">
        <v>3</v>
      </c>
      <c r="M181" s="188" t="s">
        <v>618</v>
      </c>
      <c r="N181" s="76" t="str">
        <f aca="false">IFERROR(IF(COUNTIF('📝 Daily Log'!$E$3:$E$600,D181)&gt;0,IF(COUNTIFS('📝 Daily Log'!$E$3:$E$600,D181,'📝 Daily Log'!$G$3:$G$600,"✅ Done")&gt;0,"✅ Done",IF(COUNTIFS('📝 Daily Log'!$E$3:$E$600,D181,'📝 Daily Log'!$G$3:$G$600,"🔄 Partial")&gt;0,"🔄 Partial","⬜ Pending")),"⬜ Pending"),"⬜ Pending")</f>
        <v>⬜ Pending</v>
      </c>
      <c r="O181" s="269"/>
      <c r="P181" s="76" t="str">
        <f aca="false">IF(O181&lt;&gt;"",O181,N181)</f>
        <v>⬜ Pending</v>
      </c>
      <c r="Q181" s="270" t="s">
        <v>972</v>
      </c>
      <c r="R181" s="271" t="str">
        <f aca="false">IF(COUNTIF('📆 Daily Schedule'!$M$5:$M$427,D181)&gt;0,"⚡ In Swap","✅ Available")</f>
        <v>✅ Available</v>
      </c>
    </row>
    <row r="182" customFormat="false" ht="15.75" hidden="false" customHeight="true" outlineLevel="0" collapsed="false">
      <c r="A182" s="183" t="n">
        <v>179</v>
      </c>
      <c r="B182" s="183" t="s">
        <v>966</v>
      </c>
      <c r="C182" s="295" t="n">
        <v>179</v>
      </c>
      <c r="D182" s="296" t="s">
        <v>973</v>
      </c>
      <c r="E182" s="196" t="s">
        <v>425</v>
      </c>
      <c r="F182" s="39" t="n">
        <v>0.5</v>
      </c>
      <c r="G182" s="40" t="n">
        <v>1</v>
      </c>
      <c r="H182" s="41" t="n">
        <v>1.5</v>
      </c>
      <c r="I182" s="297" t="n">
        <v>13</v>
      </c>
      <c r="J182" s="274" t="s">
        <v>623</v>
      </c>
      <c r="K182" s="298" t="n">
        <v>5</v>
      </c>
      <c r="L182" s="298" t="n">
        <v>3</v>
      </c>
      <c r="M182" s="182" t="s">
        <v>636</v>
      </c>
      <c r="N182" s="295" t="str">
        <f aca="false">IFERROR(IF(COUNTIF('📝 Daily Log'!$E$3:$E$600,D182)&gt;0,IF(COUNTIFS('📝 Daily Log'!$E$3:$E$600,D182,'📝 Daily Log'!$G$3:$G$600,"✅ Done")&gt;0,"✅ Done",IF(COUNTIFS('📝 Daily Log'!$E$3:$E$600,D182,'📝 Daily Log'!$G$3:$G$600,"🔄 Partial")&gt;0,"🔄 Partial","⬜ Pending")),"⬜ Pending"),"⬜ Pending")</f>
        <v>⬜ Pending</v>
      </c>
      <c r="O182" s="269"/>
      <c r="P182" s="295" t="str">
        <f aca="false">IF(O182&lt;&gt;"",O182,N182)</f>
        <v>⬜ Pending</v>
      </c>
      <c r="Q182" s="270" t="s">
        <v>974</v>
      </c>
      <c r="R182" s="271" t="str">
        <f aca="false">IF(COUNTIF('📆 Daily Schedule'!$M$5:$M$427,D182)&gt;0,"⚡ In Swap","✅ Available")</f>
        <v>✅ Available</v>
      </c>
    </row>
    <row r="183" customFormat="false" ht="15.75" hidden="false" customHeight="true" outlineLevel="0" collapsed="false">
      <c r="A183" s="183" t="n">
        <v>180</v>
      </c>
      <c r="B183" s="183" t="s">
        <v>966</v>
      </c>
      <c r="C183" s="76" t="n">
        <v>180</v>
      </c>
      <c r="D183" s="37" t="s">
        <v>975</v>
      </c>
      <c r="E183" s="196" t="s">
        <v>425</v>
      </c>
      <c r="F183" s="39" t="n">
        <v>0.3</v>
      </c>
      <c r="G183" s="40" t="n">
        <v>0.5</v>
      </c>
      <c r="H183" s="41" t="n">
        <v>0.75</v>
      </c>
      <c r="I183" s="272" t="n">
        <v>14</v>
      </c>
      <c r="J183" s="274" t="s">
        <v>623</v>
      </c>
      <c r="K183" s="273" t="n">
        <v>5</v>
      </c>
      <c r="L183" s="273" t="n">
        <v>4</v>
      </c>
      <c r="M183" s="188" t="s">
        <v>618</v>
      </c>
      <c r="N183" s="76" t="str">
        <f aca="false">IFERROR(IF(COUNTIF('📝 Daily Log'!$E$3:$E$600,D183)&gt;0,IF(COUNTIFS('📝 Daily Log'!$E$3:$E$600,D183,'📝 Daily Log'!$G$3:$G$600,"✅ Done")&gt;0,"✅ Done",IF(COUNTIFS('📝 Daily Log'!$E$3:$E$600,D183,'📝 Daily Log'!$G$3:$G$600,"🔄 Partial")&gt;0,"🔄 Partial","⬜ Pending")),"⬜ Pending"),"⬜ Pending")</f>
        <v>⬜ Pending</v>
      </c>
      <c r="O183" s="269"/>
      <c r="P183" s="76" t="str">
        <f aca="false">IF(O183&lt;&gt;"",O183,N183)</f>
        <v>⬜ Pending</v>
      </c>
      <c r="Q183" s="270" t="s">
        <v>864</v>
      </c>
      <c r="R183" s="271" t="str">
        <f aca="false">IF(COUNTIF('📆 Daily Schedule'!$M$5:$M$427,D183)&gt;0,"⚡ In Swap","✅ Available")</f>
        <v>✅ Available</v>
      </c>
    </row>
    <row r="184" customFormat="false" ht="15.75" hidden="false" customHeight="true" outlineLevel="0" collapsed="false">
      <c r="A184" s="183" t="n">
        <v>181</v>
      </c>
      <c r="B184" s="183" t="s">
        <v>966</v>
      </c>
      <c r="C184" s="295" t="n">
        <v>181</v>
      </c>
      <c r="D184" s="296" t="s">
        <v>976</v>
      </c>
      <c r="E184" s="196" t="s">
        <v>425</v>
      </c>
      <c r="F184" s="39" t="n">
        <v>1</v>
      </c>
      <c r="G184" s="40" t="n">
        <v>1.5</v>
      </c>
      <c r="H184" s="41" t="n">
        <v>2</v>
      </c>
      <c r="I184" s="297" t="n">
        <v>13</v>
      </c>
      <c r="J184" s="274" t="s">
        <v>623</v>
      </c>
      <c r="K184" s="298" t="n">
        <v>5</v>
      </c>
      <c r="L184" s="298" t="n">
        <v>3</v>
      </c>
      <c r="M184" s="182" t="s">
        <v>636</v>
      </c>
      <c r="N184" s="295" t="str">
        <f aca="false">IFERROR(IF(COUNTIF('📝 Daily Log'!$E$3:$E$600,D184)&gt;0,IF(COUNTIFS('📝 Daily Log'!$E$3:$E$600,D184,'📝 Daily Log'!$G$3:$G$600,"✅ Done")&gt;0,"✅ Done",IF(COUNTIFS('📝 Daily Log'!$E$3:$E$600,D184,'📝 Daily Log'!$G$3:$G$600,"🔄 Partial")&gt;0,"🔄 Partial","⬜ Pending")),"⬜ Pending"),"⬜ Pending")</f>
        <v>⬜ Pending</v>
      </c>
      <c r="O184" s="269"/>
      <c r="P184" s="295" t="str">
        <f aca="false">IF(O184&lt;&gt;"",O184,N184)</f>
        <v>⬜ Pending</v>
      </c>
      <c r="Q184" s="270" t="s">
        <v>974</v>
      </c>
      <c r="R184" s="271" t="str">
        <f aca="false">IF(COUNTIF('📆 Daily Schedule'!$M$5:$M$427,D184)&gt;0,"⚡ In Swap","✅ Available")</f>
        <v>✅ Available</v>
      </c>
    </row>
    <row r="185" customFormat="false" ht="15.75" hidden="false" customHeight="true" outlineLevel="0" collapsed="false">
      <c r="A185" s="183" t="n">
        <v>182</v>
      </c>
      <c r="B185" s="183" t="s">
        <v>966</v>
      </c>
      <c r="C185" s="76" t="n">
        <v>182</v>
      </c>
      <c r="D185" s="37" t="s">
        <v>977</v>
      </c>
      <c r="E185" s="196" t="s">
        <v>425</v>
      </c>
      <c r="F185" s="39" t="n">
        <v>1.5</v>
      </c>
      <c r="G185" s="40" t="n">
        <v>3</v>
      </c>
      <c r="H185" s="41" t="n">
        <v>5</v>
      </c>
      <c r="I185" s="272" t="n">
        <v>13</v>
      </c>
      <c r="J185" s="274" t="s">
        <v>623</v>
      </c>
      <c r="K185" s="273" t="n">
        <v>5</v>
      </c>
      <c r="L185" s="273" t="n">
        <v>3</v>
      </c>
      <c r="M185" s="182" t="s">
        <v>792</v>
      </c>
      <c r="N185" s="76" t="str">
        <f aca="false">IFERROR(IF(COUNTIF('📝 Daily Log'!$E$3:$E$600,D185)&gt;0,IF(COUNTIFS('📝 Daily Log'!$E$3:$E$600,D185,'📝 Daily Log'!$G$3:$G$600,"✅ Done")&gt;0,"✅ Done",IF(COUNTIFS('📝 Daily Log'!$E$3:$E$600,D185,'📝 Daily Log'!$G$3:$G$600,"🔄 Partial")&gt;0,"🔄 Partial","⬜ Pending")),"⬜ Pending"),"⬜ Pending")</f>
        <v>⬜ Pending</v>
      </c>
      <c r="O185" s="269"/>
      <c r="P185" s="76" t="str">
        <f aca="false">IF(O185&lt;&gt;"",O185,N185)</f>
        <v>⬜ Pending</v>
      </c>
      <c r="Q185" s="270" t="s">
        <v>978</v>
      </c>
      <c r="R185" s="271" t="str">
        <f aca="false">IF(COUNTIF('📆 Daily Schedule'!$M$5:$M$427,D185)&gt;0,"⚡ In Swap","✅ Available")</f>
        <v>✅ Available</v>
      </c>
    </row>
    <row r="186" customFormat="false" ht="15.75" hidden="false" customHeight="true" outlineLevel="0" collapsed="false">
      <c r="A186" s="183" t="n">
        <v>183</v>
      </c>
      <c r="B186" s="183" t="s">
        <v>966</v>
      </c>
      <c r="C186" s="295" t="n">
        <v>183</v>
      </c>
      <c r="D186" s="296" t="s">
        <v>979</v>
      </c>
      <c r="E186" s="196" t="s">
        <v>425</v>
      </c>
      <c r="F186" s="39" t="n">
        <v>0.5</v>
      </c>
      <c r="G186" s="40" t="n">
        <v>0.75</v>
      </c>
      <c r="H186" s="41" t="n">
        <v>1</v>
      </c>
      <c r="I186" s="297" t="n">
        <v>11</v>
      </c>
      <c r="J186" s="36" t="s">
        <v>617</v>
      </c>
      <c r="K186" s="298" t="n">
        <v>4</v>
      </c>
      <c r="L186" s="298" t="n">
        <v>3</v>
      </c>
      <c r="M186" s="188" t="s">
        <v>618</v>
      </c>
      <c r="N186" s="295" t="str">
        <f aca="false">IFERROR(IF(COUNTIF('📝 Daily Log'!$E$3:$E$600,D186)&gt;0,IF(COUNTIFS('📝 Daily Log'!$E$3:$E$600,D186,'📝 Daily Log'!$G$3:$G$600,"✅ Done")&gt;0,"✅ Done",IF(COUNTIFS('📝 Daily Log'!$E$3:$E$600,D186,'📝 Daily Log'!$G$3:$G$600,"🔄 Partial")&gt;0,"🔄 Partial","⬜ Pending")),"⬜ Pending"),"⬜ Pending")</f>
        <v>⬜ Pending</v>
      </c>
      <c r="O186" s="269"/>
      <c r="P186" s="295" t="str">
        <f aca="false">IF(O186&lt;&gt;"",O186,N186)</f>
        <v>⬜ Pending</v>
      </c>
      <c r="Q186" s="270" t="s">
        <v>980</v>
      </c>
      <c r="R186" s="271" t="str">
        <f aca="false">IF(COUNTIF('📆 Daily Schedule'!$M$5:$M$427,D186)&gt;0,"⚡ In Swap","✅ Available")</f>
        <v>✅ Available</v>
      </c>
    </row>
    <row r="187" customFormat="false" ht="15.75" hidden="false" customHeight="true" outlineLevel="0" collapsed="false">
      <c r="A187" s="183" t="n">
        <v>184</v>
      </c>
      <c r="B187" s="183" t="s">
        <v>966</v>
      </c>
      <c r="C187" s="76" t="n">
        <v>184</v>
      </c>
      <c r="D187" s="37" t="s">
        <v>981</v>
      </c>
      <c r="E187" s="196" t="s">
        <v>425</v>
      </c>
      <c r="F187" s="39" t="n">
        <v>0.5</v>
      </c>
      <c r="G187" s="40" t="n">
        <v>1</v>
      </c>
      <c r="H187" s="41" t="n">
        <v>1.5</v>
      </c>
      <c r="I187" s="272" t="n">
        <v>13</v>
      </c>
      <c r="J187" s="274" t="s">
        <v>623</v>
      </c>
      <c r="K187" s="273" t="n">
        <v>5</v>
      </c>
      <c r="L187" s="273" t="n">
        <v>3</v>
      </c>
      <c r="M187" s="188" t="s">
        <v>618</v>
      </c>
      <c r="N187" s="76" t="str">
        <f aca="false">IFERROR(IF(COUNTIF('📝 Daily Log'!$E$3:$E$600,D187)&gt;0,IF(COUNTIFS('📝 Daily Log'!$E$3:$E$600,D187,'📝 Daily Log'!$G$3:$G$600,"✅ Done")&gt;0,"✅ Done",IF(COUNTIFS('📝 Daily Log'!$E$3:$E$600,D187,'📝 Daily Log'!$G$3:$G$600,"🔄 Partial")&gt;0,"🔄 Partial","⬜ Pending")),"⬜ Pending"),"⬜ Pending")</f>
        <v>⬜ Pending</v>
      </c>
      <c r="O187" s="269"/>
      <c r="P187" s="76" t="str">
        <f aca="false">IF(O187&lt;&gt;"",O187,N187)</f>
        <v>⬜ Pending</v>
      </c>
      <c r="Q187" s="270" t="s">
        <v>982</v>
      </c>
      <c r="R187" s="271" t="str">
        <f aca="false">IF(COUNTIF('📆 Daily Schedule'!$M$5:$M$427,D187)&gt;0,"⚡ In Swap","✅ Available")</f>
        <v>✅ Available</v>
      </c>
    </row>
    <row r="188" customFormat="false" ht="15.75" hidden="false" customHeight="true" outlineLevel="0" collapsed="false">
      <c r="A188" s="183" t="n">
        <v>185</v>
      </c>
      <c r="B188" s="183" t="s">
        <v>966</v>
      </c>
      <c r="C188" s="295" t="n">
        <v>185</v>
      </c>
      <c r="D188" s="296" t="s">
        <v>983</v>
      </c>
      <c r="E188" s="196" t="s">
        <v>425</v>
      </c>
      <c r="F188" s="39" t="n">
        <v>0.5</v>
      </c>
      <c r="G188" s="40" t="n">
        <v>0.75</v>
      </c>
      <c r="H188" s="41" t="n">
        <v>1</v>
      </c>
      <c r="I188" s="297" t="n">
        <v>10</v>
      </c>
      <c r="J188" s="36" t="s">
        <v>617</v>
      </c>
      <c r="K188" s="298" t="n">
        <v>4</v>
      </c>
      <c r="L188" s="298" t="n">
        <v>2</v>
      </c>
      <c r="M188" s="188" t="s">
        <v>618</v>
      </c>
      <c r="N188" s="295" t="str">
        <f aca="false">IFERROR(IF(COUNTIF('📝 Daily Log'!$E$3:$E$600,D188)&gt;0,IF(COUNTIFS('📝 Daily Log'!$E$3:$E$600,D188,'📝 Daily Log'!$G$3:$G$600,"✅ Done")&gt;0,"✅ Done",IF(COUNTIFS('📝 Daily Log'!$E$3:$E$600,D188,'📝 Daily Log'!$G$3:$G$600,"🔄 Partial")&gt;0,"🔄 Partial","⬜ Pending")),"⬜ Pending"),"⬜ Pending")</f>
        <v>⬜ Pending</v>
      </c>
      <c r="O188" s="269"/>
      <c r="P188" s="295" t="str">
        <f aca="false">IF(O188&lt;&gt;"",O188,N188)</f>
        <v>⬜ Pending</v>
      </c>
      <c r="Q188" s="270" t="s">
        <v>984</v>
      </c>
      <c r="R188" s="271" t="str">
        <f aca="false">IF(COUNTIF('📆 Daily Schedule'!$M$5:$M$427,D188)&gt;0,"⚡ In Swap","✅ Available")</f>
        <v>✅ Available</v>
      </c>
    </row>
    <row r="189" customFormat="false" ht="15.75" hidden="false" customHeight="true" outlineLevel="0" collapsed="false">
      <c r="A189" s="183" t="n">
        <v>186</v>
      </c>
      <c r="B189" s="183" t="s">
        <v>966</v>
      </c>
      <c r="C189" s="76" t="n">
        <v>186</v>
      </c>
      <c r="D189" s="37" t="s">
        <v>985</v>
      </c>
      <c r="E189" s="196" t="s">
        <v>425</v>
      </c>
      <c r="F189" s="39" t="n">
        <v>0.5</v>
      </c>
      <c r="G189" s="40" t="n">
        <v>1</v>
      </c>
      <c r="H189" s="41" t="n">
        <v>1.5</v>
      </c>
      <c r="I189" s="272" t="n">
        <v>14</v>
      </c>
      <c r="J189" s="274" t="s">
        <v>623</v>
      </c>
      <c r="K189" s="273" t="n">
        <v>5</v>
      </c>
      <c r="L189" s="273" t="n">
        <v>4</v>
      </c>
      <c r="M189" s="188" t="s">
        <v>618</v>
      </c>
      <c r="N189" s="76" t="str">
        <f aca="false">IFERROR(IF(COUNTIF('📝 Daily Log'!$E$3:$E$600,D189)&gt;0,IF(COUNTIFS('📝 Daily Log'!$E$3:$E$600,D189,'📝 Daily Log'!$G$3:$G$600,"✅ Done")&gt;0,"✅ Done",IF(COUNTIFS('📝 Daily Log'!$E$3:$E$600,D189,'📝 Daily Log'!$G$3:$G$600,"🔄 Partial")&gt;0,"🔄 Partial","⬜ Pending")),"⬜ Pending"),"⬜ Pending")</f>
        <v>⬜ Pending</v>
      </c>
      <c r="O189" s="269"/>
      <c r="P189" s="76" t="str">
        <f aca="false">IF(O189&lt;&gt;"",O189,N189)</f>
        <v>⬜ Pending</v>
      </c>
      <c r="Q189" s="270" t="s">
        <v>986</v>
      </c>
      <c r="R189" s="271" t="str">
        <f aca="false">IF(COUNTIF('📆 Daily Schedule'!$M$5:$M$427,D189)&gt;0,"⚡ In Swap","✅ Available")</f>
        <v>✅ Available</v>
      </c>
    </row>
    <row r="190" customFormat="false" ht="15.75" hidden="false" customHeight="true" outlineLevel="0" collapsed="false">
      <c r="A190" s="183" t="n">
        <v>187</v>
      </c>
      <c r="B190" s="183" t="s">
        <v>966</v>
      </c>
      <c r="C190" s="295" t="n">
        <v>187</v>
      </c>
      <c r="D190" s="296" t="s">
        <v>987</v>
      </c>
      <c r="E190" s="196" t="s">
        <v>425</v>
      </c>
      <c r="F190" s="39" t="n">
        <v>0.3</v>
      </c>
      <c r="G190" s="40" t="n">
        <v>0.5</v>
      </c>
      <c r="H190" s="41" t="n">
        <v>0.75</v>
      </c>
      <c r="I190" s="297" t="n">
        <v>14</v>
      </c>
      <c r="J190" s="274" t="s">
        <v>623</v>
      </c>
      <c r="K190" s="298" t="n">
        <v>5</v>
      </c>
      <c r="L190" s="298" t="n">
        <v>4</v>
      </c>
      <c r="M190" s="188" t="s">
        <v>618</v>
      </c>
      <c r="N190" s="295" t="str">
        <f aca="false">IFERROR(IF(COUNTIF('📝 Daily Log'!$E$3:$E$600,D190)&gt;0,IF(COUNTIFS('📝 Daily Log'!$E$3:$E$600,D190,'📝 Daily Log'!$G$3:$G$600,"✅ Done")&gt;0,"✅ Done",IF(COUNTIFS('📝 Daily Log'!$E$3:$E$600,D190,'📝 Daily Log'!$G$3:$G$600,"🔄 Partial")&gt;0,"🔄 Partial","⬜ Pending")),"⬜ Pending"),"⬜ Pending")</f>
        <v>⬜ Pending</v>
      </c>
      <c r="O190" s="269"/>
      <c r="P190" s="295" t="str">
        <f aca="false">IF(O190&lt;&gt;"",O190,N190)</f>
        <v>⬜ Pending</v>
      </c>
      <c r="Q190" s="270" t="s">
        <v>988</v>
      </c>
      <c r="R190" s="271" t="str">
        <f aca="false">IF(COUNTIF('📆 Daily Schedule'!$M$5:$M$427,D190)&gt;0,"⚡ In Swap","✅ Available")</f>
        <v>✅ Available</v>
      </c>
    </row>
    <row r="191" customFormat="false" ht="15.75" hidden="false" customHeight="true" outlineLevel="0" collapsed="false">
      <c r="A191" s="183" t="n">
        <v>188</v>
      </c>
      <c r="B191" s="183" t="s">
        <v>966</v>
      </c>
      <c r="C191" s="76" t="n">
        <v>188</v>
      </c>
      <c r="D191" s="37" t="s">
        <v>989</v>
      </c>
      <c r="E191" s="196" t="s">
        <v>425</v>
      </c>
      <c r="F191" s="39" t="n">
        <v>1</v>
      </c>
      <c r="G191" s="40" t="n">
        <v>1.5</v>
      </c>
      <c r="H191" s="41" t="n">
        <v>2</v>
      </c>
      <c r="I191" s="272" t="n">
        <v>11</v>
      </c>
      <c r="J191" s="36" t="s">
        <v>617</v>
      </c>
      <c r="K191" s="273" t="n">
        <v>4</v>
      </c>
      <c r="L191" s="273" t="n">
        <v>3</v>
      </c>
      <c r="M191" s="188" t="s">
        <v>618</v>
      </c>
      <c r="N191" s="76" t="str">
        <f aca="false">IFERROR(IF(COUNTIF('📝 Daily Log'!$E$3:$E$600,D191)&gt;0,IF(COUNTIFS('📝 Daily Log'!$E$3:$E$600,D191,'📝 Daily Log'!$G$3:$G$600,"✅ Done")&gt;0,"✅ Done",IF(COUNTIFS('📝 Daily Log'!$E$3:$E$600,D191,'📝 Daily Log'!$G$3:$G$600,"🔄 Partial")&gt;0,"🔄 Partial","⬜ Pending")),"⬜ Pending"),"⬜ Pending")</f>
        <v>⬜ Pending</v>
      </c>
      <c r="O191" s="269"/>
      <c r="P191" s="76" t="str">
        <f aca="false">IF(O191&lt;&gt;"",O191,N191)</f>
        <v>⬜ Pending</v>
      </c>
      <c r="Q191" s="270" t="s">
        <v>990</v>
      </c>
      <c r="R191" s="271" t="str">
        <f aca="false">IF(COUNTIF('📆 Daily Schedule'!$M$5:$M$427,D191)&gt;0,"⚡ In Swap","✅ Available")</f>
        <v>✅ Available</v>
      </c>
    </row>
    <row r="192" customFormat="false" ht="15.75" hidden="false" customHeight="true" outlineLevel="0" collapsed="false">
      <c r="A192" s="183" t="n">
        <v>189</v>
      </c>
      <c r="B192" s="183" t="s">
        <v>966</v>
      </c>
      <c r="C192" s="295" t="n">
        <v>189</v>
      </c>
      <c r="D192" s="296" t="s">
        <v>991</v>
      </c>
      <c r="E192" s="196" t="s">
        <v>425</v>
      </c>
      <c r="F192" s="39" t="n">
        <v>1.5</v>
      </c>
      <c r="G192" s="40" t="n">
        <v>3</v>
      </c>
      <c r="H192" s="41" t="n">
        <v>5</v>
      </c>
      <c r="I192" s="297" t="n">
        <v>13</v>
      </c>
      <c r="J192" s="274" t="s">
        <v>623</v>
      </c>
      <c r="K192" s="298" t="n">
        <v>5</v>
      </c>
      <c r="L192" s="298" t="n">
        <v>3</v>
      </c>
      <c r="M192" s="188" t="s">
        <v>618</v>
      </c>
      <c r="N192" s="295" t="str">
        <f aca="false">IFERROR(IF(COUNTIF('📝 Daily Log'!$E$3:$E$600,D192)&gt;0,IF(COUNTIFS('📝 Daily Log'!$E$3:$E$600,D192,'📝 Daily Log'!$G$3:$G$600,"✅ Done")&gt;0,"✅ Done",IF(COUNTIFS('📝 Daily Log'!$E$3:$E$600,D192,'📝 Daily Log'!$G$3:$G$600,"🔄 Partial")&gt;0,"🔄 Partial","⬜ Pending")),"⬜ Pending"),"⬜ Pending")</f>
        <v>⬜ Pending</v>
      </c>
      <c r="O192" s="269"/>
      <c r="P192" s="295" t="str">
        <f aca="false">IF(O192&lt;&gt;"",O192,N192)</f>
        <v>⬜ Pending</v>
      </c>
      <c r="Q192" s="270" t="s">
        <v>992</v>
      </c>
      <c r="R192" s="271" t="str">
        <f aca="false">IF(COUNTIF('📆 Daily Schedule'!$M$5:$M$427,D192)&gt;0,"⚡ In Swap","✅ Available")</f>
        <v>✅ Available</v>
      </c>
    </row>
    <row r="193" customFormat="false" ht="15.75" hidden="false" customHeight="true" outlineLevel="0" collapsed="false">
      <c r="A193" s="183" t="n">
        <v>190</v>
      </c>
      <c r="B193" s="183" t="s">
        <v>966</v>
      </c>
      <c r="C193" s="76" t="n">
        <v>190</v>
      </c>
      <c r="D193" s="37" t="s">
        <v>993</v>
      </c>
      <c r="E193" s="196" t="s">
        <v>425</v>
      </c>
      <c r="F193" s="39" t="n">
        <v>0.5</v>
      </c>
      <c r="G193" s="40" t="n">
        <v>0.75</v>
      </c>
      <c r="H193" s="41" t="n">
        <v>1</v>
      </c>
      <c r="I193" s="272" t="n">
        <v>11</v>
      </c>
      <c r="J193" s="36" t="s">
        <v>617</v>
      </c>
      <c r="K193" s="273" t="n">
        <v>4</v>
      </c>
      <c r="L193" s="273" t="n">
        <v>3</v>
      </c>
      <c r="M193" s="188" t="s">
        <v>618</v>
      </c>
      <c r="N193" s="76" t="str">
        <f aca="false">IFERROR(IF(COUNTIF('📝 Daily Log'!$E$3:$E$600,D193)&gt;0,IF(COUNTIFS('📝 Daily Log'!$E$3:$E$600,D193,'📝 Daily Log'!$G$3:$G$600,"✅ Done")&gt;0,"✅ Done",IF(COUNTIFS('📝 Daily Log'!$E$3:$E$600,D193,'📝 Daily Log'!$G$3:$G$600,"🔄 Partial")&gt;0,"🔄 Partial","⬜ Pending")),"⬜ Pending"),"⬜ Pending")</f>
        <v>⬜ Pending</v>
      </c>
      <c r="O193" s="269"/>
      <c r="P193" s="76" t="str">
        <f aca="false">IF(O193&lt;&gt;"",O193,N193)</f>
        <v>⬜ Pending</v>
      </c>
      <c r="Q193" s="270" t="s">
        <v>994</v>
      </c>
      <c r="R193" s="271" t="str">
        <f aca="false">IF(COUNTIF('📆 Daily Schedule'!$M$5:$M$427,D193)&gt;0,"⚡ In Swap","✅ Available")</f>
        <v>✅ Available</v>
      </c>
    </row>
    <row r="194" customFormat="false" ht="15.75" hidden="false" customHeight="true" outlineLevel="0" collapsed="false">
      <c r="A194" s="183" t="n">
        <v>191</v>
      </c>
      <c r="B194" s="183" t="s">
        <v>966</v>
      </c>
      <c r="C194" s="295" t="n">
        <v>191</v>
      </c>
      <c r="D194" s="296" t="s">
        <v>995</v>
      </c>
      <c r="E194" s="196" t="s">
        <v>425</v>
      </c>
      <c r="F194" s="39" t="n">
        <v>0.5</v>
      </c>
      <c r="G194" s="40" t="n">
        <v>0.75</v>
      </c>
      <c r="H194" s="41" t="n">
        <v>1</v>
      </c>
      <c r="I194" s="297" t="n">
        <v>11</v>
      </c>
      <c r="J194" s="36" t="s">
        <v>617</v>
      </c>
      <c r="K194" s="298" t="n">
        <v>4</v>
      </c>
      <c r="L194" s="298" t="n">
        <v>3</v>
      </c>
      <c r="M194" s="188" t="s">
        <v>618</v>
      </c>
      <c r="N194" s="295" t="str">
        <f aca="false">IFERROR(IF(COUNTIF('📝 Daily Log'!$E$3:$E$600,D194)&gt;0,IF(COUNTIFS('📝 Daily Log'!$E$3:$E$600,D194,'📝 Daily Log'!$G$3:$G$600,"✅ Done")&gt;0,"✅ Done",IF(COUNTIFS('📝 Daily Log'!$E$3:$E$600,D194,'📝 Daily Log'!$G$3:$G$600,"🔄 Partial")&gt;0,"🔄 Partial","⬜ Pending")),"⬜ Pending"),"⬜ Pending")</f>
        <v>⬜ Pending</v>
      </c>
      <c r="O194" s="269"/>
      <c r="P194" s="295" t="str">
        <f aca="false">IF(O194&lt;&gt;"",O194,N194)</f>
        <v>⬜ Pending</v>
      </c>
      <c r="Q194" s="270" t="s">
        <v>996</v>
      </c>
      <c r="R194" s="271" t="str">
        <f aca="false">IF(COUNTIF('📆 Daily Schedule'!$M$5:$M$427,D194)&gt;0,"⚡ In Swap","✅ Available")</f>
        <v>✅ Available</v>
      </c>
    </row>
    <row r="195" customFormat="false" ht="15.75" hidden="false" customHeight="true" outlineLevel="0" collapsed="false">
      <c r="A195" s="183" t="n">
        <v>192</v>
      </c>
      <c r="B195" s="183" t="s">
        <v>966</v>
      </c>
      <c r="C195" s="76" t="n">
        <v>192</v>
      </c>
      <c r="D195" s="37" t="s">
        <v>997</v>
      </c>
      <c r="E195" s="196" t="s">
        <v>425</v>
      </c>
      <c r="F195" s="39" t="n">
        <v>0.5</v>
      </c>
      <c r="G195" s="40" t="n">
        <v>1</v>
      </c>
      <c r="H195" s="41" t="n">
        <v>2</v>
      </c>
      <c r="I195" s="272" t="n">
        <v>11</v>
      </c>
      <c r="J195" s="36" t="s">
        <v>617</v>
      </c>
      <c r="K195" s="273" t="n">
        <v>4</v>
      </c>
      <c r="L195" s="273" t="n">
        <v>3</v>
      </c>
      <c r="M195" s="188" t="s">
        <v>618</v>
      </c>
      <c r="N195" s="76" t="str">
        <f aca="false">IFERROR(IF(COUNTIF('📝 Daily Log'!$E$3:$E$600,D195)&gt;0,IF(COUNTIFS('📝 Daily Log'!$E$3:$E$600,D195,'📝 Daily Log'!$G$3:$G$600,"✅ Done")&gt;0,"✅ Done",IF(COUNTIFS('📝 Daily Log'!$E$3:$E$600,D195,'📝 Daily Log'!$G$3:$G$600,"🔄 Partial")&gt;0,"🔄 Partial","⬜ Pending")),"⬜ Pending"),"⬜ Pending")</f>
        <v>⬜ Pending</v>
      </c>
      <c r="O195" s="269"/>
      <c r="P195" s="76" t="str">
        <f aca="false">IF(O195&lt;&gt;"",O195,N195)</f>
        <v>⬜ Pending</v>
      </c>
      <c r="Q195" s="270" t="s">
        <v>998</v>
      </c>
      <c r="R195" s="271" t="str">
        <f aca="false">IF(COUNTIF('📆 Daily Schedule'!$M$5:$M$427,D195)&gt;0,"⚡ In Swap","✅ Available")</f>
        <v>✅ Available</v>
      </c>
    </row>
    <row r="196" customFormat="false" ht="15.75" hidden="false" customHeight="true" outlineLevel="0" collapsed="false">
      <c r="A196" s="183" t="n">
        <v>193</v>
      </c>
      <c r="B196" s="183" t="s">
        <v>966</v>
      </c>
      <c r="C196" s="295" t="n">
        <v>193</v>
      </c>
      <c r="D196" s="296" t="s">
        <v>999</v>
      </c>
      <c r="E196" s="196" t="s">
        <v>425</v>
      </c>
      <c r="F196" s="39" t="n">
        <v>0.5</v>
      </c>
      <c r="G196" s="40" t="n">
        <v>1.5</v>
      </c>
      <c r="H196" s="41" t="n">
        <v>3</v>
      </c>
      <c r="I196" s="297" t="n">
        <v>14</v>
      </c>
      <c r="J196" s="274" t="s">
        <v>623</v>
      </c>
      <c r="K196" s="298" t="n">
        <v>5</v>
      </c>
      <c r="L196" s="298" t="n">
        <v>4</v>
      </c>
      <c r="M196" s="188" t="s">
        <v>618</v>
      </c>
      <c r="N196" s="295" t="str">
        <f aca="false">IFERROR(IF(COUNTIF('📝 Daily Log'!$E$3:$E$600,D196)&gt;0,IF(COUNTIFS('📝 Daily Log'!$E$3:$E$600,D196,'📝 Daily Log'!$G$3:$G$600,"✅ Done")&gt;0,"✅ Done",IF(COUNTIFS('📝 Daily Log'!$E$3:$E$600,D196,'📝 Daily Log'!$G$3:$G$600,"🔄 Partial")&gt;0,"🔄 Partial","⬜ Pending")),"⬜ Pending"),"⬜ Pending")</f>
        <v>⬜ Pending</v>
      </c>
      <c r="O196" s="269"/>
      <c r="P196" s="295" t="str">
        <f aca="false">IF(O196&lt;&gt;"",O196,N196)</f>
        <v>⬜ Pending</v>
      </c>
      <c r="Q196" s="270" t="s">
        <v>1000</v>
      </c>
      <c r="R196" s="271" t="str">
        <f aca="false">IF(COUNTIF('📆 Daily Schedule'!$M$5:$M$427,D196)&gt;0,"⚡ In Swap","✅ Available")</f>
        <v>✅ Available</v>
      </c>
    </row>
    <row r="197" customFormat="false" ht="15.75" hidden="false" customHeight="true" outlineLevel="0" collapsed="false">
      <c r="A197" s="183" t="n">
        <v>194</v>
      </c>
      <c r="B197" s="183" t="s">
        <v>966</v>
      </c>
      <c r="C197" s="76" t="n">
        <v>194</v>
      </c>
      <c r="D197" s="37" t="s">
        <v>1001</v>
      </c>
      <c r="E197" s="196" t="s">
        <v>425</v>
      </c>
      <c r="F197" s="39" t="n">
        <v>0.3</v>
      </c>
      <c r="G197" s="40" t="n">
        <v>0.5</v>
      </c>
      <c r="H197" s="41" t="n">
        <v>0.75</v>
      </c>
      <c r="I197" s="272" t="n">
        <v>15</v>
      </c>
      <c r="J197" s="274" t="s">
        <v>623</v>
      </c>
      <c r="K197" s="273" t="n">
        <v>5</v>
      </c>
      <c r="L197" s="273" t="n">
        <v>5</v>
      </c>
      <c r="M197" s="188" t="s">
        <v>618</v>
      </c>
      <c r="N197" s="76" t="str">
        <f aca="false">IFERROR(IF(COUNTIF('📝 Daily Log'!$E$3:$E$600,D197)&gt;0,IF(COUNTIFS('📝 Daily Log'!$E$3:$E$600,D197,'📝 Daily Log'!$G$3:$G$600,"✅ Done")&gt;0,"✅ Done",IF(COUNTIFS('📝 Daily Log'!$E$3:$E$600,D197,'📝 Daily Log'!$G$3:$G$600,"🔄 Partial")&gt;0,"🔄 Partial","⬜ Pending")),"⬜ Pending"),"⬜ Pending")</f>
        <v>⬜ Pending</v>
      </c>
      <c r="O197" s="269"/>
      <c r="P197" s="76" t="str">
        <f aca="false">IF(O197&lt;&gt;"",O197,N197)</f>
        <v>⬜ Pending</v>
      </c>
      <c r="Q197" s="270" t="s">
        <v>1002</v>
      </c>
      <c r="R197" s="271" t="str">
        <f aca="false">IF(COUNTIF('📆 Daily Schedule'!$M$5:$M$427,D197)&gt;0,"⚡ In Swap","✅ Available")</f>
        <v>✅ Available</v>
      </c>
    </row>
    <row r="198" customFormat="false" ht="15.75" hidden="false" customHeight="true" outlineLevel="0" collapsed="false">
      <c r="A198" s="183" t="n">
        <v>195</v>
      </c>
      <c r="B198" s="183" t="s">
        <v>966</v>
      </c>
      <c r="C198" s="295" t="n">
        <v>195</v>
      </c>
      <c r="D198" s="296" t="s">
        <v>1003</v>
      </c>
      <c r="E198" s="196" t="s">
        <v>425</v>
      </c>
      <c r="F198" s="39" t="n">
        <v>1</v>
      </c>
      <c r="G198" s="40" t="n">
        <v>1.5</v>
      </c>
      <c r="H198" s="41" t="n">
        <v>2</v>
      </c>
      <c r="I198" s="297" t="n">
        <v>13</v>
      </c>
      <c r="J198" s="274" t="s">
        <v>623</v>
      </c>
      <c r="K198" s="298" t="n">
        <v>5</v>
      </c>
      <c r="L198" s="298" t="n">
        <v>3</v>
      </c>
      <c r="M198" s="188" t="s">
        <v>618</v>
      </c>
      <c r="N198" s="295" t="str">
        <f aca="false">IFERROR(IF(COUNTIF('📝 Daily Log'!$E$3:$E$600,D198)&gt;0,IF(COUNTIFS('📝 Daily Log'!$E$3:$E$600,D198,'📝 Daily Log'!$G$3:$G$600,"✅ Done")&gt;0,"✅ Done",IF(COUNTIFS('📝 Daily Log'!$E$3:$E$600,D198,'📝 Daily Log'!$G$3:$G$600,"🔄 Partial")&gt;0,"🔄 Partial","⬜ Pending")),"⬜ Pending"),"⬜ Pending")</f>
        <v>⬜ Pending</v>
      </c>
      <c r="O198" s="269"/>
      <c r="P198" s="295" t="str">
        <f aca="false">IF(O198&lt;&gt;"",O198,N198)</f>
        <v>⬜ Pending</v>
      </c>
      <c r="Q198" s="270" t="s">
        <v>1004</v>
      </c>
      <c r="R198" s="271" t="str">
        <f aca="false">IF(COUNTIF('📆 Daily Schedule'!$M$5:$M$427,D198)&gt;0,"⚡ In Swap","✅ Available")</f>
        <v>✅ Available</v>
      </c>
    </row>
    <row r="199" customFormat="false" ht="15.75" hidden="false" customHeight="true" outlineLevel="0" collapsed="false">
      <c r="A199" s="183" t="n">
        <v>196</v>
      </c>
      <c r="B199" s="183" t="s">
        <v>966</v>
      </c>
      <c r="C199" s="76" t="n">
        <v>196</v>
      </c>
      <c r="D199" s="37" t="s">
        <v>1005</v>
      </c>
      <c r="E199" s="196" t="s">
        <v>425</v>
      </c>
      <c r="F199" s="39" t="n">
        <v>1.5</v>
      </c>
      <c r="G199" s="40" t="n">
        <v>3</v>
      </c>
      <c r="H199" s="41" t="n">
        <v>5</v>
      </c>
      <c r="I199" s="272" t="n">
        <v>14</v>
      </c>
      <c r="J199" s="274" t="s">
        <v>623</v>
      </c>
      <c r="K199" s="273" t="n">
        <v>5</v>
      </c>
      <c r="L199" s="273" t="n">
        <v>4</v>
      </c>
      <c r="M199" s="188" t="s">
        <v>618</v>
      </c>
      <c r="N199" s="76" t="str">
        <f aca="false">IFERROR(IF(COUNTIF('📝 Daily Log'!$E$3:$E$600,D199)&gt;0,IF(COUNTIFS('📝 Daily Log'!$E$3:$E$600,D199,'📝 Daily Log'!$G$3:$G$600,"✅ Done")&gt;0,"✅ Done",IF(COUNTIFS('📝 Daily Log'!$E$3:$E$600,D199,'📝 Daily Log'!$G$3:$G$600,"🔄 Partial")&gt;0,"🔄 Partial","⬜ Pending")),"⬜ Pending"),"⬜ Pending")</f>
        <v>⬜ Pending</v>
      </c>
      <c r="O199" s="269"/>
      <c r="P199" s="76" t="str">
        <f aca="false">IF(O199&lt;&gt;"",O199,N199)</f>
        <v>⬜ Pending</v>
      </c>
      <c r="Q199" s="270" t="s">
        <v>1006</v>
      </c>
      <c r="R199" s="271" t="str">
        <f aca="false">IF(COUNTIF('📆 Daily Schedule'!$M$5:$M$427,D199)&gt;0,"⚡ In Swap","✅ Available")</f>
        <v>✅ Available</v>
      </c>
    </row>
    <row r="200" customFormat="false" ht="15.75" hidden="false" customHeight="true" outlineLevel="0" collapsed="false">
      <c r="A200" s="54" t="n">
        <v>197</v>
      </c>
      <c r="B200" s="54" t="s">
        <v>1007</v>
      </c>
      <c r="C200" s="275" t="n">
        <v>197</v>
      </c>
      <c r="D200" s="276" t="s">
        <v>1008</v>
      </c>
      <c r="E200" s="182" t="s">
        <v>434</v>
      </c>
      <c r="F200" s="39" t="n">
        <v>0.5</v>
      </c>
      <c r="G200" s="40" t="n">
        <v>1</v>
      </c>
      <c r="H200" s="41" t="n">
        <v>1.5</v>
      </c>
      <c r="I200" s="277" t="n">
        <v>14</v>
      </c>
      <c r="J200" s="274" t="s">
        <v>623</v>
      </c>
      <c r="K200" s="278" t="n">
        <v>5</v>
      </c>
      <c r="L200" s="278" t="n">
        <v>4</v>
      </c>
      <c r="M200" s="182" t="s">
        <v>636</v>
      </c>
      <c r="N200" s="275" t="str">
        <f aca="false">IFERROR(IF(COUNTIF('📝 Daily Log'!$E$3:$E$600,D200)&gt;0,IF(COUNTIFS('📝 Daily Log'!$E$3:$E$600,D200,'📝 Daily Log'!$G$3:$G$600,"✅ Done")&gt;0,"✅ Done",IF(COUNTIFS('📝 Daily Log'!$E$3:$E$600,D200,'📝 Daily Log'!$G$3:$G$600,"🔄 Partial")&gt;0,"🔄 Partial","⬜ Pending")),"⬜ Pending"),"⬜ Pending")</f>
        <v>⬜ Pending</v>
      </c>
      <c r="O200" s="269"/>
      <c r="P200" s="275" t="str">
        <f aca="false">IF(O200&lt;&gt;"",O200,N200)</f>
        <v>⬜ Pending</v>
      </c>
      <c r="Q200" s="270" t="s">
        <v>1009</v>
      </c>
      <c r="R200" s="271" t="str">
        <f aca="false">IF(COUNTIF('📆 Daily Schedule'!$M$5:$M$427,D200)&gt;0,"⚡ In Swap","✅ Available")</f>
        <v>✅ Available</v>
      </c>
    </row>
    <row r="201" customFormat="false" ht="15.75" hidden="false" customHeight="true" outlineLevel="0" collapsed="false">
      <c r="A201" s="54" t="n">
        <v>198</v>
      </c>
      <c r="B201" s="54" t="s">
        <v>1007</v>
      </c>
      <c r="C201" s="76" t="n">
        <v>198</v>
      </c>
      <c r="D201" s="37" t="s">
        <v>1010</v>
      </c>
      <c r="E201" s="182" t="s">
        <v>434</v>
      </c>
      <c r="F201" s="39" t="n">
        <v>0.5</v>
      </c>
      <c r="G201" s="40" t="n">
        <v>1</v>
      </c>
      <c r="H201" s="41" t="n">
        <v>1.5</v>
      </c>
      <c r="I201" s="272" t="n">
        <v>14</v>
      </c>
      <c r="J201" s="274" t="s">
        <v>623</v>
      </c>
      <c r="K201" s="273" t="n">
        <v>5</v>
      </c>
      <c r="L201" s="273" t="n">
        <v>4</v>
      </c>
      <c r="M201" s="182" t="s">
        <v>636</v>
      </c>
      <c r="N201" s="76" t="str">
        <f aca="false">IFERROR(IF(COUNTIF('📝 Daily Log'!$E$3:$E$600,D201)&gt;0,IF(COUNTIFS('📝 Daily Log'!$E$3:$E$600,D201,'📝 Daily Log'!$G$3:$G$600,"✅ Done")&gt;0,"✅ Done",IF(COUNTIFS('📝 Daily Log'!$E$3:$E$600,D201,'📝 Daily Log'!$G$3:$G$600,"🔄 Partial")&gt;0,"🔄 Partial","⬜ Pending")),"⬜ Pending"),"⬜ Pending")</f>
        <v>⬜ Pending</v>
      </c>
      <c r="O201" s="269"/>
      <c r="P201" s="76" t="str">
        <f aca="false">IF(O201&lt;&gt;"",O201,N201)</f>
        <v>⬜ Pending</v>
      </c>
      <c r="Q201" s="270" t="s">
        <v>1009</v>
      </c>
      <c r="R201" s="271" t="str">
        <f aca="false">IF(COUNTIF('📆 Daily Schedule'!$M$5:$M$427,D201)&gt;0,"⚡ In Swap","✅ Available")</f>
        <v>✅ Available</v>
      </c>
    </row>
    <row r="202" customFormat="false" ht="15.75" hidden="false" customHeight="true" outlineLevel="0" collapsed="false">
      <c r="A202" s="54" t="n">
        <v>199</v>
      </c>
      <c r="B202" s="54" t="s">
        <v>1007</v>
      </c>
      <c r="C202" s="275" t="n">
        <v>199</v>
      </c>
      <c r="D202" s="276" t="s">
        <v>1011</v>
      </c>
      <c r="E202" s="182" t="s">
        <v>434</v>
      </c>
      <c r="F202" s="39" t="n">
        <v>0.5</v>
      </c>
      <c r="G202" s="40" t="n">
        <v>0.75</v>
      </c>
      <c r="H202" s="41" t="n">
        <v>1</v>
      </c>
      <c r="I202" s="277" t="n">
        <v>11</v>
      </c>
      <c r="J202" s="36" t="s">
        <v>617</v>
      </c>
      <c r="K202" s="278" t="n">
        <v>4</v>
      </c>
      <c r="L202" s="278" t="n">
        <v>3</v>
      </c>
      <c r="M202" s="188" t="s">
        <v>618</v>
      </c>
      <c r="N202" s="275" t="str">
        <f aca="false">IFERROR(IF(COUNTIF('📝 Daily Log'!$E$3:$E$600,D202)&gt;0,IF(COUNTIFS('📝 Daily Log'!$E$3:$E$600,D202,'📝 Daily Log'!$G$3:$G$600,"✅ Done")&gt;0,"✅ Done",IF(COUNTIFS('📝 Daily Log'!$E$3:$E$600,D202,'📝 Daily Log'!$G$3:$G$600,"🔄 Partial")&gt;0,"🔄 Partial","⬜ Pending")),"⬜ Pending"),"⬜ Pending")</f>
        <v>⬜ Pending</v>
      </c>
      <c r="O202" s="269"/>
      <c r="P202" s="275" t="str">
        <f aca="false">IF(O202&lt;&gt;"",O202,N202)</f>
        <v>⬜ Pending</v>
      </c>
      <c r="Q202" s="270" t="s">
        <v>1012</v>
      </c>
      <c r="R202" s="271" t="str">
        <f aca="false">IF(COUNTIF('📆 Daily Schedule'!$M$5:$M$427,D202)&gt;0,"⚡ In Swap","✅ Available")</f>
        <v>✅ Available</v>
      </c>
    </row>
    <row r="203" customFormat="false" ht="15.75" hidden="false" customHeight="true" outlineLevel="0" collapsed="false">
      <c r="A203" s="54" t="n">
        <v>200</v>
      </c>
      <c r="B203" s="54" t="s">
        <v>1007</v>
      </c>
      <c r="C203" s="76" t="n">
        <v>200</v>
      </c>
      <c r="D203" s="37" t="s">
        <v>1013</v>
      </c>
      <c r="E203" s="182" t="s">
        <v>434</v>
      </c>
      <c r="F203" s="39" t="n">
        <v>0.5</v>
      </c>
      <c r="G203" s="40" t="n">
        <v>1</v>
      </c>
      <c r="H203" s="41" t="n">
        <v>1.5</v>
      </c>
      <c r="I203" s="272" t="n">
        <v>14</v>
      </c>
      <c r="J203" s="274" t="s">
        <v>623</v>
      </c>
      <c r="K203" s="273" t="n">
        <v>5</v>
      </c>
      <c r="L203" s="273" t="n">
        <v>4</v>
      </c>
      <c r="M203" s="188" t="s">
        <v>618</v>
      </c>
      <c r="N203" s="76" t="str">
        <f aca="false">IFERROR(IF(COUNTIF('📝 Daily Log'!$E$3:$E$600,D203)&gt;0,IF(COUNTIFS('📝 Daily Log'!$E$3:$E$600,D203,'📝 Daily Log'!$G$3:$G$600,"✅ Done")&gt;0,"✅ Done",IF(COUNTIFS('📝 Daily Log'!$E$3:$E$600,D203,'📝 Daily Log'!$G$3:$G$600,"🔄 Partial")&gt;0,"🔄 Partial","⬜ Pending")),"⬜ Pending"),"⬜ Pending")</f>
        <v>⬜ Pending</v>
      </c>
      <c r="O203" s="269"/>
      <c r="P203" s="76" t="str">
        <f aca="false">IF(O203&lt;&gt;"",O203,N203)</f>
        <v>⬜ Pending</v>
      </c>
      <c r="Q203" s="270" t="s">
        <v>1014</v>
      </c>
      <c r="R203" s="271" t="str">
        <f aca="false">IF(COUNTIF('📆 Daily Schedule'!$M$5:$M$427,D203)&gt;0,"⚡ In Swap","✅ Available")</f>
        <v>✅ Available</v>
      </c>
    </row>
    <row r="204" customFormat="false" ht="15.75" hidden="false" customHeight="true" outlineLevel="0" collapsed="false">
      <c r="A204" s="54" t="n">
        <v>201</v>
      </c>
      <c r="B204" s="54" t="s">
        <v>1007</v>
      </c>
      <c r="C204" s="275" t="n">
        <v>201</v>
      </c>
      <c r="D204" s="276" t="s">
        <v>1015</v>
      </c>
      <c r="E204" s="182" t="s">
        <v>434</v>
      </c>
      <c r="F204" s="39" t="n">
        <v>0.3</v>
      </c>
      <c r="G204" s="40" t="n">
        <v>0.5</v>
      </c>
      <c r="H204" s="41" t="n">
        <v>0.75</v>
      </c>
      <c r="I204" s="277" t="n">
        <v>14</v>
      </c>
      <c r="J204" s="274" t="s">
        <v>623</v>
      </c>
      <c r="K204" s="278" t="n">
        <v>5</v>
      </c>
      <c r="L204" s="278" t="n">
        <v>4</v>
      </c>
      <c r="M204" s="188" t="s">
        <v>618</v>
      </c>
      <c r="N204" s="275" t="str">
        <f aca="false">IFERROR(IF(COUNTIF('📝 Daily Log'!$E$3:$E$600,D204)&gt;0,IF(COUNTIFS('📝 Daily Log'!$E$3:$E$600,D204,'📝 Daily Log'!$G$3:$G$600,"✅ Done")&gt;0,"✅ Done",IF(COUNTIFS('📝 Daily Log'!$E$3:$E$600,D204,'📝 Daily Log'!$G$3:$G$600,"🔄 Partial")&gt;0,"🔄 Partial","⬜ Pending")),"⬜ Pending"),"⬜ Pending")</f>
        <v>⬜ Pending</v>
      </c>
      <c r="O204" s="269"/>
      <c r="P204" s="275" t="str">
        <f aca="false">IF(O204&lt;&gt;"",O204,N204)</f>
        <v>⬜ Pending</v>
      </c>
      <c r="Q204" s="270" t="s">
        <v>1016</v>
      </c>
      <c r="R204" s="271" t="str">
        <f aca="false">IF(COUNTIF('📆 Daily Schedule'!$M$5:$M$427,D204)&gt;0,"⚡ In Swap","✅ Available")</f>
        <v>✅ Available</v>
      </c>
    </row>
    <row r="205" customFormat="false" ht="15.75" hidden="false" customHeight="true" outlineLevel="0" collapsed="false">
      <c r="A205" s="54" t="n">
        <v>202</v>
      </c>
      <c r="B205" s="54" t="s">
        <v>1007</v>
      </c>
      <c r="C205" s="76" t="n">
        <v>202</v>
      </c>
      <c r="D205" s="37" t="s">
        <v>1017</v>
      </c>
      <c r="E205" s="182" t="s">
        <v>434</v>
      </c>
      <c r="F205" s="39" t="n">
        <v>2</v>
      </c>
      <c r="G205" s="40" t="n">
        <v>4</v>
      </c>
      <c r="H205" s="41" t="n">
        <v>6</v>
      </c>
      <c r="I205" s="272" t="n">
        <v>13</v>
      </c>
      <c r="J205" s="274" t="s">
        <v>623</v>
      </c>
      <c r="K205" s="273" t="n">
        <v>5</v>
      </c>
      <c r="L205" s="273" t="n">
        <v>3</v>
      </c>
      <c r="M205" s="182" t="s">
        <v>636</v>
      </c>
      <c r="N205" s="76" t="str">
        <f aca="false">IFERROR(IF(COUNTIF('📝 Daily Log'!$E$3:$E$600,D205)&gt;0,IF(COUNTIFS('📝 Daily Log'!$E$3:$E$600,D205,'📝 Daily Log'!$G$3:$G$600,"✅ Done")&gt;0,"✅ Done",IF(COUNTIFS('📝 Daily Log'!$E$3:$E$600,D205,'📝 Daily Log'!$G$3:$G$600,"🔄 Partial")&gt;0,"🔄 Partial","⬜ Pending")),"⬜ Pending"),"⬜ Pending")</f>
        <v>⬜ Pending</v>
      </c>
      <c r="O205" s="269"/>
      <c r="P205" s="76" t="str">
        <f aca="false">IF(O205&lt;&gt;"",O205,N205)</f>
        <v>⬜ Pending</v>
      </c>
      <c r="Q205" s="270" t="s">
        <v>1018</v>
      </c>
      <c r="R205" s="271" t="str">
        <f aca="false">IF(COUNTIF('📆 Daily Schedule'!$M$5:$M$427,D205)&gt;0,"⚡ In Swap","✅ Available")</f>
        <v>✅ Available</v>
      </c>
    </row>
    <row r="206" customFormat="false" ht="15.75" hidden="false" customHeight="true" outlineLevel="0" collapsed="false">
      <c r="A206" s="54" t="n">
        <v>203</v>
      </c>
      <c r="B206" s="54" t="s">
        <v>1007</v>
      </c>
      <c r="C206" s="275" t="n">
        <v>203</v>
      </c>
      <c r="D206" s="276" t="s">
        <v>1019</v>
      </c>
      <c r="E206" s="182" t="s">
        <v>434</v>
      </c>
      <c r="F206" s="39" t="n">
        <v>1.5</v>
      </c>
      <c r="G206" s="40" t="n">
        <v>3</v>
      </c>
      <c r="H206" s="41" t="n">
        <v>4</v>
      </c>
      <c r="I206" s="277" t="n">
        <v>12</v>
      </c>
      <c r="J206" s="274" t="s">
        <v>623</v>
      </c>
      <c r="K206" s="278" t="n">
        <v>4</v>
      </c>
      <c r="L206" s="278" t="n">
        <v>4</v>
      </c>
      <c r="M206" s="188" t="s">
        <v>618</v>
      </c>
      <c r="N206" s="275" t="str">
        <f aca="false">IFERROR(IF(COUNTIF('📝 Daily Log'!$E$3:$E$600,D206)&gt;0,IF(COUNTIFS('📝 Daily Log'!$E$3:$E$600,D206,'📝 Daily Log'!$G$3:$G$600,"✅ Done")&gt;0,"✅ Done",IF(COUNTIFS('📝 Daily Log'!$E$3:$E$600,D206,'📝 Daily Log'!$G$3:$G$600,"🔄 Partial")&gt;0,"🔄 Partial","⬜ Pending")),"⬜ Pending"),"⬜ Pending")</f>
        <v>⬜ Pending</v>
      </c>
      <c r="O206" s="269"/>
      <c r="P206" s="275" t="str">
        <f aca="false">IF(O206&lt;&gt;"",O206,N206)</f>
        <v>⬜ Pending</v>
      </c>
      <c r="Q206" s="270" t="s">
        <v>1020</v>
      </c>
      <c r="R206" s="271" t="str">
        <f aca="false">IF(COUNTIF('📆 Daily Schedule'!$M$5:$M$427,D206)&gt;0,"⚡ In Swap","✅ Available")</f>
        <v>✅ Available</v>
      </c>
    </row>
    <row r="207" customFormat="false" ht="15.75" hidden="false" customHeight="true" outlineLevel="0" collapsed="false">
      <c r="A207" s="54" t="n">
        <v>204</v>
      </c>
      <c r="B207" s="54" t="s">
        <v>1007</v>
      </c>
      <c r="C207" s="76" t="n">
        <v>204</v>
      </c>
      <c r="D207" s="37" t="s">
        <v>1021</v>
      </c>
      <c r="E207" s="182" t="s">
        <v>434</v>
      </c>
      <c r="F207" s="39" t="n">
        <v>0.5</v>
      </c>
      <c r="G207" s="40" t="n">
        <v>1</v>
      </c>
      <c r="H207" s="41" t="n">
        <v>1.5</v>
      </c>
      <c r="I207" s="272" t="n">
        <v>12</v>
      </c>
      <c r="J207" s="274" t="s">
        <v>623</v>
      </c>
      <c r="K207" s="273" t="n">
        <v>4</v>
      </c>
      <c r="L207" s="273" t="n">
        <v>4</v>
      </c>
      <c r="M207" s="188" t="s">
        <v>618</v>
      </c>
      <c r="N207" s="76" t="str">
        <f aca="false">IFERROR(IF(COUNTIF('📝 Daily Log'!$E$3:$E$600,D207)&gt;0,IF(COUNTIFS('📝 Daily Log'!$E$3:$E$600,D207,'📝 Daily Log'!$G$3:$G$600,"✅ Done")&gt;0,"✅ Done",IF(COUNTIFS('📝 Daily Log'!$E$3:$E$600,D207,'📝 Daily Log'!$G$3:$G$600,"🔄 Partial")&gt;0,"🔄 Partial","⬜ Pending")),"⬜ Pending"),"⬜ Pending")</f>
        <v>⬜ Pending</v>
      </c>
      <c r="O207" s="269"/>
      <c r="P207" s="76" t="str">
        <f aca="false">IF(O207&lt;&gt;"",O207,N207)</f>
        <v>⬜ Pending</v>
      </c>
      <c r="Q207" s="270" t="s">
        <v>1022</v>
      </c>
      <c r="R207" s="271" t="str">
        <f aca="false">IF(COUNTIF('📆 Daily Schedule'!$M$5:$M$427,D207)&gt;0,"⚡ In Swap","✅ Available")</f>
        <v>✅ Available</v>
      </c>
    </row>
    <row r="208" customFormat="false" ht="15.75" hidden="false" customHeight="true" outlineLevel="0" collapsed="false">
      <c r="A208" s="54" t="n">
        <v>205</v>
      </c>
      <c r="B208" s="54" t="s">
        <v>1007</v>
      </c>
      <c r="C208" s="275" t="n">
        <v>205</v>
      </c>
      <c r="D208" s="276" t="s">
        <v>1023</v>
      </c>
      <c r="E208" s="182" t="s">
        <v>434</v>
      </c>
      <c r="F208" s="39" t="n">
        <v>0.5</v>
      </c>
      <c r="G208" s="40" t="n">
        <v>0.75</v>
      </c>
      <c r="H208" s="41" t="n">
        <v>1</v>
      </c>
      <c r="I208" s="277" t="n">
        <v>11</v>
      </c>
      <c r="J208" s="36" t="s">
        <v>617</v>
      </c>
      <c r="K208" s="278" t="n">
        <v>4</v>
      </c>
      <c r="L208" s="278" t="n">
        <v>3</v>
      </c>
      <c r="M208" s="188" t="s">
        <v>618</v>
      </c>
      <c r="N208" s="275" t="str">
        <f aca="false">IFERROR(IF(COUNTIF('📝 Daily Log'!$E$3:$E$600,D208)&gt;0,IF(COUNTIFS('📝 Daily Log'!$E$3:$E$600,D208,'📝 Daily Log'!$G$3:$G$600,"✅ Done")&gt;0,"✅ Done",IF(COUNTIFS('📝 Daily Log'!$E$3:$E$600,D208,'📝 Daily Log'!$G$3:$G$600,"🔄 Partial")&gt;0,"🔄 Partial","⬜ Pending")),"⬜ Pending"),"⬜ Pending")</f>
        <v>⬜ Pending</v>
      </c>
      <c r="O208" s="269"/>
      <c r="P208" s="275" t="str">
        <f aca="false">IF(O208&lt;&gt;"",O208,N208)</f>
        <v>⬜ Pending</v>
      </c>
      <c r="Q208" s="270" t="s">
        <v>1024</v>
      </c>
      <c r="R208" s="271" t="str">
        <f aca="false">IF(COUNTIF('📆 Daily Schedule'!$M$5:$M$427,D208)&gt;0,"⚡ In Swap","✅ Available")</f>
        <v>✅ Available</v>
      </c>
    </row>
    <row r="209" customFormat="false" ht="15.75" hidden="false" customHeight="true" outlineLevel="0" collapsed="false">
      <c r="A209" s="54" t="n">
        <v>206</v>
      </c>
      <c r="B209" s="54" t="s">
        <v>1007</v>
      </c>
      <c r="C209" s="76" t="n">
        <v>206</v>
      </c>
      <c r="D209" s="37" t="s">
        <v>1025</v>
      </c>
      <c r="E209" s="182" t="s">
        <v>434</v>
      </c>
      <c r="F209" s="39" t="n">
        <v>0.5</v>
      </c>
      <c r="G209" s="40" t="n">
        <v>0.75</v>
      </c>
      <c r="H209" s="41" t="n">
        <v>1</v>
      </c>
      <c r="I209" s="272" t="n">
        <v>13</v>
      </c>
      <c r="J209" s="274" t="s">
        <v>623</v>
      </c>
      <c r="K209" s="273" t="n">
        <v>5</v>
      </c>
      <c r="L209" s="273" t="n">
        <v>3</v>
      </c>
      <c r="M209" s="188" t="s">
        <v>618</v>
      </c>
      <c r="N209" s="76" t="str">
        <f aca="false">IFERROR(IF(COUNTIF('📝 Daily Log'!$E$3:$E$600,D209)&gt;0,IF(COUNTIFS('📝 Daily Log'!$E$3:$E$600,D209,'📝 Daily Log'!$G$3:$G$600,"✅ Done")&gt;0,"✅ Done",IF(COUNTIFS('📝 Daily Log'!$E$3:$E$600,D209,'📝 Daily Log'!$G$3:$G$600,"🔄 Partial")&gt;0,"🔄 Partial","⬜ Pending")),"⬜ Pending"),"⬜ Pending")</f>
        <v>⬜ Pending</v>
      </c>
      <c r="O209" s="269"/>
      <c r="P209" s="76" t="str">
        <f aca="false">IF(O209&lt;&gt;"",O209,N209)</f>
        <v>⬜ Pending</v>
      </c>
      <c r="Q209" s="270" t="s">
        <v>1026</v>
      </c>
      <c r="R209" s="271" t="str">
        <f aca="false">IF(COUNTIF('📆 Daily Schedule'!$M$5:$M$427,D209)&gt;0,"⚡ In Swap","✅ Available")</f>
        <v>✅ Available</v>
      </c>
    </row>
    <row r="210" customFormat="false" ht="15.75" hidden="false" customHeight="true" outlineLevel="0" collapsed="false">
      <c r="A210" s="54" t="n">
        <v>207</v>
      </c>
      <c r="B210" s="54" t="s">
        <v>1007</v>
      </c>
      <c r="C210" s="275" t="n">
        <v>207</v>
      </c>
      <c r="D210" s="276" t="s">
        <v>1027</v>
      </c>
      <c r="E210" s="182" t="s">
        <v>434</v>
      </c>
      <c r="F210" s="39" t="n">
        <v>0.5</v>
      </c>
      <c r="G210" s="40" t="n">
        <v>1.5</v>
      </c>
      <c r="H210" s="41" t="n">
        <v>2.5</v>
      </c>
      <c r="I210" s="277" t="n">
        <v>13</v>
      </c>
      <c r="J210" s="274" t="s">
        <v>623</v>
      </c>
      <c r="K210" s="278" t="n">
        <v>5</v>
      </c>
      <c r="L210" s="278" t="n">
        <v>3</v>
      </c>
      <c r="M210" s="188" t="s">
        <v>618</v>
      </c>
      <c r="N210" s="275" t="str">
        <f aca="false">IFERROR(IF(COUNTIF('📝 Daily Log'!$E$3:$E$600,D210)&gt;0,IF(COUNTIFS('📝 Daily Log'!$E$3:$E$600,D210,'📝 Daily Log'!$G$3:$G$600,"✅ Done")&gt;0,"✅ Done",IF(COUNTIFS('📝 Daily Log'!$E$3:$E$600,D210,'📝 Daily Log'!$G$3:$G$600,"🔄 Partial")&gt;0,"🔄 Partial","⬜ Pending")),"⬜ Pending"),"⬜ Pending")</f>
        <v>⬜ Pending</v>
      </c>
      <c r="O210" s="269"/>
      <c r="P210" s="275" t="str">
        <f aca="false">IF(O210&lt;&gt;"",O210,N210)</f>
        <v>⬜ Pending</v>
      </c>
      <c r="Q210" s="270" t="s">
        <v>1028</v>
      </c>
      <c r="R210" s="271" t="str">
        <f aca="false">IF(COUNTIF('📆 Daily Schedule'!$M$5:$M$427,D210)&gt;0,"⚡ In Swap","✅ Available")</f>
        <v>✅ Available</v>
      </c>
    </row>
    <row r="211" customFormat="false" ht="15.75" hidden="false" customHeight="true" outlineLevel="0" collapsed="false">
      <c r="A211" s="54" t="n">
        <v>208</v>
      </c>
      <c r="B211" s="54" t="s">
        <v>1007</v>
      </c>
      <c r="C211" s="76" t="n">
        <v>208</v>
      </c>
      <c r="D211" s="37" t="s">
        <v>1029</v>
      </c>
      <c r="E211" s="182" t="s">
        <v>434</v>
      </c>
      <c r="F211" s="39" t="n">
        <v>0.3</v>
      </c>
      <c r="G211" s="40" t="n">
        <v>0.5</v>
      </c>
      <c r="H211" s="41" t="n">
        <v>0.75</v>
      </c>
      <c r="I211" s="272" t="n">
        <v>13</v>
      </c>
      <c r="J211" s="274" t="s">
        <v>623</v>
      </c>
      <c r="K211" s="273" t="n">
        <v>5</v>
      </c>
      <c r="L211" s="273" t="n">
        <v>3</v>
      </c>
      <c r="M211" s="188" t="s">
        <v>618</v>
      </c>
      <c r="N211" s="76" t="str">
        <f aca="false">IFERROR(IF(COUNTIF('📝 Daily Log'!$E$3:$E$600,D211)&gt;0,IF(COUNTIFS('📝 Daily Log'!$E$3:$E$600,D211,'📝 Daily Log'!$G$3:$G$600,"✅ Done")&gt;0,"✅ Done",IF(COUNTIFS('📝 Daily Log'!$E$3:$E$600,D211,'📝 Daily Log'!$G$3:$G$600,"🔄 Partial")&gt;0,"🔄 Partial","⬜ Pending")),"⬜ Pending"),"⬜ Pending")</f>
        <v>⬜ Pending</v>
      </c>
      <c r="O211" s="269"/>
      <c r="P211" s="76" t="str">
        <f aca="false">IF(O211&lt;&gt;"",O211,N211)</f>
        <v>⬜ Pending</v>
      </c>
      <c r="Q211" s="270" t="s">
        <v>1030</v>
      </c>
      <c r="R211" s="271" t="str">
        <f aca="false">IF(COUNTIF('📆 Daily Schedule'!$M$5:$M$427,D211)&gt;0,"⚡ In Swap","✅ Available")</f>
        <v>✅ Available</v>
      </c>
    </row>
    <row r="212" customFormat="false" ht="15.75" hidden="false" customHeight="true" outlineLevel="0" collapsed="false">
      <c r="A212" s="54" t="n">
        <v>209</v>
      </c>
      <c r="B212" s="54" t="s">
        <v>1007</v>
      </c>
      <c r="C212" s="275" t="n">
        <v>209</v>
      </c>
      <c r="D212" s="276" t="s">
        <v>1031</v>
      </c>
      <c r="E212" s="182" t="s">
        <v>434</v>
      </c>
      <c r="F212" s="39" t="n">
        <v>1</v>
      </c>
      <c r="G212" s="40" t="n">
        <v>1.5</v>
      </c>
      <c r="H212" s="41" t="n">
        <v>2</v>
      </c>
      <c r="I212" s="277" t="n">
        <v>13</v>
      </c>
      <c r="J212" s="274" t="s">
        <v>623</v>
      </c>
      <c r="K212" s="278" t="n">
        <v>5</v>
      </c>
      <c r="L212" s="278" t="n">
        <v>3</v>
      </c>
      <c r="M212" s="188" t="s">
        <v>618</v>
      </c>
      <c r="N212" s="275" t="str">
        <f aca="false">IFERROR(IF(COUNTIF('📝 Daily Log'!$E$3:$E$600,D212)&gt;0,IF(COUNTIFS('📝 Daily Log'!$E$3:$E$600,D212,'📝 Daily Log'!$G$3:$G$600,"✅ Done")&gt;0,"✅ Done",IF(COUNTIFS('📝 Daily Log'!$E$3:$E$600,D212,'📝 Daily Log'!$G$3:$G$600,"🔄 Partial")&gt;0,"🔄 Partial","⬜ Pending")),"⬜ Pending"),"⬜ Pending")</f>
        <v>⬜ Pending</v>
      </c>
      <c r="O212" s="269"/>
      <c r="P212" s="275" t="str">
        <f aca="false">IF(O212&lt;&gt;"",O212,N212)</f>
        <v>⬜ Pending</v>
      </c>
      <c r="Q212" s="270" t="s">
        <v>1032</v>
      </c>
      <c r="R212" s="271" t="str">
        <f aca="false">IF(COUNTIF('📆 Daily Schedule'!$M$5:$M$427,D212)&gt;0,"⚡ In Swap","✅ Available")</f>
        <v>✅ Available</v>
      </c>
    </row>
    <row r="213" customFormat="false" ht="15.75" hidden="false" customHeight="true" outlineLevel="0" collapsed="false">
      <c r="A213" s="54" t="n">
        <v>210</v>
      </c>
      <c r="B213" s="54" t="s">
        <v>1007</v>
      </c>
      <c r="C213" s="76" t="n">
        <v>210</v>
      </c>
      <c r="D213" s="37" t="s">
        <v>1033</v>
      </c>
      <c r="E213" s="182" t="s">
        <v>434</v>
      </c>
      <c r="F213" s="39" t="n">
        <v>1.5</v>
      </c>
      <c r="G213" s="40" t="n">
        <v>3</v>
      </c>
      <c r="H213" s="41" t="n">
        <v>4</v>
      </c>
      <c r="I213" s="272" t="n">
        <v>14</v>
      </c>
      <c r="J213" s="274" t="s">
        <v>623</v>
      </c>
      <c r="K213" s="273" t="n">
        <v>5</v>
      </c>
      <c r="L213" s="273" t="n">
        <v>4</v>
      </c>
      <c r="M213" s="188" t="s">
        <v>618</v>
      </c>
      <c r="N213" s="76" t="str">
        <f aca="false">IFERROR(IF(COUNTIF('📝 Daily Log'!$E$3:$E$600,D213)&gt;0,IF(COUNTIFS('📝 Daily Log'!$E$3:$E$600,D213,'📝 Daily Log'!$G$3:$G$600,"✅ Done")&gt;0,"✅ Done",IF(COUNTIFS('📝 Daily Log'!$E$3:$E$600,D213,'📝 Daily Log'!$G$3:$G$600,"🔄 Partial")&gt;0,"🔄 Partial","⬜ Pending")),"⬜ Pending"),"⬜ Pending")</f>
        <v>⬜ Pending</v>
      </c>
      <c r="O213" s="269"/>
      <c r="P213" s="76" t="str">
        <f aca="false">IF(O213&lt;&gt;"",O213,N213)</f>
        <v>⬜ Pending</v>
      </c>
      <c r="Q213" s="270" t="s">
        <v>1034</v>
      </c>
      <c r="R213" s="271" t="str">
        <f aca="false">IF(COUNTIF('📆 Daily Schedule'!$M$5:$M$427,D213)&gt;0,"⚡ In Swap","✅ Available")</f>
        <v>✅ Available</v>
      </c>
    </row>
    <row r="214" customFormat="false" ht="15.75" hidden="false" customHeight="true" outlineLevel="0" collapsed="false">
      <c r="A214" s="54" t="n">
        <v>211</v>
      </c>
      <c r="B214" s="54" t="s">
        <v>1035</v>
      </c>
      <c r="C214" s="275" t="n">
        <v>211</v>
      </c>
      <c r="D214" s="276" t="s">
        <v>1036</v>
      </c>
      <c r="E214" s="182" t="s">
        <v>446</v>
      </c>
      <c r="F214" s="39" t="n">
        <v>0.5</v>
      </c>
      <c r="G214" s="40" t="n">
        <v>1</v>
      </c>
      <c r="H214" s="41" t="n">
        <v>1.5</v>
      </c>
      <c r="I214" s="277" t="n">
        <v>10</v>
      </c>
      <c r="J214" s="36" t="s">
        <v>617</v>
      </c>
      <c r="K214" s="278" t="n">
        <v>4</v>
      </c>
      <c r="L214" s="278" t="n">
        <v>2</v>
      </c>
      <c r="M214" s="182" t="s">
        <v>636</v>
      </c>
      <c r="N214" s="275" t="str">
        <f aca="false">IFERROR(IF(COUNTIF('📝 Daily Log'!$E$3:$E$600,D214)&gt;0,IF(COUNTIFS('📝 Daily Log'!$E$3:$E$600,D214,'📝 Daily Log'!$G$3:$G$600,"✅ Done")&gt;0,"✅ Done",IF(COUNTIFS('📝 Daily Log'!$E$3:$E$600,D214,'📝 Daily Log'!$G$3:$G$600,"🔄 Partial")&gt;0,"🔄 Partial","⬜ Pending")),"⬜ Pending"),"⬜ Pending")</f>
        <v>⬜ Pending</v>
      </c>
      <c r="O214" s="269"/>
      <c r="P214" s="275" t="str">
        <f aca="false">IF(O214&lt;&gt;"",O214,N214)</f>
        <v>⬜ Pending</v>
      </c>
      <c r="Q214" s="270" t="s">
        <v>1037</v>
      </c>
      <c r="R214" s="271" t="str">
        <f aca="false">IF(COUNTIF('📆 Daily Schedule'!$M$5:$M$427,D214)&gt;0,"⚡ In Swap","✅ Available")</f>
        <v>✅ Available</v>
      </c>
    </row>
    <row r="215" customFormat="false" ht="15.75" hidden="false" customHeight="true" outlineLevel="0" collapsed="false">
      <c r="A215" s="54" t="n">
        <v>212</v>
      </c>
      <c r="B215" s="54" t="s">
        <v>1035</v>
      </c>
      <c r="C215" s="76" t="n">
        <v>212</v>
      </c>
      <c r="D215" s="37" t="s">
        <v>1038</v>
      </c>
      <c r="E215" s="182" t="s">
        <v>446</v>
      </c>
      <c r="F215" s="39" t="n">
        <v>0.5</v>
      </c>
      <c r="G215" s="40" t="n">
        <v>1</v>
      </c>
      <c r="H215" s="41" t="n">
        <v>1.5</v>
      </c>
      <c r="I215" s="272" t="n">
        <v>10</v>
      </c>
      <c r="J215" s="36" t="s">
        <v>617</v>
      </c>
      <c r="K215" s="273" t="n">
        <v>4</v>
      </c>
      <c r="L215" s="273" t="n">
        <v>2</v>
      </c>
      <c r="M215" s="182" t="s">
        <v>636</v>
      </c>
      <c r="N215" s="76" t="str">
        <f aca="false">IFERROR(IF(COUNTIF('📝 Daily Log'!$E$3:$E$600,D215)&gt;0,IF(COUNTIFS('📝 Daily Log'!$E$3:$E$600,D215,'📝 Daily Log'!$G$3:$G$600,"✅ Done")&gt;0,"✅ Done",IF(COUNTIFS('📝 Daily Log'!$E$3:$E$600,D215,'📝 Daily Log'!$G$3:$G$600,"🔄 Partial")&gt;0,"🔄 Partial","⬜ Pending")),"⬜ Pending"),"⬜ Pending")</f>
        <v>⬜ Pending</v>
      </c>
      <c r="O215" s="269"/>
      <c r="P215" s="76" t="str">
        <f aca="false">IF(O215&lt;&gt;"",O215,N215)</f>
        <v>⬜ Pending</v>
      </c>
      <c r="Q215" s="270" t="s">
        <v>1039</v>
      </c>
      <c r="R215" s="271" t="str">
        <f aca="false">IF(COUNTIF('📆 Daily Schedule'!$M$5:$M$427,D215)&gt;0,"⚡ In Swap","✅ Available")</f>
        <v>✅ Available</v>
      </c>
    </row>
    <row r="216" customFormat="false" ht="15.75" hidden="false" customHeight="true" outlineLevel="0" collapsed="false">
      <c r="A216" s="54" t="n">
        <v>213</v>
      </c>
      <c r="B216" s="54" t="s">
        <v>1035</v>
      </c>
      <c r="C216" s="275" t="n">
        <v>213</v>
      </c>
      <c r="D216" s="276" t="s">
        <v>1040</v>
      </c>
      <c r="E216" s="182" t="s">
        <v>446</v>
      </c>
      <c r="F216" s="39" t="n">
        <v>0.5</v>
      </c>
      <c r="G216" s="40" t="n">
        <v>1</v>
      </c>
      <c r="H216" s="41" t="n">
        <v>1.5</v>
      </c>
      <c r="I216" s="277" t="n">
        <v>13</v>
      </c>
      <c r="J216" s="274" t="s">
        <v>623</v>
      </c>
      <c r="K216" s="278" t="n">
        <v>5</v>
      </c>
      <c r="L216" s="278" t="n">
        <v>3</v>
      </c>
      <c r="M216" s="188" t="s">
        <v>618</v>
      </c>
      <c r="N216" s="275" t="str">
        <f aca="false">IFERROR(IF(COUNTIF('📝 Daily Log'!$E$3:$E$600,D216)&gt;0,IF(COUNTIFS('📝 Daily Log'!$E$3:$E$600,D216,'📝 Daily Log'!$G$3:$G$600,"✅ Done")&gt;0,"✅ Done",IF(COUNTIFS('📝 Daily Log'!$E$3:$E$600,D216,'📝 Daily Log'!$G$3:$G$600,"🔄 Partial")&gt;0,"🔄 Partial","⬜ Pending")),"⬜ Pending"),"⬜ Pending")</f>
        <v>⬜ Pending</v>
      </c>
      <c r="O216" s="269"/>
      <c r="P216" s="275" t="str">
        <f aca="false">IF(O216&lt;&gt;"",O216,N216)</f>
        <v>⬜ Pending</v>
      </c>
      <c r="Q216" s="270" t="s">
        <v>1041</v>
      </c>
      <c r="R216" s="271" t="str">
        <f aca="false">IF(COUNTIF('📆 Daily Schedule'!$M$5:$M$427,D216)&gt;0,"⚡ In Swap","✅ Available")</f>
        <v>✅ Available</v>
      </c>
    </row>
    <row r="217" customFormat="false" ht="15.75" hidden="false" customHeight="true" outlineLevel="0" collapsed="false">
      <c r="A217" s="54" t="n">
        <v>214</v>
      </c>
      <c r="B217" s="54" t="s">
        <v>1035</v>
      </c>
      <c r="C217" s="76" t="n">
        <v>214</v>
      </c>
      <c r="D217" s="37" t="s">
        <v>1042</v>
      </c>
      <c r="E217" s="182" t="s">
        <v>446</v>
      </c>
      <c r="F217" s="39" t="n">
        <v>0.5</v>
      </c>
      <c r="G217" s="40" t="n">
        <v>1</v>
      </c>
      <c r="H217" s="41" t="n">
        <v>1.5</v>
      </c>
      <c r="I217" s="272" t="n">
        <v>14</v>
      </c>
      <c r="J217" s="274" t="s">
        <v>623</v>
      </c>
      <c r="K217" s="273" t="n">
        <v>5</v>
      </c>
      <c r="L217" s="273" t="n">
        <v>4</v>
      </c>
      <c r="M217" s="188" t="s">
        <v>618</v>
      </c>
      <c r="N217" s="76" t="str">
        <f aca="false">IFERROR(IF(COUNTIF('📝 Daily Log'!$E$3:$E$600,D217)&gt;0,IF(COUNTIFS('📝 Daily Log'!$E$3:$E$600,D217,'📝 Daily Log'!$G$3:$G$600,"✅ Done")&gt;0,"✅ Done",IF(COUNTIFS('📝 Daily Log'!$E$3:$E$600,D217,'📝 Daily Log'!$G$3:$G$600,"🔄 Partial")&gt;0,"🔄 Partial","⬜ Pending")),"⬜ Pending"),"⬜ Pending")</f>
        <v>⬜ Pending</v>
      </c>
      <c r="O217" s="269"/>
      <c r="P217" s="76" t="str">
        <f aca="false">IF(O217&lt;&gt;"",O217,N217)</f>
        <v>⬜ Pending</v>
      </c>
      <c r="Q217" s="270" t="s">
        <v>1043</v>
      </c>
      <c r="R217" s="271" t="str">
        <f aca="false">IF(COUNTIF('📆 Daily Schedule'!$M$5:$M$427,D217)&gt;0,"⚡ In Swap","✅ Available")</f>
        <v>✅ Available</v>
      </c>
    </row>
    <row r="218" customFormat="false" ht="15.75" hidden="false" customHeight="true" outlineLevel="0" collapsed="false">
      <c r="A218" s="54" t="n">
        <v>215</v>
      </c>
      <c r="B218" s="54" t="s">
        <v>1035</v>
      </c>
      <c r="C218" s="275" t="n">
        <v>215</v>
      </c>
      <c r="D218" s="276" t="s">
        <v>1044</v>
      </c>
      <c r="E218" s="182" t="s">
        <v>446</v>
      </c>
      <c r="F218" s="39" t="n">
        <v>0.3</v>
      </c>
      <c r="G218" s="40" t="n">
        <v>0.5</v>
      </c>
      <c r="H218" s="41" t="n">
        <v>0.75</v>
      </c>
      <c r="I218" s="277" t="n">
        <v>14</v>
      </c>
      <c r="J218" s="274" t="s">
        <v>623</v>
      </c>
      <c r="K218" s="278" t="n">
        <v>5</v>
      </c>
      <c r="L218" s="278" t="n">
        <v>4</v>
      </c>
      <c r="M218" s="188" t="s">
        <v>618</v>
      </c>
      <c r="N218" s="275" t="str">
        <f aca="false">IFERROR(IF(COUNTIF('📝 Daily Log'!$E$3:$E$600,D218)&gt;0,IF(COUNTIFS('📝 Daily Log'!$E$3:$E$600,D218,'📝 Daily Log'!$G$3:$G$600,"✅ Done")&gt;0,"✅ Done",IF(COUNTIFS('📝 Daily Log'!$E$3:$E$600,D218,'📝 Daily Log'!$G$3:$G$600,"🔄 Partial")&gt;0,"🔄 Partial","⬜ Pending")),"⬜ Pending"),"⬜ Pending")</f>
        <v>⬜ Pending</v>
      </c>
      <c r="O218" s="269"/>
      <c r="P218" s="275" t="str">
        <f aca="false">IF(O218&lt;&gt;"",O218,N218)</f>
        <v>⬜ Pending</v>
      </c>
      <c r="Q218" s="270" t="s">
        <v>893</v>
      </c>
      <c r="R218" s="271" t="str">
        <f aca="false">IF(COUNTIF('📆 Daily Schedule'!$M$5:$M$427,D218)&gt;0,"⚡ In Swap","✅ Available")</f>
        <v>✅ Available</v>
      </c>
    </row>
    <row r="219" customFormat="false" ht="15.75" hidden="false" customHeight="true" outlineLevel="0" collapsed="false">
      <c r="A219" s="54" t="n">
        <v>216</v>
      </c>
      <c r="B219" s="54" t="s">
        <v>1035</v>
      </c>
      <c r="C219" s="76" t="n">
        <v>216</v>
      </c>
      <c r="D219" s="37" t="s">
        <v>1045</v>
      </c>
      <c r="E219" s="182" t="s">
        <v>446</v>
      </c>
      <c r="F219" s="39" t="n">
        <v>1</v>
      </c>
      <c r="G219" s="40" t="n">
        <v>1.5</v>
      </c>
      <c r="H219" s="41" t="n">
        <v>2</v>
      </c>
      <c r="I219" s="272" t="n">
        <v>13</v>
      </c>
      <c r="J219" s="274" t="s">
        <v>623</v>
      </c>
      <c r="K219" s="273" t="n">
        <v>5</v>
      </c>
      <c r="L219" s="273" t="n">
        <v>3</v>
      </c>
      <c r="M219" s="188" t="s">
        <v>618</v>
      </c>
      <c r="N219" s="76" t="str">
        <f aca="false">IFERROR(IF(COUNTIF('📝 Daily Log'!$E$3:$E$600,D219)&gt;0,IF(COUNTIFS('📝 Daily Log'!$E$3:$E$600,D219,'📝 Daily Log'!$G$3:$G$600,"✅ Done")&gt;0,"✅ Done",IF(COUNTIFS('📝 Daily Log'!$E$3:$E$600,D219,'📝 Daily Log'!$G$3:$G$600,"🔄 Partial")&gt;0,"🔄 Partial","⬜ Pending")),"⬜ Pending"),"⬜ Pending")</f>
        <v>⬜ Pending</v>
      </c>
      <c r="O219" s="269"/>
      <c r="P219" s="76" t="str">
        <f aca="false">IF(O219&lt;&gt;"",O219,N219)</f>
        <v>⬜ Pending</v>
      </c>
      <c r="Q219" s="270" t="s">
        <v>1046</v>
      </c>
      <c r="R219" s="271" t="str">
        <f aca="false">IF(COUNTIF('📆 Daily Schedule'!$M$5:$M$427,D219)&gt;0,"⚡ In Swap","✅ Available")</f>
        <v>✅ Available</v>
      </c>
    </row>
    <row r="220" customFormat="false" ht="15.75" hidden="false" customHeight="true" outlineLevel="0" collapsed="false">
      <c r="A220" s="54" t="n">
        <v>217</v>
      </c>
      <c r="B220" s="54" t="s">
        <v>1035</v>
      </c>
      <c r="C220" s="275" t="n">
        <v>217</v>
      </c>
      <c r="D220" s="276" t="s">
        <v>1047</v>
      </c>
      <c r="E220" s="182" t="s">
        <v>446</v>
      </c>
      <c r="F220" s="39" t="n">
        <v>1.5</v>
      </c>
      <c r="G220" s="40" t="n">
        <v>3</v>
      </c>
      <c r="H220" s="41" t="n">
        <v>5</v>
      </c>
      <c r="I220" s="277" t="n">
        <v>13</v>
      </c>
      <c r="J220" s="274" t="s">
        <v>623</v>
      </c>
      <c r="K220" s="278" t="n">
        <v>5</v>
      </c>
      <c r="L220" s="278" t="n">
        <v>3</v>
      </c>
      <c r="M220" s="182" t="s">
        <v>636</v>
      </c>
      <c r="N220" s="275" t="str">
        <f aca="false">IFERROR(IF(COUNTIF('📝 Daily Log'!$E$3:$E$600,D220)&gt;0,IF(COUNTIFS('📝 Daily Log'!$E$3:$E$600,D220,'📝 Daily Log'!$G$3:$G$600,"✅ Done")&gt;0,"✅ Done",IF(COUNTIFS('📝 Daily Log'!$E$3:$E$600,D220,'📝 Daily Log'!$G$3:$G$600,"🔄 Partial")&gt;0,"🔄 Partial","⬜ Pending")),"⬜ Pending"),"⬜ Pending")</f>
        <v>⬜ Pending</v>
      </c>
      <c r="O220" s="269"/>
      <c r="P220" s="275" t="str">
        <f aca="false">IF(O220&lt;&gt;"",O220,N220)</f>
        <v>⬜ Pending</v>
      </c>
      <c r="Q220" s="270" t="s">
        <v>1048</v>
      </c>
      <c r="R220" s="271" t="str">
        <f aca="false">IF(COUNTIF('📆 Daily Schedule'!$M$5:$M$427,D220)&gt;0,"⚡ In Swap","✅ Available")</f>
        <v>✅ Available</v>
      </c>
    </row>
    <row r="221" customFormat="false" ht="15.75" hidden="false" customHeight="true" outlineLevel="0" collapsed="false">
      <c r="A221" s="54" t="n">
        <v>218</v>
      </c>
      <c r="B221" s="54" t="s">
        <v>1035</v>
      </c>
      <c r="C221" s="76" t="n">
        <v>218</v>
      </c>
      <c r="D221" s="37" t="s">
        <v>1049</v>
      </c>
      <c r="E221" s="182" t="s">
        <v>446</v>
      </c>
      <c r="F221" s="39" t="n">
        <v>0.5</v>
      </c>
      <c r="G221" s="40" t="n">
        <v>1</v>
      </c>
      <c r="H221" s="41" t="n">
        <v>1.5</v>
      </c>
      <c r="I221" s="272" t="n">
        <v>13</v>
      </c>
      <c r="J221" s="274" t="s">
        <v>623</v>
      </c>
      <c r="K221" s="273" t="n">
        <v>5</v>
      </c>
      <c r="L221" s="273" t="n">
        <v>3</v>
      </c>
      <c r="M221" s="188" t="s">
        <v>618</v>
      </c>
      <c r="N221" s="76" t="str">
        <f aca="false">IFERROR(IF(COUNTIF('📝 Daily Log'!$E$3:$E$600,D221)&gt;0,IF(COUNTIFS('📝 Daily Log'!$E$3:$E$600,D221,'📝 Daily Log'!$G$3:$G$600,"✅ Done")&gt;0,"✅ Done",IF(COUNTIFS('📝 Daily Log'!$E$3:$E$600,D221,'📝 Daily Log'!$G$3:$G$600,"🔄 Partial")&gt;0,"🔄 Partial","⬜ Pending")),"⬜ Pending"),"⬜ Pending")</f>
        <v>⬜ Pending</v>
      </c>
      <c r="O221" s="269"/>
      <c r="P221" s="76" t="str">
        <f aca="false">IF(O221&lt;&gt;"",O221,N221)</f>
        <v>⬜ Pending</v>
      </c>
      <c r="Q221" s="270" t="s">
        <v>1050</v>
      </c>
      <c r="R221" s="271" t="str">
        <f aca="false">IF(COUNTIF('📆 Daily Schedule'!$M$5:$M$427,D221)&gt;0,"⚡ In Swap","✅ Available")</f>
        <v>✅ Available</v>
      </c>
    </row>
    <row r="222" customFormat="false" ht="15.75" hidden="false" customHeight="true" outlineLevel="0" collapsed="false">
      <c r="A222" s="54" t="n">
        <v>219</v>
      </c>
      <c r="B222" s="54" t="s">
        <v>1035</v>
      </c>
      <c r="C222" s="275" t="n">
        <v>219</v>
      </c>
      <c r="D222" s="276" t="s">
        <v>1051</v>
      </c>
      <c r="E222" s="182" t="s">
        <v>446</v>
      </c>
      <c r="F222" s="39" t="n">
        <v>0.5</v>
      </c>
      <c r="G222" s="40" t="n">
        <v>1</v>
      </c>
      <c r="H222" s="41" t="n">
        <v>1.5</v>
      </c>
      <c r="I222" s="277" t="n">
        <v>13</v>
      </c>
      <c r="J222" s="274" t="s">
        <v>623</v>
      </c>
      <c r="K222" s="278" t="n">
        <v>5</v>
      </c>
      <c r="L222" s="278" t="n">
        <v>3</v>
      </c>
      <c r="M222" s="188" t="s">
        <v>618</v>
      </c>
      <c r="N222" s="275" t="str">
        <f aca="false">IFERROR(IF(COUNTIF('📝 Daily Log'!$E$3:$E$600,D222)&gt;0,IF(COUNTIFS('📝 Daily Log'!$E$3:$E$600,D222,'📝 Daily Log'!$G$3:$G$600,"✅ Done")&gt;0,"✅ Done",IF(COUNTIFS('📝 Daily Log'!$E$3:$E$600,D222,'📝 Daily Log'!$G$3:$G$600,"🔄 Partial")&gt;0,"🔄 Partial","⬜ Pending")),"⬜ Pending"),"⬜ Pending")</f>
        <v>⬜ Pending</v>
      </c>
      <c r="O222" s="269"/>
      <c r="P222" s="275" t="str">
        <f aca="false">IF(O222&lt;&gt;"",O222,N222)</f>
        <v>⬜ Pending</v>
      </c>
      <c r="Q222" s="270" t="s">
        <v>1052</v>
      </c>
      <c r="R222" s="271" t="str">
        <f aca="false">IF(COUNTIF('📆 Daily Schedule'!$M$5:$M$427,D222)&gt;0,"⚡ In Swap","✅ Available")</f>
        <v>✅ Available</v>
      </c>
    </row>
    <row r="223" customFormat="false" ht="15.75" hidden="false" customHeight="true" outlineLevel="0" collapsed="false">
      <c r="A223" s="54" t="n">
        <v>220</v>
      </c>
      <c r="B223" s="54" t="s">
        <v>1035</v>
      </c>
      <c r="C223" s="76" t="n">
        <v>220</v>
      </c>
      <c r="D223" s="37" t="s">
        <v>1053</v>
      </c>
      <c r="E223" s="182" t="s">
        <v>446</v>
      </c>
      <c r="F223" s="39" t="n">
        <v>0.5</v>
      </c>
      <c r="G223" s="40" t="n">
        <v>1</v>
      </c>
      <c r="H223" s="41" t="n">
        <v>1.5</v>
      </c>
      <c r="I223" s="272" t="n">
        <v>14</v>
      </c>
      <c r="J223" s="274" t="s">
        <v>623</v>
      </c>
      <c r="K223" s="273" t="n">
        <v>5</v>
      </c>
      <c r="L223" s="273" t="n">
        <v>4</v>
      </c>
      <c r="M223" s="188" t="s">
        <v>618</v>
      </c>
      <c r="N223" s="76" t="str">
        <f aca="false">IFERROR(IF(COUNTIF('📝 Daily Log'!$E$3:$E$600,D223)&gt;0,IF(COUNTIFS('📝 Daily Log'!$E$3:$E$600,D223,'📝 Daily Log'!$G$3:$G$600,"✅ Done")&gt;0,"✅ Done",IF(COUNTIFS('📝 Daily Log'!$E$3:$E$600,D223,'📝 Daily Log'!$G$3:$G$600,"🔄 Partial")&gt;0,"🔄 Partial","⬜ Pending")),"⬜ Pending"),"⬜ Pending")</f>
        <v>⬜ Pending</v>
      </c>
      <c r="O223" s="269"/>
      <c r="P223" s="76" t="str">
        <f aca="false">IF(O223&lt;&gt;"",O223,N223)</f>
        <v>⬜ Pending</v>
      </c>
      <c r="Q223" s="270" t="s">
        <v>1054</v>
      </c>
      <c r="R223" s="271" t="str">
        <f aca="false">IF(COUNTIF('📆 Daily Schedule'!$M$5:$M$427,D223)&gt;0,"⚡ In Swap","✅ Available")</f>
        <v>✅ Available</v>
      </c>
    </row>
    <row r="224" customFormat="false" ht="15.75" hidden="false" customHeight="true" outlineLevel="0" collapsed="false">
      <c r="A224" s="54" t="n">
        <v>221</v>
      </c>
      <c r="B224" s="54" t="s">
        <v>1035</v>
      </c>
      <c r="C224" s="275" t="n">
        <v>221</v>
      </c>
      <c r="D224" s="276" t="s">
        <v>1055</v>
      </c>
      <c r="E224" s="182" t="s">
        <v>446</v>
      </c>
      <c r="F224" s="39" t="n">
        <v>0.5</v>
      </c>
      <c r="G224" s="40" t="n">
        <v>0.75</v>
      </c>
      <c r="H224" s="41" t="n">
        <v>1</v>
      </c>
      <c r="I224" s="277" t="n">
        <v>11</v>
      </c>
      <c r="J224" s="36" t="s">
        <v>617</v>
      </c>
      <c r="K224" s="278" t="n">
        <v>4</v>
      </c>
      <c r="L224" s="278" t="n">
        <v>3</v>
      </c>
      <c r="M224" s="188" t="s">
        <v>618</v>
      </c>
      <c r="N224" s="275" t="str">
        <f aca="false">IFERROR(IF(COUNTIF('📝 Daily Log'!$E$3:$E$600,D224)&gt;0,IF(COUNTIFS('📝 Daily Log'!$E$3:$E$600,D224,'📝 Daily Log'!$G$3:$G$600,"✅ Done")&gt;0,"✅ Done",IF(COUNTIFS('📝 Daily Log'!$E$3:$E$600,D224,'📝 Daily Log'!$G$3:$G$600,"🔄 Partial")&gt;0,"🔄 Partial","⬜ Pending")),"⬜ Pending"),"⬜ Pending")</f>
        <v>⬜ Pending</v>
      </c>
      <c r="O224" s="269"/>
      <c r="P224" s="275" t="str">
        <f aca="false">IF(O224&lt;&gt;"",O224,N224)</f>
        <v>⬜ Pending</v>
      </c>
      <c r="Q224" s="270" t="s">
        <v>1056</v>
      </c>
      <c r="R224" s="271" t="str">
        <f aca="false">IF(COUNTIF('📆 Daily Schedule'!$M$5:$M$427,D224)&gt;0,"⚡ In Swap","✅ Available")</f>
        <v>✅ Available</v>
      </c>
    </row>
    <row r="225" customFormat="false" ht="15.75" hidden="false" customHeight="true" outlineLevel="0" collapsed="false">
      <c r="A225" s="54" t="n">
        <v>222</v>
      </c>
      <c r="B225" s="54" t="s">
        <v>1035</v>
      </c>
      <c r="C225" s="76" t="n">
        <v>222</v>
      </c>
      <c r="D225" s="37" t="s">
        <v>1057</v>
      </c>
      <c r="E225" s="182" t="s">
        <v>446</v>
      </c>
      <c r="F225" s="39" t="n">
        <v>0.3</v>
      </c>
      <c r="G225" s="40" t="n">
        <v>0.5</v>
      </c>
      <c r="H225" s="41" t="n">
        <v>0.75</v>
      </c>
      <c r="I225" s="272" t="n">
        <v>15</v>
      </c>
      <c r="J225" s="274" t="s">
        <v>623</v>
      </c>
      <c r="K225" s="273" t="n">
        <v>5</v>
      </c>
      <c r="L225" s="273" t="n">
        <v>5</v>
      </c>
      <c r="M225" s="188" t="s">
        <v>618</v>
      </c>
      <c r="N225" s="76" t="str">
        <f aca="false">IFERROR(IF(COUNTIF('📝 Daily Log'!$E$3:$E$600,D225)&gt;0,IF(COUNTIFS('📝 Daily Log'!$E$3:$E$600,D225,'📝 Daily Log'!$G$3:$G$600,"✅ Done")&gt;0,"✅ Done",IF(COUNTIFS('📝 Daily Log'!$E$3:$E$600,D225,'📝 Daily Log'!$G$3:$G$600,"🔄 Partial")&gt;0,"🔄 Partial","⬜ Pending")),"⬜ Pending"),"⬜ Pending")</f>
        <v>⬜ Pending</v>
      </c>
      <c r="O225" s="269"/>
      <c r="P225" s="76" t="str">
        <f aca="false">IF(O225&lt;&gt;"",O225,N225)</f>
        <v>⬜ Pending</v>
      </c>
      <c r="Q225" s="270" t="s">
        <v>1058</v>
      </c>
      <c r="R225" s="271" t="str">
        <f aca="false">IF(COUNTIF('📆 Daily Schedule'!$M$5:$M$427,D225)&gt;0,"⚡ In Swap","✅ Available")</f>
        <v>✅ Available</v>
      </c>
    </row>
    <row r="226" customFormat="false" ht="15.75" hidden="false" customHeight="true" outlineLevel="0" collapsed="false">
      <c r="A226" s="54" t="n">
        <v>223</v>
      </c>
      <c r="B226" s="54" t="s">
        <v>1035</v>
      </c>
      <c r="C226" s="275" t="n">
        <v>223</v>
      </c>
      <c r="D226" s="276" t="s">
        <v>1059</v>
      </c>
      <c r="E226" s="182" t="s">
        <v>446</v>
      </c>
      <c r="F226" s="39" t="n">
        <v>2</v>
      </c>
      <c r="G226" s="40" t="n">
        <v>3</v>
      </c>
      <c r="H226" s="41" t="n">
        <v>4</v>
      </c>
      <c r="I226" s="277" t="n">
        <v>13</v>
      </c>
      <c r="J226" s="274" t="s">
        <v>623</v>
      </c>
      <c r="K226" s="278" t="n">
        <v>5</v>
      </c>
      <c r="L226" s="278" t="n">
        <v>3</v>
      </c>
      <c r="M226" s="188" t="s">
        <v>618</v>
      </c>
      <c r="N226" s="275" t="str">
        <f aca="false">IFERROR(IF(COUNTIF('📝 Daily Log'!$E$3:$E$600,D226)&gt;0,IF(COUNTIFS('📝 Daily Log'!$E$3:$E$600,D226,'📝 Daily Log'!$G$3:$G$600,"✅ Done")&gt;0,"✅ Done",IF(COUNTIFS('📝 Daily Log'!$E$3:$E$600,D226,'📝 Daily Log'!$G$3:$G$600,"🔄 Partial")&gt;0,"🔄 Partial","⬜ Pending")),"⬜ Pending"),"⬜ Pending")</f>
        <v>⬜ Pending</v>
      </c>
      <c r="O226" s="269"/>
      <c r="P226" s="275" t="str">
        <f aca="false">IF(O226&lt;&gt;"",O226,N226)</f>
        <v>⬜ Pending</v>
      </c>
      <c r="Q226" s="270" t="s">
        <v>1060</v>
      </c>
      <c r="R226" s="271" t="str">
        <f aca="false">IF(COUNTIF('📆 Daily Schedule'!$M$5:$M$427,D226)&gt;0,"⚡ In Swap","✅ Available")</f>
        <v>✅ Available</v>
      </c>
    </row>
    <row r="227" customFormat="false" ht="15.75" hidden="false" customHeight="true" outlineLevel="0" collapsed="false">
      <c r="A227" s="54" t="n">
        <v>224</v>
      </c>
      <c r="B227" s="54" t="s">
        <v>1035</v>
      </c>
      <c r="C227" s="76" t="n">
        <v>224</v>
      </c>
      <c r="D227" s="37" t="s">
        <v>1061</v>
      </c>
      <c r="E227" s="182" t="s">
        <v>446</v>
      </c>
      <c r="F227" s="39" t="n">
        <v>1</v>
      </c>
      <c r="G227" s="40" t="n">
        <v>1.5</v>
      </c>
      <c r="H227" s="41" t="n">
        <v>2</v>
      </c>
      <c r="I227" s="272" t="n">
        <v>13</v>
      </c>
      <c r="J227" s="274" t="s">
        <v>623</v>
      </c>
      <c r="K227" s="273" t="n">
        <v>5</v>
      </c>
      <c r="L227" s="273" t="n">
        <v>3</v>
      </c>
      <c r="M227" s="188" t="s">
        <v>618</v>
      </c>
      <c r="N227" s="76" t="str">
        <f aca="false">IFERROR(IF(COUNTIF('📝 Daily Log'!$E$3:$E$600,D227)&gt;0,IF(COUNTIFS('📝 Daily Log'!$E$3:$E$600,D227,'📝 Daily Log'!$G$3:$G$600,"✅ Done")&gt;0,"✅ Done",IF(COUNTIFS('📝 Daily Log'!$E$3:$E$600,D227,'📝 Daily Log'!$G$3:$G$600,"🔄 Partial")&gt;0,"🔄 Partial","⬜ Pending")),"⬜ Pending"),"⬜ Pending")</f>
        <v>⬜ Pending</v>
      </c>
      <c r="O227" s="269"/>
      <c r="P227" s="76" t="str">
        <f aca="false">IF(O227&lt;&gt;"",O227,N227)</f>
        <v>⬜ Pending</v>
      </c>
      <c r="Q227" s="270" t="s">
        <v>1062</v>
      </c>
      <c r="R227" s="271" t="str">
        <f aca="false">IF(COUNTIF('📆 Daily Schedule'!$M$5:$M$427,D227)&gt;0,"⚡ In Swap","✅ Available")</f>
        <v>✅ Available</v>
      </c>
    </row>
    <row r="228" customFormat="false" ht="15.75" hidden="false" customHeight="true" outlineLevel="0" collapsed="false">
      <c r="A228" s="54" t="n">
        <v>225</v>
      </c>
      <c r="B228" s="54" t="s">
        <v>1035</v>
      </c>
      <c r="C228" s="275" t="n">
        <v>225</v>
      </c>
      <c r="D228" s="276" t="s">
        <v>1063</v>
      </c>
      <c r="E228" s="182" t="s">
        <v>446</v>
      </c>
      <c r="F228" s="39" t="n">
        <v>0.5</v>
      </c>
      <c r="G228" s="40" t="n">
        <v>1</v>
      </c>
      <c r="H228" s="41" t="n">
        <v>1.5</v>
      </c>
      <c r="I228" s="277" t="n">
        <v>14</v>
      </c>
      <c r="J228" s="274" t="s">
        <v>623</v>
      </c>
      <c r="K228" s="278" t="n">
        <v>5</v>
      </c>
      <c r="L228" s="278" t="n">
        <v>4</v>
      </c>
      <c r="M228" s="188" t="s">
        <v>618</v>
      </c>
      <c r="N228" s="275" t="str">
        <f aca="false">IFERROR(IF(COUNTIF('📝 Daily Log'!$E$3:$E$600,D228)&gt;0,IF(COUNTIFS('📝 Daily Log'!$E$3:$E$600,D228,'📝 Daily Log'!$G$3:$G$600,"✅ Done")&gt;0,"✅ Done",IF(COUNTIFS('📝 Daily Log'!$E$3:$E$600,D228,'📝 Daily Log'!$G$3:$G$600,"🔄 Partial")&gt;0,"🔄 Partial","⬜ Pending")),"⬜ Pending"),"⬜ Pending")</f>
        <v>⬜ Pending</v>
      </c>
      <c r="O228" s="269"/>
      <c r="P228" s="275" t="str">
        <f aca="false">IF(O228&lt;&gt;"",O228,N228)</f>
        <v>⬜ Pending</v>
      </c>
      <c r="Q228" s="270" t="s">
        <v>1064</v>
      </c>
      <c r="R228" s="271" t="str">
        <f aca="false">IF(COUNTIF('📆 Daily Schedule'!$M$5:$M$427,D228)&gt;0,"⚡ In Swap","✅ Available")</f>
        <v>✅ Available</v>
      </c>
    </row>
    <row r="229" customFormat="false" ht="15.75" hidden="false" customHeight="true" outlineLevel="0" collapsed="false">
      <c r="A229" s="54" t="n">
        <v>226</v>
      </c>
      <c r="B229" s="54" t="s">
        <v>1035</v>
      </c>
      <c r="C229" s="76" t="n">
        <v>226</v>
      </c>
      <c r="D229" s="37" t="s">
        <v>1065</v>
      </c>
      <c r="E229" s="182" t="s">
        <v>446</v>
      </c>
      <c r="F229" s="39" t="n">
        <v>0.5</v>
      </c>
      <c r="G229" s="40" t="n">
        <v>1</v>
      </c>
      <c r="H229" s="41" t="n">
        <v>1.5</v>
      </c>
      <c r="I229" s="272" t="n">
        <v>12</v>
      </c>
      <c r="J229" s="274" t="s">
        <v>623</v>
      </c>
      <c r="K229" s="273" t="n">
        <v>4</v>
      </c>
      <c r="L229" s="273" t="n">
        <v>4</v>
      </c>
      <c r="M229" s="188" t="s">
        <v>618</v>
      </c>
      <c r="N229" s="76" t="str">
        <f aca="false">IFERROR(IF(COUNTIF('📝 Daily Log'!$E$3:$E$600,D229)&gt;0,IF(COUNTIFS('📝 Daily Log'!$E$3:$E$600,D229,'📝 Daily Log'!$G$3:$G$600,"✅ Done")&gt;0,"✅ Done",IF(COUNTIFS('📝 Daily Log'!$E$3:$E$600,D229,'📝 Daily Log'!$G$3:$G$600,"🔄 Partial")&gt;0,"🔄 Partial","⬜ Pending")),"⬜ Pending"),"⬜ Pending")</f>
        <v>⬜ Pending</v>
      </c>
      <c r="O229" s="269"/>
      <c r="P229" s="76" t="str">
        <f aca="false">IF(O229&lt;&gt;"",O229,N229)</f>
        <v>⬜ Pending</v>
      </c>
      <c r="Q229" s="270" t="s">
        <v>1066</v>
      </c>
      <c r="R229" s="271" t="str">
        <f aca="false">IF(COUNTIF('📆 Daily Schedule'!$M$5:$M$427,D229)&gt;0,"⚡ In Swap","✅ Available")</f>
        <v>✅ Available</v>
      </c>
    </row>
    <row r="230" customFormat="false" ht="15.75" hidden="false" customHeight="true" outlineLevel="0" collapsed="false">
      <c r="A230" s="54" t="n">
        <v>227</v>
      </c>
      <c r="B230" s="54" t="s">
        <v>1035</v>
      </c>
      <c r="C230" s="275" t="n">
        <v>227</v>
      </c>
      <c r="D230" s="276" t="s">
        <v>1067</v>
      </c>
      <c r="E230" s="182" t="s">
        <v>446</v>
      </c>
      <c r="F230" s="39" t="n">
        <v>0.5</v>
      </c>
      <c r="G230" s="40" t="n">
        <v>0.75</v>
      </c>
      <c r="H230" s="41" t="n">
        <v>1</v>
      </c>
      <c r="I230" s="277" t="n">
        <v>11</v>
      </c>
      <c r="J230" s="36" t="s">
        <v>617</v>
      </c>
      <c r="K230" s="278" t="n">
        <v>4</v>
      </c>
      <c r="L230" s="278" t="n">
        <v>3</v>
      </c>
      <c r="M230" s="188" t="s">
        <v>618</v>
      </c>
      <c r="N230" s="275" t="str">
        <f aca="false">IFERROR(IF(COUNTIF('📝 Daily Log'!$E$3:$E$600,D230)&gt;0,IF(COUNTIFS('📝 Daily Log'!$E$3:$E$600,D230,'📝 Daily Log'!$G$3:$G$600,"✅ Done")&gt;0,"✅ Done",IF(COUNTIFS('📝 Daily Log'!$E$3:$E$600,D230,'📝 Daily Log'!$G$3:$G$600,"🔄 Partial")&gt;0,"🔄 Partial","⬜ Pending")),"⬜ Pending"),"⬜ Pending")</f>
        <v>⬜ Pending</v>
      </c>
      <c r="O230" s="269"/>
      <c r="P230" s="275" t="str">
        <f aca="false">IF(O230&lt;&gt;"",O230,N230)</f>
        <v>⬜ Pending</v>
      </c>
      <c r="Q230" s="270" t="s">
        <v>1068</v>
      </c>
      <c r="R230" s="271" t="str">
        <f aca="false">IF(COUNTIF('📆 Daily Schedule'!$M$5:$M$427,D230)&gt;0,"⚡ In Swap","✅ Available")</f>
        <v>✅ Available</v>
      </c>
    </row>
    <row r="231" customFormat="false" ht="15.75" hidden="false" customHeight="true" outlineLevel="0" collapsed="false">
      <c r="A231" s="54" t="n">
        <v>228</v>
      </c>
      <c r="B231" s="54" t="s">
        <v>1035</v>
      </c>
      <c r="C231" s="76" t="n">
        <v>228</v>
      </c>
      <c r="D231" s="37" t="s">
        <v>1069</v>
      </c>
      <c r="E231" s="182" t="s">
        <v>446</v>
      </c>
      <c r="F231" s="39" t="n">
        <v>1</v>
      </c>
      <c r="G231" s="40" t="n">
        <v>2</v>
      </c>
      <c r="H231" s="41" t="n">
        <v>3</v>
      </c>
      <c r="I231" s="272" t="n">
        <v>13</v>
      </c>
      <c r="J231" s="274" t="s">
        <v>623</v>
      </c>
      <c r="K231" s="273" t="n">
        <v>5</v>
      </c>
      <c r="L231" s="273" t="n">
        <v>3</v>
      </c>
      <c r="M231" s="188" t="s">
        <v>618</v>
      </c>
      <c r="N231" s="76" t="str">
        <f aca="false">IFERROR(IF(COUNTIF('📝 Daily Log'!$E$3:$E$600,D231)&gt;0,IF(COUNTIFS('📝 Daily Log'!$E$3:$E$600,D231,'📝 Daily Log'!$G$3:$G$600,"✅ Done")&gt;0,"✅ Done",IF(COUNTIFS('📝 Daily Log'!$E$3:$E$600,D231,'📝 Daily Log'!$G$3:$G$600,"🔄 Partial")&gt;0,"🔄 Partial","⬜ Pending")),"⬜ Pending"),"⬜ Pending")</f>
        <v>⬜ Pending</v>
      </c>
      <c r="O231" s="269"/>
      <c r="P231" s="76" t="str">
        <f aca="false">IF(O231&lt;&gt;"",O231,N231)</f>
        <v>⬜ Pending</v>
      </c>
      <c r="Q231" s="270" t="s">
        <v>1070</v>
      </c>
      <c r="R231" s="271" t="str">
        <f aca="false">IF(COUNTIF('📆 Daily Schedule'!$M$5:$M$427,D231)&gt;0,"⚡ In Swap","✅ Available")</f>
        <v>✅ Available</v>
      </c>
    </row>
    <row r="232" customFormat="false" ht="15.75" hidden="false" customHeight="true" outlineLevel="0" collapsed="false">
      <c r="A232" s="54" t="n">
        <v>229</v>
      </c>
      <c r="B232" s="54" t="s">
        <v>1035</v>
      </c>
      <c r="C232" s="275" t="n">
        <v>229</v>
      </c>
      <c r="D232" s="276" t="s">
        <v>1071</v>
      </c>
      <c r="E232" s="182" t="s">
        <v>446</v>
      </c>
      <c r="F232" s="39" t="n">
        <v>0.3</v>
      </c>
      <c r="G232" s="40" t="n">
        <v>0.5</v>
      </c>
      <c r="H232" s="41" t="n">
        <v>0.75</v>
      </c>
      <c r="I232" s="277" t="n">
        <v>13</v>
      </c>
      <c r="J232" s="274" t="s">
        <v>623</v>
      </c>
      <c r="K232" s="278" t="n">
        <v>5</v>
      </c>
      <c r="L232" s="278" t="n">
        <v>3</v>
      </c>
      <c r="M232" s="188" t="s">
        <v>618</v>
      </c>
      <c r="N232" s="275" t="str">
        <f aca="false">IFERROR(IF(COUNTIF('📝 Daily Log'!$E$3:$E$600,D232)&gt;0,IF(COUNTIFS('📝 Daily Log'!$E$3:$E$600,D232,'📝 Daily Log'!$G$3:$G$600,"✅ Done")&gt;0,"✅ Done",IF(COUNTIFS('📝 Daily Log'!$E$3:$E$600,D232,'📝 Daily Log'!$G$3:$G$600,"🔄 Partial")&gt;0,"🔄 Partial","⬜ Pending")),"⬜ Pending"),"⬜ Pending")</f>
        <v>⬜ Pending</v>
      </c>
      <c r="O232" s="269"/>
      <c r="P232" s="275" t="str">
        <f aca="false">IF(O232&lt;&gt;"",O232,N232)</f>
        <v>⬜ Pending</v>
      </c>
      <c r="Q232" s="270" t="s">
        <v>1072</v>
      </c>
      <c r="R232" s="271" t="str">
        <f aca="false">IF(COUNTIF('📆 Daily Schedule'!$M$5:$M$427,D232)&gt;0,"⚡ In Swap","✅ Available")</f>
        <v>✅ Available</v>
      </c>
    </row>
    <row r="233" customFormat="false" ht="15.75" hidden="false" customHeight="true" outlineLevel="0" collapsed="false">
      <c r="A233" s="54" t="n">
        <v>230</v>
      </c>
      <c r="B233" s="54" t="s">
        <v>1035</v>
      </c>
      <c r="C233" s="76" t="n">
        <v>230</v>
      </c>
      <c r="D233" s="37" t="s">
        <v>1073</v>
      </c>
      <c r="E233" s="182" t="s">
        <v>446</v>
      </c>
      <c r="F233" s="39" t="n">
        <v>1</v>
      </c>
      <c r="G233" s="40" t="n">
        <v>1.5</v>
      </c>
      <c r="H233" s="41" t="n">
        <v>2</v>
      </c>
      <c r="I233" s="272" t="n">
        <v>13</v>
      </c>
      <c r="J233" s="274" t="s">
        <v>623</v>
      </c>
      <c r="K233" s="273" t="n">
        <v>5</v>
      </c>
      <c r="L233" s="273" t="n">
        <v>3</v>
      </c>
      <c r="M233" s="188" t="s">
        <v>618</v>
      </c>
      <c r="N233" s="76" t="str">
        <f aca="false">IFERROR(IF(COUNTIF('📝 Daily Log'!$E$3:$E$600,D233)&gt;0,IF(COUNTIFS('📝 Daily Log'!$E$3:$E$600,D233,'📝 Daily Log'!$G$3:$G$600,"✅ Done")&gt;0,"✅ Done",IF(COUNTIFS('📝 Daily Log'!$E$3:$E$600,D233,'📝 Daily Log'!$G$3:$G$600,"🔄 Partial")&gt;0,"🔄 Partial","⬜ Pending")),"⬜ Pending"),"⬜ Pending")</f>
        <v>⬜ Pending</v>
      </c>
      <c r="O233" s="269"/>
      <c r="P233" s="76" t="str">
        <f aca="false">IF(O233&lt;&gt;"",O233,N233)</f>
        <v>⬜ Pending</v>
      </c>
      <c r="Q233" s="270" t="s">
        <v>1074</v>
      </c>
      <c r="R233" s="271" t="str">
        <f aca="false">IF(COUNTIF('📆 Daily Schedule'!$M$5:$M$427,D233)&gt;0,"⚡ In Swap","✅ Available")</f>
        <v>✅ Available</v>
      </c>
    </row>
    <row r="234" customFormat="false" ht="15.75" hidden="false" customHeight="true" outlineLevel="0" collapsed="false">
      <c r="A234" s="54" t="n">
        <v>231</v>
      </c>
      <c r="B234" s="54" t="s">
        <v>1035</v>
      </c>
      <c r="C234" s="275" t="n">
        <v>231</v>
      </c>
      <c r="D234" s="276" t="s">
        <v>1075</v>
      </c>
      <c r="E234" s="182" t="s">
        <v>446</v>
      </c>
      <c r="F234" s="39" t="n">
        <v>1.5</v>
      </c>
      <c r="G234" s="40" t="n">
        <v>3</v>
      </c>
      <c r="H234" s="41" t="n">
        <v>5</v>
      </c>
      <c r="I234" s="277" t="n">
        <v>13</v>
      </c>
      <c r="J234" s="274" t="s">
        <v>623</v>
      </c>
      <c r="K234" s="278" t="n">
        <v>5</v>
      </c>
      <c r="L234" s="278" t="n">
        <v>3</v>
      </c>
      <c r="M234" s="182" t="s">
        <v>636</v>
      </c>
      <c r="N234" s="275" t="str">
        <f aca="false">IFERROR(IF(COUNTIF('📝 Daily Log'!$E$3:$E$600,D234)&gt;0,IF(COUNTIFS('📝 Daily Log'!$E$3:$E$600,D234,'📝 Daily Log'!$G$3:$G$600,"✅ Done")&gt;0,"✅ Done",IF(COUNTIFS('📝 Daily Log'!$E$3:$E$600,D234,'📝 Daily Log'!$G$3:$G$600,"🔄 Partial")&gt;0,"🔄 Partial","⬜ Pending")),"⬜ Pending"),"⬜ Pending")</f>
        <v>⬜ Pending</v>
      </c>
      <c r="O234" s="269"/>
      <c r="P234" s="275" t="str">
        <f aca="false">IF(O234&lt;&gt;"",O234,N234)</f>
        <v>⬜ Pending</v>
      </c>
      <c r="Q234" s="270" t="s">
        <v>1076</v>
      </c>
      <c r="R234" s="271" t="str">
        <f aca="false">IF(COUNTIF('📆 Daily Schedule'!$M$5:$M$427,D234)&gt;0,"⚡ In Swap","✅ Available")</f>
        <v>✅ Available</v>
      </c>
    </row>
    <row r="235" customFormat="false" ht="15.75" hidden="false" customHeight="true" outlineLevel="0" collapsed="false">
      <c r="A235" s="54" t="n">
        <v>232</v>
      </c>
      <c r="B235" s="54" t="s">
        <v>1035</v>
      </c>
      <c r="C235" s="76" t="n">
        <v>232</v>
      </c>
      <c r="D235" s="37" t="s">
        <v>1077</v>
      </c>
      <c r="E235" s="182" t="s">
        <v>446</v>
      </c>
      <c r="F235" s="39" t="n">
        <v>0.5</v>
      </c>
      <c r="G235" s="40" t="n">
        <v>1</v>
      </c>
      <c r="H235" s="41" t="n">
        <v>1.5</v>
      </c>
      <c r="I235" s="272" t="n">
        <v>14</v>
      </c>
      <c r="J235" s="274" t="s">
        <v>623</v>
      </c>
      <c r="K235" s="273" t="n">
        <v>5</v>
      </c>
      <c r="L235" s="273" t="n">
        <v>4</v>
      </c>
      <c r="M235" s="188" t="s">
        <v>618</v>
      </c>
      <c r="N235" s="76" t="str">
        <f aca="false">IFERROR(IF(COUNTIF('📝 Daily Log'!$E$3:$E$600,D235)&gt;0,IF(COUNTIFS('📝 Daily Log'!$E$3:$E$600,D235,'📝 Daily Log'!$G$3:$G$600,"✅ Done")&gt;0,"✅ Done",IF(COUNTIFS('📝 Daily Log'!$E$3:$E$600,D235,'📝 Daily Log'!$G$3:$G$600,"🔄 Partial")&gt;0,"🔄 Partial","⬜ Pending")),"⬜ Pending"),"⬜ Pending")</f>
        <v>⬜ Pending</v>
      </c>
      <c r="O235" s="269"/>
      <c r="P235" s="76" t="str">
        <f aca="false">IF(O235&lt;&gt;"",O235,N235)</f>
        <v>⬜ Pending</v>
      </c>
      <c r="Q235" s="270" t="s">
        <v>1078</v>
      </c>
      <c r="R235" s="271" t="str">
        <f aca="false">IF(COUNTIF('📆 Daily Schedule'!$M$5:$M$427,D235)&gt;0,"⚡ In Swap","✅ Available")</f>
        <v>✅ Available</v>
      </c>
    </row>
    <row r="236" customFormat="false" ht="15.75" hidden="false" customHeight="true" outlineLevel="0" collapsed="false">
      <c r="A236" s="54" t="n">
        <v>233</v>
      </c>
      <c r="B236" s="54" t="s">
        <v>1035</v>
      </c>
      <c r="C236" s="275" t="n">
        <v>233</v>
      </c>
      <c r="D236" s="276" t="s">
        <v>1079</v>
      </c>
      <c r="E236" s="182" t="s">
        <v>446</v>
      </c>
      <c r="F236" s="39" t="n">
        <v>0.5</v>
      </c>
      <c r="G236" s="40" t="n">
        <v>1</v>
      </c>
      <c r="H236" s="41" t="n">
        <v>1.5</v>
      </c>
      <c r="I236" s="277" t="n">
        <v>14</v>
      </c>
      <c r="J236" s="274" t="s">
        <v>623</v>
      </c>
      <c r="K236" s="278" t="n">
        <v>5</v>
      </c>
      <c r="L236" s="278" t="n">
        <v>4</v>
      </c>
      <c r="M236" s="188" t="s">
        <v>618</v>
      </c>
      <c r="N236" s="275" t="str">
        <f aca="false">IFERROR(IF(COUNTIF('📝 Daily Log'!$E$3:$E$600,D236)&gt;0,IF(COUNTIFS('📝 Daily Log'!$E$3:$E$600,D236,'📝 Daily Log'!$G$3:$G$600,"✅ Done")&gt;0,"✅ Done",IF(COUNTIFS('📝 Daily Log'!$E$3:$E$600,D236,'📝 Daily Log'!$G$3:$G$600,"🔄 Partial")&gt;0,"🔄 Partial","⬜ Pending")),"⬜ Pending"),"⬜ Pending")</f>
        <v>⬜ Pending</v>
      </c>
      <c r="O236" s="269"/>
      <c r="P236" s="275" t="str">
        <f aca="false">IF(O236&lt;&gt;"",O236,N236)</f>
        <v>⬜ Pending</v>
      </c>
      <c r="Q236" s="270" t="s">
        <v>1080</v>
      </c>
      <c r="R236" s="271" t="str">
        <f aca="false">IF(COUNTIF('📆 Daily Schedule'!$M$5:$M$427,D236)&gt;0,"⚡ In Swap","✅ Available")</f>
        <v>✅ Available</v>
      </c>
    </row>
    <row r="237" customFormat="false" ht="15.75" hidden="false" customHeight="true" outlineLevel="0" collapsed="false">
      <c r="A237" s="54" t="n">
        <v>234</v>
      </c>
      <c r="B237" s="54" t="s">
        <v>1035</v>
      </c>
      <c r="C237" s="76" t="n">
        <v>234</v>
      </c>
      <c r="D237" s="37" t="s">
        <v>1081</v>
      </c>
      <c r="E237" s="182" t="s">
        <v>446</v>
      </c>
      <c r="F237" s="39" t="n">
        <v>0.5</v>
      </c>
      <c r="G237" s="40" t="n">
        <v>0.75</v>
      </c>
      <c r="H237" s="41" t="n">
        <v>1</v>
      </c>
      <c r="I237" s="272" t="n">
        <v>11</v>
      </c>
      <c r="J237" s="36" t="s">
        <v>617</v>
      </c>
      <c r="K237" s="273" t="n">
        <v>4</v>
      </c>
      <c r="L237" s="273" t="n">
        <v>3</v>
      </c>
      <c r="M237" s="188" t="s">
        <v>618</v>
      </c>
      <c r="N237" s="76" t="str">
        <f aca="false">IFERROR(IF(COUNTIF('📝 Daily Log'!$E$3:$E$600,D237)&gt;0,IF(COUNTIFS('📝 Daily Log'!$E$3:$E$600,D237,'📝 Daily Log'!$G$3:$G$600,"✅ Done")&gt;0,"✅ Done",IF(COUNTIFS('📝 Daily Log'!$E$3:$E$600,D237,'📝 Daily Log'!$G$3:$G$600,"🔄 Partial")&gt;0,"🔄 Partial","⬜ Pending")),"⬜ Pending"),"⬜ Pending")</f>
        <v>⬜ Pending</v>
      </c>
      <c r="O237" s="269"/>
      <c r="P237" s="76" t="str">
        <f aca="false">IF(O237&lt;&gt;"",O237,N237)</f>
        <v>⬜ Pending</v>
      </c>
      <c r="Q237" s="270" t="s">
        <v>1082</v>
      </c>
      <c r="R237" s="271" t="str">
        <f aca="false">IF(COUNTIF('📆 Daily Schedule'!$M$5:$M$427,D237)&gt;0,"⚡ In Swap","✅ Available")</f>
        <v>✅ Available</v>
      </c>
    </row>
    <row r="238" customFormat="false" ht="15.75" hidden="false" customHeight="true" outlineLevel="0" collapsed="false">
      <c r="A238" s="54" t="n">
        <v>235</v>
      </c>
      <c r="B238" s="54" t="s">
        <v>1035</v>
      </c>
      <c r="C238" s="275" t="n">
        <v>235</v>
      </c>
      <c r="D238" s="276" t="s">
        <v>1083</v>
      </c>
      <c r="E238" s="182" t="s">
        <v>446</v>
      </c>
      <c r="F238" s="39" t="n">
        <v>0.5</v>
      </c>
      <c r="G238" s="40" t="n">
        <v>0.75</v>
      </c>
      <c r="H238" s="41" t="n">
        <v>1</v>
      </c>
      <c r="I238" s="277" t="n">
        <v>13</v>
      </c>
      <c r="J238" s="274" t="s">
        <v>623</v>
      </c>
      <c r="K238" s="278" t="n">
        <v>5</v>
      </c>
      <c r="L238" s="278" t="n">
        <v>3</v>
      </c>
      <c r="M238" s="188" t="s">
        <v>618</v>
      </c>
      <c r="N238" s="275" t="str">
        <f aca="false">IFERROR(IF(COUNTIF('📝 Daily Log'!$E$3:$E$600,D238)&gt;0,IF(COUNTIFS('📝 Daily Log'!$E$3:$E$600,D238,'📝 Daily Log'!$G$3:$G$600,"✅ Done")&gt;0,"✅ Done",IF(COUNTIFS('📝 Daily Log'!$E$3:$E$600,D238,'📝 Daily Log'!$G$3:$G$600,"🔄 Partial")&gt;0,"🔄 Partial","⬜ Pending")),"⬜ Pending"),"⬜ Pending")</f>
        <v>⬜ Pending</v>
      </c>
      <c r="O238" s="269"/>
      <c r="P238" s="275" t="str">
        <f aca="false">IF(O238&lt;&gt;"",O238,N238)</f>
        <v>⬜ Pending</v>
      </c>
      <c r="Q238" s="270" t="s">
        <v>1084</v>
      </c>
      <c r="R238" s="271" t="str">
        <f aca="false">IF(COUNTIF('📆 Daily Schedule'!$M$5:$M$427,D238)&gt;0,"⚡ In Swap","✅ Available")</f>
        <v>✅ Available</v>
      </c>
    </row>
    <row r="239" customFormat="false" ht="15.75" hidden="false" customHeight="true" outlineLevel="0" collapsed="false">
      <c r="A239" s="54" t="n">
        <v>236</v>
      </c>
      <c r="B239" s="54" t="s">
        <v>1035</v>
      </c>
      <c r="C239" s="76" t="n">
        <v>236</v>
      </c>
      <c r="D239" s="37" t="s">
        <v>1085</v>
      </c>
      <c r="E239" s="182" t="s">
        <v>446</v>
      </c>
      <c r="F239" s="39" t="n">
        <v>0.3</v>
      </c>
      <c r="G239" s="40" t="n">
        <v>0.5</v>
      </c>
      <c r="H239" s="41" t="n">
        <v>0.75</v>
      </c>
      <c r="I239" s="272" t="n">
        <v>14</v>
      </c>
      <c r="J239" s="274" t="s">
        <v>623</v>
      </c>
      <c r="K239" s="273" t="n">
        <v>5</v>
      </c>
      <c r="L239" s="273" t="n">
        <v>4</v>
      </c>
      <c r="M239" s="188" t="s">
        <v>618</v>
      </c>
      <c r="N239" s="76" t="str">
        <f aca="false">IFERROR(IF(COUNTIF('📝 Daily Log'!$E$3:$E$600,D239)&gt;0,IF(COUNTIFS('📝 Daily Log'!$E$3:$E$600,D239,'📝 Daily Log'!$G$3:$G$600,"✅ Done")&gt;0,"✅ Done",IF(COUNTIFS('📝 Daily Log'!$E$3:$E$600,D239,'📝 Daily Log'!$G$3:$G$600,"🔄 Partial")&gt;0,"🔄 Partial","⬜ Pending")),"⬜ Pending"),"⬜ Pending")</f>
        <v>⬜ Pending</v>
      </c>
      <c r="O239" s="269"/>
      <c r="P239" s="76" t="str">
        <f aca="false">IF(O239&lt;&gt;"",O239,N239)</f>
        <v>⬜ Pending</v>
      </c>
      <c r="Q239" s="270" t="s">
        <v>1072</v>
      </c>
      <c r="R239" s="271" t="str">
        <f aca="false">IF(COUNTIF('📆 Daily Schedule'!$M$5:$M$427,D239)&gt;0,"⚡ In Swap","✅ Available")</f>
        <v>✅ Available</v>
      </c>
    </row>
    <row r="240" customFormat="false" ht="15.75" hidden="false" customHeight="true" outlineLevel="0" collapsed="false">
      <c r="A240" s="54" t="n">
        <v>237</v>
      </c>
      <c r="B240" s="54" t="s">
        <v>1035</v>
      </c>
      <c r="C240" s="275" t="n">
        <v>237</v>
      </c>
      <c r="D240" s="276" t="s">
        <v>1086</v>
      </c>
      <c r="E240" s="182" t="s">
        <v>446</v>
      </c>
      <c r="F240" s="39" t="n">
        <v>1.5</v>
      </c>
      <c r="G240" s="40" t="n">
        <v>3</v>
      </c>
      <c r="H240" s="41" t="n">
        <v>5</v>
      </c>
      <c r="I240" s="277" t="n">
        <v>13</v>
      </c>
      <c r="J240" s="274" t="s">
        <v>623</v>
      </c>
      <c r="K240" s="278" t="n">
        <v>5</v>
      </c>
      <c r="L240" s="278" t="n">
        <v>3</v>
      </c>
      <c r="M240" s="182" t="s">
        <v>636</v>
      </c>
      <c r="N240" s="275" t="str">
        <f aca="false">IFERROR(IF(COUNTIF('📝 Daily Log'!$E$3:$E$600,D240)&gt;0,IF(COUNTIFS('📝 Daily Log'!$E$3:$E$600,D240,'📝 Daily Log'!$G$3:$G$600,"✅ Done")&gt;0,"✅ Done",IF(COUNTIFS('📝 Daily Log'!$E$3:$E$600,D240,'📝 Daily Log'!$G$3:$G$600,"🔄 Partial")&gt;0,"🔄 Partial","⬜ Pending")),"⬜ Pending"),"⬜ Pending")</f>
        <v>⬜ Pending</v>
      </c>
      <c r="O240" s="269"/>
      <c r="P240" s="275" t="str">
        <f aca="false">IF(O240&lt;&gt;"",O240,N240)</f>
        <v>⬜ Pending</v>
      </c>
      <c r="Q240" s="270" t="s">
        <v>1087</v>
      </c>
      <c r="R240" s="271" t="str">
        <f aca="false">IF(COUNTIF('📆 Daily Schedule'!$M$5:$M$427,D240)&gt;0,"⚡ In Swap","✅ Available")</f>
        <v>✅ Available</v>
      </c>
    </row>
    <row r="241" customFormat="false" ht="15.75" hidden="false" customHeight="true" outlineLevel="0" collapsed="false">
      <c r="A241" s="54" t="n">
        <v>238</v>
      </c>
      <c r="B241" s="54" t="s">
        <v>1035</v>
      </c>
      <c r="C241" s="76" t="n">
        <v>238</v>
      </c>
      <c r="D241" s="37" t="s">
        <v>1088</v>
      </c>
      <c r="E241" s="182" t="s">
        <v>446</v>
      </c>
      <c r="F241" s="39" t="n">
        <v>1</v>
      </c>
      <c r="G241" s="40" t="n">
        <v>1.5</v>
      </c>
      <c r="H241" s="41" t="n">
        <v>2</v>
      </c>
      <c r="I241" s="272" t="n">
        <v>14</v>
      </c>
      <c r="J241" s="274" t="s">
        <v>623</v>
      </c>
      <c r="K241" s="273" t="n">
        <v>5</v>
      </c>
      <c r="L241" s="273" t="n">
        <v>4</v>
      </c>
      <c r="M241" s="188" t="s">
        <v>618</v>
      </c>
      <c r="N241" s="76" t="str">
        <f aca="false">IFERROR(IF(COUNTIF('📝 Daily Log'!$E$3:$E$600,D241)&gt;0,IF(COUNTIFS('📝 Daily Log'!$E$3:$E$600,D241,'📝 Daily Log'!$G$3:$G$600,"✅ Done")&gt;0,"✅ Done",IF(COUNTIFS('📝 Daily Log'!$E$3:$E$600,D241,'📝 Daily Log'!$G$3:$G$600,"🔄 Partial")&gt;0,"🔄 Partial","⬜ Pending")),"⬜ Pending"),"⬜ Pending")</f>
        <v>⬜ Pending</v>
      </c>
      <c r="O241" s="269"/>
      <c r="P241" s="76" t="str">
        <f aca="false">IF(O241&lt;&gt;"",O241,N241)</f>
        <v>⬜ Pending</v>
      </c>
      <c r="Q241" s="270" t="s">
        <v>1089</v>
      </c>
      <c r="R241" s="271" t="str">
        <f aca="false">IF(COUNTIF('📆 Daily Schedule'!$M$5:$M$427,D241)&gt;0,"⚡ In Swap","✅ Available")</f>
        <v>✅ Available</v>
      </c>
    </row>
    <row r="242" customFormat="false" ht="15.75" hidden="false" customHeight="true" outlineLevel="0" collapsed="false">
      <c r="A242" s="36" t="n">
        <v>239</v>
      </c>
      <c r="B242" s="36" t="s">
        <v>1090</v>
      </c>
      <c r="C242" s="85" t="n">
        <v>239</v>
      </c>
      <c r="D242" s="287" t="s">
        <v>1091</v>
      </c>
      <c r="E242" s="190" t="s">
        <v>458</v>
      </c>
      <c r="F242" s="39" t="n">
        <v>0.5</v>
      </c>
      <c r="G242" s="40" t="n">
        <v>1</v>
      </c>
      <c r="H242" s="41" t="n">
        <v>1.5</v>
      </c>
      <c r="I242" s="288" t="n">
        <v>13</v>
      </c>
      <c r="J242" s="274" t="s">
        <v>623</v>
      </c>
      <c r="K242" s="289" t="n">
        <v>5</v>
      </c>
      <c r="L242" s="289" t="n">
        <v>3</v>
      </c>
      <c r="M242" s="182" t="s">
        <v>636</v>
      </c>
      <c r="N242" s="85" t="str">
        <f aca="false">IFERROR(IF(COUNTIF('📝 Daily Log'!$E$3:$E$600,D242)&gt;0,IF(COUNTIFS('📝 Daily Log'!$E$3:$E$600,D242,'📝 Daily Log'!$G$3:$G$600,"✅ Done")&gt;0,"✅ Done",IF(COUNTIFS('📝 Daily Log'!$E$3:$E$600,D242,'📝 Daily Log'!$G$3:$G$600,"🔄 Partial")&gt;0,"🔄 Partial","⬜ Pending")),"⬜ Pending"),"⬜ Pending")</f>
        <v>⬜ Pending</v>
      </c>
      <c r="O242" s="269"/>
      <c r="P242" s="85" t="str">
        <f aca="false">IF(O242&lt;&gt;"",O242,N242)</f>
        <v>⬜ Pending</v>
      </c>
      <c r="Q242" s="270" t="s">
        <v>1092</v>
      </c>
      <c r="R242" s="271" t="str">
        <f aca="false">IF(COUNTIF('📆 Daily Schedule'!$M$5:$M$427,D242)&gt;0,"⚡ In Swap","✅ Available")</f>
        <v>✅ Available</v>
      </c>
    </row>
    <row r="243" customFormat="false" ht="15.75" hidden="false" customHeight="true" outlineLevel="0" collapsed="false">
      <c r="A243" s="36" t="n">
        <v>240</v>
      </c>
      <c r="B243" s="36" t="s">
        <v>1090</v>
      </c>
      <c r="C243" s="76" t="n">
        <v>240</v>
      </c>
      <c r="D243" s="37" t="s">
        <v>1093</v>
      </c>
      <c r="E243" s="190" t="s">
        <v>458</v>
      </c>
      <c r="F243" s="39" t="n">
        <v>0.5</v>
      </c>
      <c r="G243" s="40" t="n">
        <v>1</v>
      </c>
      <c r="H243" s="41" t="n">
        <v>1.5</v>
      </c>
      <c r="I243" s="272" t="n">
        <v>13</v>
      </c>
      <c r="J243" s="274" t="s">
        <v>623</v>
      </c>
      <c r="K243" s="273" t="n">
        <v>5</v>
      </c>
      <c r="L243" s="273" t="n">
        <v>3</v>
      </c>
      <c r="M243" s="182" t="s">
        <v>792</v>
      </c>
      <c r="N243" s="76" t="str">
        <f aca="false">IFERROR(IF(COUNTIF('📝 Daily Log'!$E$3:$E$600,D243)&gt;0,IF(COUNTIFS('📝 Daily Log'!$E$3:$E$600,D243,'📝 Daily Log'!$G$3:$G$600,"✅ Done")&gt;0,"✅ Done",IF(COUNTIFS('📝 Daily Log'!$E$3:$E$600,D243,'📝 Daily Log'!$G$3:$G$600,"🔄 Partial")&gt;0,"🔄 Partial","⬜ Pending")),"⬜ Pending"),"⬜ Pending")</f>
        <v>⬜ Pending</v>
      </c>
      <c r="O243" s="269"/>
      <c r="P243" s="76" t="str">
        <f aca="false">IF(O243&lt;&gt;"",O243,N243)</f>
        <v>⬜ Pending</v>
      </c>
      <c r="Q243" s="270" t="s">
        <v>1094</v>
      </c>
      <c r="R243" s="271" t="str">
        <f aca="false">IF(COUNTIF('📆 Daily Schedule'!$M$5:$M$427,D243)&gt;0,"⚡ In Swap","✅ Available")</f>
        <v>✅ Available</v>
      </c>
    </row>
    <row r="244" customFormat="false" ht="15.75" hidden="false" customHeight="true" outlineLevel="0" collapsed="false">
      <c r="A244" s="36" t="n">
        <v>241</v>
      </c>
      <c r="B244" s="36" t="s">
        <v>1090</v>
      </c>
      <c r="C244" s="85" t="n">
        <v>241</v>
      </c>
      <c r="D244" s="287" t="s">
        <v>1095</v>
      </c>
      <c r="E244" s="190" t="s">
        <v>458</v>
      </c>
      <c r="F244" s="39" t="n">
        <v>0.5</v>
      </c>
      <c r="G244" s="40" t="n">
        <v>1</v>
      </c>
      <c r="H244" s="41" t="n">
        <v>1.5</v>
      </c>
      <c r="I244" s="288" t="n">
        <v>13</v>
      </c>
      <c r="J244" s="274" t="s">
        <v>623</v>
      </c>
      <c r="K244" s="289" t="n">
        <v>5</v>
      </c>
      <c r="L244" s="289" t="n">
        <v>3</v>
      </c>
      <c r="M244" s="182" t="s">
        <v>792</v>
      </c>
      <c r="N244" s="85" t="str">
        <f aca="false">IFERROR(IF(COUNTIF('📝 Daily Log'!$E$3:$E$600,D244)&gt;0,IF(COUNTIFS('📝 Daily Log'!$E$3:$E$600,D244,'📝 Daily Log'!$G$3:$G$600,"✅ Done")&gt;0,"✅ Done",IF(COUNTIFS('📝 Daily Log'!$E$3:$E$600,D244,'📝 Daily Log'!$G$3:$G$600,"🔄 Partial")&gt;0,"🔄 Partial","⬜ Pending")),"⬜ Pending"),"⬜ Pending")</f>
        <v>⬜ Pending</v>
      </c>
      <c r="O244" s="269"/>
      <c r="P244" s="85" t="str">
        <f aca="false">IF(O244&lt;&gt;"",O244,N244)</f>
        <v>⬜ Pending</v>
      </c>
      <c r="Q244" s="270" t="s">
        <v>1096</v>
      </c>
      <c r="R244" s="271" t="str">
        <f aca="false">IF(COUNTIF('📆 Daily Schedule'!$M$5:$M$427,D244)&gt;0,"⚡ In Swap","✅ Available")</f>
        <v>✅ Available</v>
      </c>
    </row>
    <row r="245" customFormat="false" ht="15.75" hidden="false" customHeight="true" outlineLevel="0" collapsed="false">
      <c r="A245" s="36" t="n">
        <v>242</v>
      </c>
      <c r="B245" s="36" t="s">
        <v>1090</v>
      </c>
      <c r="C245" s="76" t="n">
        <v>242</v>
      </c>
      <c r="D245" s="37" t="s">
        <v>1097</v>
      </c>
      <c r="E245" s="190" t="s">
        <v>458</v>
      </c>
      <c r="F245" s="39" t="n">
        <v>0.5</v>
      </c>
      <c r="G245" s="40" t="n">
        <v>1</v>
      </c>
      <c r="H245" s="41" t="n">
        <v>1.5</v>
      </c>
      <c r="I245" s="272" t="n">
        <v>14</v>
      </c>
      <c r="J245" s="274" t="s">
        <v>623</v>
      </c>
      <c r="K245" s="273" t="n">
        <v>5</v>
      </c>
      <c r="L245" s="273" t="n">
        <v>4</v>
      </c>
      <c r="M245" s="182" t="s">
        <v>792</v>
      </c>
      <c r="N245" s="76" t="str">
        <f aca="false">IFERROR(IF(COUNTIF('📝 Daily Log'!$E$3:$E$600,D245)&gt;0,IF(COUNTIFS('📝 Daily Log'!$E$3:$E$600,D245,'📝 Daily Log'!$G$3:$G$600,"✅ Done")&gt;0,"✅ Done",IF(COUNTIFS('📝 Daily Log'!$E$3:$E$600,D245,'📝 Daily Log'!$G$3:$G$600,"🔄 Partial")&gt;0,"🔄 Partial","⬜ Pending")),"⬜ Pending"),"⬜ Pending")</f>
        <v>⬜ Pending</v>
      </c>
      <c r="O245" s="269"/>
      <c r="P245" s="76" t="str">
        <f aca="false">IF(O245&lt;&gt;"",O245,N245)</f>
        <v>⬜ Pending</v>
      </c>
      <c r="Q245" s="270" t="s">
        <v>1094</v>
      </c>
      <c r="R245" s="271" t="str">
        <f aca="false">IF(COUNTIF('📆 Daily Schedule'!$M$5:$M$427,D245)&gt;0,"⚡ In Swap","✅ Available")</f>
        <v>✅ Available</v>
      </c>
    </row>
    <row r="246" customFormat="false" ht="15.75" hidden="false" customHeight="true" outlineLevel="0" collapsed="false">
      <c r="A246" s="36" t="n">
        <v>243</v>
      </c>
      <c r="B246" s="36" t="s">
        <v>1090</v>
      </c>
      <c r="C246" s="85" t="n">
        <v>243</v>
      </c>
      <c r="D246" s="287" t="s">
        <v>1098</v>
      </c>
      <c r="E246" s="190" t="s">
        <v>458</v>
      </c>
      <c r="F246" s="39" t="n">
        <v>0.3</v>
      </c>
      <c r="G246" s="40" t="n">
        <v>0.5</v>
      </c>
      <c r="H246" s="41" t="n">
        <v>0.75</v>
      </c>
      <c r="I246" s="288" t="n">
        <v>14</v>
      </c>
      <c r="J246" s="274" t="s">
        <v>623</v>
      </c>
      <c r="K246" s="289" t="n">
        <v>5</v>
      </c>
      <c r="L246" s="289" t="n">
        <v>4</v>
      </c>
      <c r="M246" s="188" t="s">
        <v>618</v>
      </c>
      <c r="N246" s="85" t="str">
        <f aca="false">IFERROR(IF(COUNTIF('📝 Daily Log'!$E$3:$E$600,D246)&gt;0,IF(COUNTIFS('📝 Daily Log'!$E$3:$E$600,D246,'📝 Daily Log'!$G$3:$G$600,"✅ Done")&gt;0,"✅ Done",IF(COUNTIFS('📝 Daily Log'!$E$3:$E$600,D246,'📝 Daily Log'!$G$3:$G$600,"🔄 Partial")&gt;0,"🔄 Partial","⬜ Pending")),"⬜ Pending"),"⬜ Pending")</f>
        <v>⬜ Pending</v>
      </c>
      <c r="O246" s="269"/>
      <c r="P246" s="85" t="str">
        <f aca="false">IF(O246&lt;&gt;"",O246,N246)</f>
        <v>⬜ Pending</v>
      </c>
      <c r="Q246" s="270" t="s">
        <v>1099</v>
      </c>
      <c r="R246" s="271" t="str">
        <f aca="false">IF(COUNTIF('📆 Daily Schedule'!$M$5:$M$427,D246)&gt;0,"⚡ In Swap","✅ Available")</f>
        <v>✅ Available</v>
      </c>
    </row>
    <row r="247" customFormat="false" ht="15.75" hidden="false" customHeight="true" outlineLevel="0" collapsed="false">
      <c r="A247" s="36" t="n">
        <v>244</v>
      </c>
      <c r="B247" s="36" t="s">
        <v>1090</v>
      </c>
      <c r="C247" s="76" t="n">
        <v>244</v>
      </c>
      <c r="D247" s="37" t="s">
        <v>1100</v>
      </c>
      <c r="E247" s="190" t="s">
        <v>458</v>
      </c>
      <c r="F247" s="39" t="n">
        <v>1</v>
      </c>
      <c r="G247" s="40" t="n">
        <v>1.5</v>
      </c>
      <c r="H247" s="41" t="n">
        <v>2</v>
      </c>
      <c r="I247" s="272" t="n">
        <v>13</v>
      </c>
      <c r="J247" s="274" t="s">
        <v>623</v>
      </c>
      <c r="K247" s="273" t="n">
        <v>5</v>
      </c>
      <c r="L247" s="273" t="n">
        <v>3</v>
      </c>
      <c r="M247" s="182" t="s">
        <v>792</v>
      </c>
      <c r="N247" s="76" t="str">
        <f aca="false">IFERROR(IF(COUNTIF('📝 Daily Log'!$E$3:$E$600,D247)&gt;0,IF(COUNTIFS('📝 Daily Log'!$E$3:$E$600,D247,'📝 Daily Log'!$G$3:$G$600,"✅ Done")&gt;0,"✅ Done",IF(COUNTIFS('📝 Daily Log'!$E$3:$E$600,D247,'📝 Daily Log'!$G$3:$G$600,"🔄 Partial")&gt;0,"🔄 Partial","⬜ Pending")),"⬜ Pending"),"⬜ Pending")</f>
        <v>⬜ Pending</v>
      </c>
      <c r="O247" s="269"/>
      <c r="P247" s="76" t="str">
        <f aca="false">IF(O247&lt;&gt;"",O247,N247)</f>
        <v>⬜ Pending</v>
      </c>
      <c r="Q247" s="270" t="s">
        <v>1101</v>
      </c>
      <c r="R247" s="271" t="str">
        <f aca="false">IF(COUNTIF('📆 Daily Schedule'!$M$5:$M$427,D247)&gt;0,"⚡ In Swap","✅ Available")</f>
        <v>✅ Available</v>
      </c>
    </row>
    <row r="248" customFormat="false" ht="15.75" hidden="false" customHeight="true" outlineLevel="0" collapsed="false">
      <c r="A248" s="36" t="n">
        <v>245</v>
      </c>
      <c r="B248" s="36" t="s">
        <v>1090</v>
      </c>
      <c r="C248" s="85" t="n">
        <v>245</v>
      </c>
      <c r="D248" s="287" t="s">
        <v>1102</v>
      </c>
      <c r="E248" s="190" t="s">
        <v>458</v>
      </c>
      <c r="F248" s="39" t="n">
        <v>2</v>
      </c>
      <c r="G248" s="40" t="n">
        <v>4</v>
      </c>
      <c r="H248" s="41" t="n">
        <v>6</v>
      </c>
      <c r="I248" s="288" t="n">
        <v>13</v>
      </c>
      <c r="J248" s="274" t="s">
        <v>623</v>
      </c>
      <c r="K248" s="289" t="n">
        <v>5</v>
      </c>
      <c r="L248" s="289" t="n">
        <v>3</v>
      </c>
      <c r="M248" s="182" t="s">
        <v>636</v>
      </c>
      <c r="N248" s="85" t="str">
        <f aca="false">IFERROR(IF(COUNTIF('📝 Daily Log'!$E$3:$E$600,D248)&gt;0,IF(COUNTIFS('📝 Daily Log'!$E$3:$E$600,D248,'📝 Daily Log'!$G$3:$G$600,"✅ Done")&gt;0,"✅ Done",IF(COUNTIFS('📝 Daily Log'!$E$3:$E$600,D248,'📝 Daily Log'!$G$3:$G$600,"🔄 Partial")&gt;0,"🔄 Partial","⬜ Pending")),"⬜ Pending"),"⬜ Pending")</f>
        <v>⬜ Pending</v>
      </c>
      <c r="O248" s="269"/>
      <c r="P248" s="85" t="str">
        <f aca="false">IF(O248&lt;&gt;"",O248,N248)</f>
        <v>⬜ Pending</v>
      </c>
      <c r="Q248" s="270" t="s">
        <v>1103</v>
      </c>
      <c r="R248" s="271" t="str">
        <f aca="false">IF(COUNTIF('📆 Daily Schedule'!$M$5:$M$427,D248)&gt;0,"⚡ In Swap","✅ Available")</f>
        <v>✅ Available</v>
      </c>
    </row>
    <row r="249" customFormat="false" ht="15.75" hidden="false" customHeight="true" outlineLevel="0" collapsed="false">
      <c r="A249" s="36" t="n">
        <v>246</v>
      </c>
      <c r="B249" s="36" t="s">
        <v>1090</v>
      </c>
      <c r="C249" s="76" t="n">
        <v>246</v>
      </c>
      <c r="D249" s="37" t="s">
        <v>1104</v>
      </c>
      <c r="E249" s="190" t="s">
        <v>458</v>
      </c>
      <c r="F249" s="39" t="n">
        <v>0.5</v>
      </c>
      <c r="G249" s="40" t="n">
        <v>0.75</v>
      </c>
      <c r="H249" s="41" t="n">
        <v>1</v>
      </c>
      <c r="I249" s="272" t="n">
        <v>11</v>
      </c>
      <c r="J249" s="36" t="s">
        <v>617</v>
      </c>
      <c r="K249" s="273" t="n">
        <v>4</v>
      </c>
      <c r="L249" s="273" t="n">
        <v>3</v>
      </c>
      <c r="M249" s="188" t="s">
        <v>618</v>
      </c>
      <c r="N249" s="76" t="str">
        <f aca="false">IFERROR(IF(COUNTIF('📝 Daily Log'!$E$3:$E$600,D249)&gt;0,IF(COUNTIFS('📝 Daily Log'!$E$3:$E$600,D249,'📝 Daily Log'!$G$3:$G$600,"✅ Done")&gt;0,"✅ Done",IF(COUNTIFS('📝 Daily Log'!$E$3:$E$600,D249,'📝 Daily Log'!$G$3:$G$600,"🔄 Partial")&gt;0,"🔄 Partial","⬜ Pending")),"⬜ Pending"),"⬜ Pending")</f>
        <v>⬜ Pending</v>
      </c>
      <c r="O249" s="269"/>
      <c r="P249" s="76" t="str">
        <f aca="false">IF(O249&lt;&gt;"",O249,N249)</f>
        <v>⬜ Pending</v>
      </c>
      <c r="Q249" s="270" t="s">
        <v>1105</v>
      </c>
      <c r="R249" s="271" t="str">
        <f aca="false">IF(COUNTIF('📆 Daily Schedule'!$M$5:$M$427,D249)&gt;0,"⚡ In Swap","✅ Available")</f>
        <v>✅ Available</v>
      </c>
    </row>
    <row r="250" customFormat="false" ht="15.75" hidden="false" customHeight="true" outlineLevel="0" collapsed="false">
      <c r="A250" s="36" t="n">
        <v>247</v>
      </c>
      <c r="B250" s="36" t="s">
        <v>1090</v>
      </c>
      <c r="C250" s="85" t="n">
        <v>247</v>
      </c>
      <c r="D250" s="287" t="s">
        <v>1106</v>
      </c>
      <c r="E250" s="190" t="s">
        <v>458</v>
      </c>
      <c r="F250" s="39" t="n">
        <v>0.5</v>
      </c>
      <c r="G250" s="40" t="n">
        <v>0.75</v>
      </c>
      <c r="H250" s="41" t="n">
        <v>1</v>
      </c>
      <c r="I250" s="288" t="n">
        <v>11</v>
      </c>
      <c r="J250" s="36" t="s">
        <v>617</v>
      </c>
      <c r="K250" s="289" t="n">
        <v>4</v>
      </c>
      <c r="L250" s="289" t="n">
        <v>3</v>
      </c>
      <c r="M250" s="188" t="s">
        <v>618</v>
      </c>
      <c r="N250" s="85" t="str">
        <f aca="false">IFERROR(IF(COUNTIF('📝 Daily Log'!$E$3:$E$600,D250)&gt;0,IF(COUNTIFS('📝 Daily Log'!$E$3:$E$600,D250,'📝 Daily Log'!$G$3:$G$600,"✅ Done")&gt;0,"✅ Done",IF(COUNTIFS('📝 Daily Log'!$E$3:$E$600,D250,'📝 Daily Log'!$G$3:$G$600,"🔄 Partial")&gt;0,"🔄 Partial","⬜ Pending")),"⬜ Pending"),"⬜ Pending")</f>
        <v>⬜ Pending</v>
      </c>
      <c r="O250" s="269"/>
      <c r="P250" s="85" t="str">
        <f aca="false">IF(O250&lt;&gt;"",O250,N250)</f>
        <v>⬜ Pending</v>
      </c>
      <c r="Q250" s="270" t="s">
        <v>1107</v>
      </c>
      <c r="R250" s="271" t="str">
        <f aca="false">IF(COUNTIF('📆 Daily Schedule'!$M$5:$M$427,D250)&gt;0,"⚡ In Swap","✅ Available")</f>
        <v>✅ Available</v>
      </c>
    </row>
    <row r="251" customFormat="false" ht="15.75" hidden="false" customHeight="true" outlineLevel="0" collapsed="false">
      <c r="A251" s="36" t="n">
        <v>248</v>
      </c>
      <c r="B251" s="36" t="s">
        <v>1090</v>
      </c>
      <c r="C251" s="76" t="n">
        <v>248</v>
      </c>
      <c r="D251" s="37" t="s">
        <v>1108</v>
      </c>
      <c r="E251" s="190" t="s">
        <v>458</v>
      </c>
      <c r="F251" s="39" t="n">
        <v>0.5</v>
      </c>
      <c r="G251" s="40" t="n">
        <v>0.75</v>
      </c>
      <c r="H251" s="41" t="n">
        <v>1</v>
      </c>
      <c r="I251" s="272" t="n">
        <v>9</v>
      </c>
      <c r="J251" s="36" t="s">
        <v>617</v>
      </c>
      <c r="K251" s="273" t="n">
        <v>3</v>
      </c>
      <c r="L251" s="273" t="n">
        <v>3</v>
      </c>
      <c r="M251" s="188" t="s">
        <v>618</v>
      </c>
      <c r="N251" s="76" t="str">
        <f aca="false">IFERROR(IF(COUNTIF('📝 Daily Log'!$E$3:$E$600,D251)&gt;0,IF(COUNTIFS('📝 Daily Log'!$E$3:$E$600,D251,'📝 Daily Log'!$G$3:$G$600,"✅ Done")&gt;0,"✅ Done",IF(COUNTIFS('📝 Daily Log'!$E$3:$E$600,D251,'📝 Daily Log'!$G$3:$G$600,"🔄 Partial")&gt;0,"🔄 Partial","⬜ Pending")),"⬜ Pending"),"⬜ Pending")</f>
        <v>⬜ Pending</v>
      </c>
      <c r="O251" s="269"/>
      <c r="P251" s="76" t="str">
        <f aca="false">IF(O251&lt;&gt;"",O251,N251)</f>
        <v>⬜ Pending</v>
      </c>
      <c r="Q251" s="270" t="s">
        <v>1109</v>
      </c>
      <c r="R251" s="271" t="str">
        <f aca="false">IF(COUNTIF('📆 Daily Schedule'!$M$5:$M$427,D251)&gt;0,"⚡ In Swap","✅ Available")</f>
        <v>✅ Available</v>
      </c>
    </row>
    <row r="252" customFormat="false" ht="15.75" hidden="false" customHeight="true" outlineLevel="0" collapsed="false">
      <c r="A252" s="36" t="n">
        <v>249</v>
      </c>
      <c r="B252" s="36" t="s">
        <v>1090</v>
      </c>
      <c r="C252" s="85" t="n">
        <v>249</v>
      </c>
      <c r="D252" s="287" t="s">
        <v>1110</v>
      </c>
      <c r="E252" s="190" t="s">
        <v>458</v>
      </c>
      <c r="F252" s="39" t="n">
        <v>2</v>
      </c>
      <c r="G252" s="40" t="n">
        <v>3</v>
      </c>
      <c r="H252" s="41" t="n">
        <v>4</v>
      </c>
      <c r="I252" s="288" t="n">
        <v>13</v>
      </c>
      <c r="J252" s="274" t="s">
        <v>623</v>
      </c>
      <c r="K252" s="289" t="n">
        <v>5</v>
      </c>
      <c r="L252" s="289" t="n">
        <v>3</v>
      </c>
      <c r="M252" s="188" t="s">
        <v>618</v>
      </c>
      <c r="N252" s="85" t="str">
        <f aca="false">IFERROR(IF(COUNTIF('📝 Daily Log'!$E$3:$E$600,D252)&gt;0,IF(COUNTIFS('📝 Daily Log'!$E$3:$E$600,D252,'📝 Daily Log'!$G$3:$G$600,"✅ Done")&gt;0,"✅ Done",IF(COUNTIFS('📝 Daily Log'!$E$3:$E$600,D252,'📝 Daily Log'!$G$3:$G$600,"🔄 Partial")&gt;0,"🔄 Partial","⬜ Pending")),"⬜ Pending"),"⬜ Pending")</f>
        <v>⬜ Pending</v>
      </c>
      <c r="O252" s="269"/>
      <c r="P252" s="85" t="str">
        <f aca="false">IF(O252&lt;&gt;"",O252,N252)</f>
        <v>⬜ Pending</v>
      </c>
      <c r="Q252" s="270" t="s">
        <v>1111</v>
      </c>
      <c r="R252" s="271" t="str">
        <f aca="false">IF(COUNTIF('📆 Daily Schedule'!$M$5:$M$427,D252)&gt;0,"⚡ In Swap","✅ Available")</f>
        <v>✅ Available</v>
      </c>
    </row>
    <row r="253" customFormat="false" ht="15.75" hidden="false" customHeight="true" outlineLevel="0" collapsed="false">
      <c r="A253" s="36" t="n">
        <v>250</v>
      </c>
      <c r="B253" s="36" t="s">
        <v>1090</v>
      </c>
      <c r="C253" s="76" t="n">
        <v>250</v>
      </c>
      <c r="D253" s="37" t="s">
        <v>1112</v>
      </c>
      <c r="E253" s="190" t="s">
        <v>458</v>
      </c>
      <c r="F253" s="39" t="n">
        <v>0.3</v>
      </c>
      <c r="G253" s="40" t="n">
        <v>0.5</v>
      </c>
      <c r="H253" s="41" t="n">
        <v>0.75</v>
      </c>
      <c r="I253" s="272" t="n">
        <v>14</v>
      </c>
      <c r="J253" s="274" t="s">
        <v>623</v>
      </c>
      <c r="K253" s="273" t="n">
        <v>5</v>
      </c>
      <c r="L253" s="273" t="n">
        <v>4</v>
      </c>
      <c r="M253" s="188" t="s">
        <v>618</v>
      </c>
      <c r="N253" s="76" t="str">
        <f aca="false">IFERROR(IF(COUNTIF('📝 Daily Log'!$E$3:$E$600,D253)&gt;0,IF(COUNTIFS('📝 Daily Log'!$E$3:$E$600,D253,'📝 Daily Log'!$G$3:$G$600,"✅ Done")&gt;0,"✅ Done",IF(COUNTIFS('📝 Daily Log'!$E$3:$E$600,D253,'📝 Daily Log'!$G$3:$G$600,"🔄 Partial")&gt;0,"🔄 Partial","⬜ Pending")),"⬜ Pending"),"⬜ Pending")</f>
        <v>⬜ Pending</v>
      </c>
      <c r="O253" s="269"/>
      <c r="P253" s="76" t="str">
        <f aca="false">IF(O253&lt;&gt;"",O253,N253)</f>
        <v>⬜ Pending</v>
      </c>
      <c r="Q253" s="270" t="s">
        <v>1113</v>
      </c>
      <c r="R253" s="271" t="str">
        <f aca="false">IF(COUNTIF('📆 Daily Schedule'!$M$5:$M$427,D253)&gt;0,"⚡ In Swap","✅ Available")</f>
        <v>✅ Available</v>
      </c>
    </row>
    <row r="254" customFormat="false" ht="15.75" hidden="false" customHeight="true" outlineLevel="0" collapsed="false">
      <c r="A254" s="36" t="n">
        <v>251</v>
      </c>
      <c r="B254" s="36" t="s">
        <v>1090</v>
      </c>
      <c r="C254" s="85" t="n">
        <v>251</v>
      </c>
      <c r="D254" s="287" t="s">
        <v>1114</v>
      </c>
      <c r="E254" s="190" t="s">
        <v>458</v>
      </c>
      <c r="F254" s="39" t="n">
        <v>1.5</v>
      </c>
      <c r="G254" s="40" t="n">
        <v>3</v>
      </c>
      <c r="H254" s="41" t="n">
        <v>4</v>
      </c>
      <c r="I254" s="288" t="n">
        <v>13</v>
      </c>
      <c r="J254" s="274" t="s">
        <v>623</v>
      </c>
      <c r="K254" s="289" t="n">
        <v>5</v>
      </c>
      <c r="L254" s="289" t="n">
        <v>3</v>
      </c>
      <c r="M254" s="188" t="s">
        <v>618</v>
      </c>
      <c r="N254" s="85" t="str">
        <f aca="false">IFERROR(IF(COUNTIF('📝 Daily Log'!$E$3:$E$600,D254)&gt;0,IF(COUNTIFS('📝 Daily Log'!$E$3:$E$600,D254,'📝 Daily Log'!$G$3:$G$600,"✅ Done")&gt;0,"✅ Done",IF(COUNTIFS('📝 Daily Log'!$E$3:$E$600,D254,'📝 Daily Log'!$G$3:$G$600,"🔄 Partial")&gt;0,"🔄 Partial","⬜ Pending")),"⬜ Pending"),"⬜ Pending")</f>
        <v>⬜ Pending</v>
      </c>
      <c r="O254" s="269"/>
      <c r="P254" s="85" t="str">
        <f aca="false">IF(O254&lt;&gt;"",O254,N254)</f>
        <v>⬜ Pending</v>
      </c>
      <c r="Q254" s="270" t="s">
        <v>1115</v>
      </c>
      <c r="R254" s="271" t="str">
        <f aca="false">IF(COUNTIF('📆 Daily Schedule'!$M$5:$M$427,D254)&gt;0,"⚡ In Swap","✅ Available")</f>
        <v>✅ Available</v>
      </c>
    </row>
    <row r="255" customFormat="false" ht="15.75" hidden="false" customHeight="true" outlineLevel="0" collapsed="false">
      <c r="A255" s="36" t="n">
        <v>252</v>
      </c>
      <c r="B255" s="36" t="s">
        <v>1090</v>
      </c>
      <c r="C255" s="76" t="n">
        <v>252</v>
      </c>
      <c r="D255" s="37" t="s">
        <v>1116</v>
      </c>
      <c r="E255" s="190" t="s">
        <v>458</v>
      </c>
      <c r="F255" s="39" t="n">
        <v>1.5</v>
      </c>
      <c r="G255" s="40" t="n">
        <v>2</v>
      </c>
      <c r="H255" s="41" t="n">
        <v>3</v>
      </c>
      <c r="I255" s="272" t="n">
        <v>13</v>
      </c>
      <c r="J255" s="274" t="s">
        <v>623</v>
      </c>
      <c r="K255" s="273" t="n">
        <v>5</v>
      </c>
      <c r="L255" s="273" t="n">
        <v>3</v>
      </c>
      <c r="M255" s="188" t="s">
        <v>618</v>
      </c>
      <c r="N255" s="76" t="str">
        <f aca="false">IFERROR(IF(COUNTIF('📝 Daily Log'!$E$3:$E$600,D255)&gt;0,IF(COUNTIFS('📝 Daily Log'!$E$3:$E$600,D255,'📝 Daily Log'!$G$3:$G$600,"✅ Done")&gt;0,"✅ Done",IF(COUNTIFS('📝 Daily Log'!$E$3:$E$600,D255,'📝 Daily Log'!$G$3:$G$600,"🔄 Partial")&gt;0,"🔄 Partial","⬜ Pending")),"⬜ Pending"),"⬜ Pending")</f>
        <v>⬜ Pending</v>
      </c>
      <c r="O255" s="269"/>
      <c r="P255" s="76" t="str">
        <f aca="false">IF(O255&lt;&gt;"",O255,N255)</f>
        <v>⬜ Pending</v>
      </c>
      <c r="Q255" s="270" t="s">
        <v>1117</v>
      </c>
      <c r="R255" s="271" t="str">
        <f aca="false">IF(COUNTIF('📆 Daily Schedule'!$M$5:$M$427,D255)&gt;0,"⚡ In Swap","✅ Available")</f>
        <v>✅ Available</v>
      </c>
    </row>
    <row r="256" customFormat="false" ht="15.75" hidden="false" customHeight="true" outlineLevel="0" collapsed="false">
      <c r="A256" s="36" t="n">
        <v>253</v>
      </c>
      <c r="B256" s="36" t="s">
        <v>1090</v>
      </c>
      <c r="C256" s="85" t="n">
        <v>253</v>
      </c>
      <c r="D256" s="287" t="s">
        <v>1118</v>
      </c>
      <c r="E256" s="190" t="s">
        <v>458</v>
      </c>
      <c r="F256" s="39" t="n">
        <v>1</v>
      </c>
      <c r="G256" s="40" t="n">
        <v>1.5</v>
      </c>
      <c r="H256" s="41" t="n">
        <v>2</v>
      </c>
      <c r="I256" s="288" t="n">
        <v>13</v>
      </c>
      <c r="J256" s="274" t="s">
        <v>623</v>
      </c>
      <c r="K256" s="289" t="n">
        <v>5</v>
      </c>
      <c r="L256" s="289" t="n">
        <v>3</v>
      </c>
      <c r="M256" s="188" t="s">
        <v>618</v>
      </c>
      <c r="N256" s="85" t="str">
        <f aca="false">IFERROR(IF(COUNTIF('📝 Daily Log'!$E$3:$E$600,D256)&gt;0,IF(COUNTIFS('📝 Daily Log'!$E$3:$E$600,D256,'📝 Daily Log'!$G$3:$G$600,"✅ Done")&gt;0,"✅ Done",IF(COUNTIFS('📝 Daily Log'!$E$3:$E$600,D256,'📝 Daily Log'!$G$3:$G$600,"🔄 Partial")&gt;0,"🔄 Partial","⬜ Pending")),"⬜ Pending"),"⬜ Pending")</f>
        <v>⬜ Pending</v>
      </c>
      <c r="O256" s="269"/>
      <c r="P256" s="85" t="str">
        <f aca="false">IF(O256&lt;&gt;"",O256,N256)</f>
        <v>⬜ Pending</v>
      </c>
      <c r="Q256" s="270" t="s">
        <v>1119</v>
      </c>
      <c r="R256" s="271" t="str">
        <f aca="false">IF(COUNTIF('📆 Daily Schedule'!$M$5:$M$427,D256)&gt;0,"⚡ In Swap","✅ Available")</f>
        <v>✅ Available</v>
      </c>
    </row>
    <row r="257" customFormat="false" ht="15.75" hidden="false" customHeight="true" outlineLevel="0" collapsed="false">
      <c r="A257" s="36" t="n">
        <v>254</v>
      </c>
      <c r="B257" s="36" t="s">
        <v>1090</v>
      </c>
      <c r="C257" s="76" t="n">
        <v>254</v>
      </c>
      <c r="D257" s="37" t="s">
        <v>1120</v>
      </c>
      <c r="E257" s="190" t="s">
        <v>458</v>
      </c>
      <c r="F257" s="39" t="n">
        <v>0.5</v>
      </c>
      <c r="G257" s="40" t="n">
        <v>1</v>
      </c>
      <c r="H257" s="41" t="n">
        <v>1.5</v>
      </c>
      <c r="I257" s="272" t="n">
        <v>11</v>
      </c>
      <c r="J257" s="36" t="s">
        <v>617</v>
      </c>
      <c r="K257" s="273" t="n">
        <v>4</v>
      </c>
      <c r="L257" s="273" t="n">
        <v>3</v>
      </c>
      <c r="M257" s="188" t="s">
        <v>618</v>
      </c>
      <c r="N257" s="76" t="str">
        <f aca="false">IFERROR(IF(COUNTIF('📝 Daily Log'!$E$3:$E$600,D257)&gt;0,IF(COUNTIFS('📝 Daily Log'!$E$3:$E$600,D257,'📝 Daily Log'!$G$3:$G$600,"✅ Done")&gt;0,"✅ Done",IF(COUNTIFS('📝 Daily Log'!$E$3:$E$600,D257,'📝 Daily Log'!$G$3:$G$600,"🔄 Partial")&gt;0,"🔄 Partial","⬜ Pending")),"⬜ Pending"),"⬜ Pending")</f>
        <v>⬜ Pending</v>
      </c>
      <c r="O257" s="269"/>
      <c r="P257" s="76" t="str">
        <f aca="false">IF(O257&lt;&gt;"",O257,N257)</f>
        <v>⬜ Pending</v>
      </c>
      <c r="Q257" s="270" t="s">
        <v>1121</v>
      </c>
      <c r="R257" s="271" t="str">
        <f aca="false">IF(COUNTIF('📆 Daily Schedule'!$M$5:$M$427,D257)&gt;0,"⚡ In Swap","✅ Available")</f>
        <v>✅ Available</v>
      </c>
    </row>
    <row r="258" customFormat="false" ht="15.75" hidden="false" customHeight="true" outlineLevel="0" collapsed="false">
      <c r="A258" s="36" t="n">
        <v>255</v>
      </c>
      <c r="B258" s="36" t="s">
        <v>1090</v>
      </c>
      <c r="C258" s="85" t="n">
        <v>255</v>
      </c>
      <c r="D258" s="287" t="s">
        <v>1122</v>
      </c>
      <c r="E258" s="190" t="s">
        <v>458</v>
      </c>
      <c r="F258" s="39" t="n">
        <v>0.5</v>
      </c>
      <c r="G258" s="40" t="n">
        <v>1.5</v>
      </c>
      <c r="H258" s="41" t="n">
        <v>3</v>
      </c>
      <c r="I258" s="288" t="n">
        <v>14</v>
      </c>
      <c r="J258" s="274" t="s">
        <v>623</v>
      </c>
      <c r="K258" s="289" t="n">
        <v>5</v>
      </c>
      <c r="L258" s="289" t="n">
        <v>4</v>
      </c>
      <c r="M258" s="188" t="s">
        <v>618</v>
      </c>
      <c r="N258" s="85" t="str">
        <f aca="false">IFERROR(IF(COUNTIF('📝 Daily Log'!$E$3:$E$600,D258)&gt;0,IF(COUNTIFS('📝 Daily Log'!$E$3:$E$600,D258,'📝 Daily Log'!$G$3:$G$600,"✅ Done")&gt;0,"✅ Done",IF(COUNTIFS('📝 Daily Log'!$E$3:$E$600,D258,'📝 Daily Log'!$G$3:$G$600,"🔄 Partial")&gt;0,"🔄 Partial","⬜ Pending")),"⬜ Pending"),"⬜ Pending")</f>
        <v>⬜ Pending</v>
      </c>
      <c r="O258" s="269"/>
      <c r="P258" s="85" t="str">
        <f aca="false">IF(O258&lt;&gt;"",O258,N258)</f>
        <v>⬜ Pending</v>
      </c>
      <c r="Q258" s="270" t="s">
        <v>1123</v>
      </c>
      <c r="R258" s="271" t="str">
        <f aca="false">IF(COUNTIF('📆 Daily Schedule'!$M$5:$M$427,D258)&gt;0,"⚡ In Swap","✅ Available")</f>
        <v>✅ Available</v>
      </c>
    </row>
    <row r="259" customFormat="false" ht="15.75" hidden="false" customHeight="true" outlineLevel="0" collapsed="false">
      <c r="A259" s="36" t="n">
        <v>256</v>
      </c>
      <c r="B259" s="36" t="s">
        <v>1090</v>
      </c>
      <c r="C259" s="76" t="n">
        <v>256</v>
      </c>
      <c r="D259" s="37" t="s">
        <v>1124</v>
      </c>
      <c r="E259" s="190" t="s">
        <v>458</v>
      </c>
      <c r="F259" s="39" t="n">
        <v>0.5</v>
      </c>
      <c r="G259" s="40" t="n">
        <v>1</v>
      </c>
      <c r="H259" s="41" t="n">
        <v>2</v>
      </c>
      <c r="I259" s="272" t="n">
        <v>14</v>
      </c>
      <c r="J259" s="274" t="s">
        <v>623</v>
      </c>
      <c r="K259" s="273" t="n">
        <v>5</v>
      </c>
      <c r="L259" s="273" t="n">
        <v>4</v>
      </c>
      <c r="M259" s="188" t="s">
        <v>618</v>
      </c>
      <c r="N259" s="76" t="str">
        <f aca="false">IFERROR(IF(COUNTIF('📝 Daily Log'!$E$3:$E$600,D259)&gt;0,IF(COUNTIFS('📝 Daily Log'!$E$3:$E$600,D259,'📝 Daily Log'!$G$3:$G$600,"✅ Done")&gt;0,"✅ Done",IF(COUNTIFS('📝 Daily Log'!$E$3:$E$600,D259,'📝 Daily Log'!$G$3:$G$600,"🔄 Partial")&gt;0,"🔄 Partial","⬜ Pending")),"⬜ Pending"),"⬜ Pending")</f>
        <v>⬜ Pending</v>
      </c>
      <c r="O259" s="269"/>
      <c r="P259" s="76" t="str">
        <f aca="false">IF(O259&lt;&gt;"",O259,N259)</f>
        <v>⬜ Pending</v>
      </c>
      <c r="Q259" s="270" t="s">
        <v>1125</v>
      </c>
      <c r="R259" s="271" t="str">
        <f aca="false">IF(COUNTIF('📆 Daily Schedule'!$M$5:$M$427,D259)&gt;0,"⚡ In Swap","✅ Available")</f>
        <v>✅ Available</v>
      </c>
    </row>
    <row r="260" customFormat="false" ht="15.75" hidden="false" customHeight="true" outlineLevel="0" collapsed="false">
      <c r="A260" s="36" t="n">
        <v>257</v>
      </c>
      <c r="B260" s="36" t="s">
        <v>1090</v>
      </c>
      <c r="C260" s="85" t="n">
        <v>257</v>
      </c>
      <c r="D260" s="287" t="s">
        <v>1126</v>
      </c>
      <c r="E260" s="190" t="s">
        <v>458</v>
      </c>
      <c r="F260" s="39" t="n">
        <v>0.3</v>
      </c>
      <c r="G260" s="40" t="n">
        <v>0.5</v>
      </c>
      <c r="H260" s="41" t="n">
        <v>0.75</v>
      </c>
      <c r="I260" s="288" t="n">
        <v>15</v>
      </c>
      <c r="J260" s="274" t="s">
        <v>623</v>
      </c>
      <c r="K260" s="289" t="n">
        <v>5</v>
      </c>
      <c r="L260" s="289" t="n">
        <v>5</v>
      </c>
      <c r="M260" s="188" t="s">
        <v>618</v>
      </c>
      <c r="N260" s="85" t="str">
        <f aca="false">IFERROR(IF(COUNTIF('📝 Daily Log'!$E$3:$E$600,D260)&gt;0,IF(COUNTIFS('📝 Daily Log'!$E$3:$E$600,D260,'📝 Daily Log'!$G$3:$G$600,"✅ Done")&gt;0,"✅ Done",IF(COUNTIFS('📝 Daily Log'!$E$3:$E$600,D260,'📝 Daily Log'!$G$3:$G$600,"🔄 Partial")&gt;0,"🔄 Partial","⬜ Pending")),"⬜ Pending"),"⬜ Pending")</f>
        <v>⬜ Pending</v>
      </c>
      <c r="O260" s="269"/>
      <c r="P260" s="85" t="str">
        <f aca="false">IF(O260&lt;&gt;"",O260,N260)</f>
        <v>⬜ Pending</v>
      </c>
      <c r="Q260" s="270" t="s">
        <v>1127</v>
      </c>
      <c r="R260" s="271" t="str">
        <f aca="false">IF(COUNTIF('📆 Daily Schedule'!$M$5:$M$427,D260)&gt;0,"⚡ In Swap","✅ Available")</f>
        <v>✅ Available</v>
      </c>
    </row>
    <row r="261" customFormat="false" ht="15.75" hidden="false" customHeight="true" outlineLevel="0" collapsed="false">
      <c r="A261" s="36" t="n">
        <v>258</v>
      </c>
      <c r="B261" s="36" t="s">
        <v>1090</v>
      </c>
      <c r="C261" s="76" t="n">
        <v>258</v>
      </c>
      <c r="D261" s="37" t="s">
        <v>1128</v>
      </c>
      <c r="E261" s="190" t="s">
        <v>458</v>
      </c>
      <c r="F261" s="39" t="n">
        <v>1</v>
      </c>
      <c r="G261" s="40" t="n">
        <v>2</v>
      </c>
      <c r="H261" s="41" t="n">
        <v>3</v>
      </c>
      <c r="I261" s="272" t="n">
        <v>11</v>
      </c>
      <c r="J261" s="36" t="s">
        <v>617</v>
      </c>
      <c r="K261" s="273" t="n">
        <v>5</v>
      </c>
      <c r="L261" s="273" t="n">
        <v>1</v>
      </c>
      <c r="M261" s="188" t="s">
        <v>618</v>
      </c>
      <c r="N261" s="76" t="str">
        <f aca="false">IFERROR(IF(COUNTIF('📝 Daily Log'!$E$3:$E$600,D261)&gt;0,IF(COUNTIFS('📝 Daily Log'!$E$3:$E$600,D261,'📝 Daily Log'!$G$3:$G$600,"✅ Done")&gt;0,"✅ Done",IF(COUNTIFS('📝 Daily Log'!$E$3:$E$600,D261,'📝 Daily Log'!$G$3:$G$600,"🔄 Partial")&gt;0,"🔄 Partial","⬜ Pending")),"⬜ Pending"),"⬜ Pending")</f>
        <v>⬜ Pending</v>
      </c>
      <c r="O261" s="269"/>
      <c r="P261" s="76" t="str">
        <f aca="false">IF(O261&lt;&gt;"",O261,N261)</f>
        <v>⬜ Pending</v>
      </c>
      <c r="Q261" s="270" t="s">
        <v>1129</v>
      </c>
      <c r="R261" s="271" t="str">
        <f aca="false">IF(COUNTIF('📆 Daily Schedule'!$M$5:$M$427,D261)&gt;0,"⚡ In Swap","✅ Available")</f>
        <v>✅ Available</v>
      </c>
    </row>
    <row r="262" customFormat="false" ht="15.75" hidden="false" customHeight="true" outlineLevel="0" collapsed="false">
      <c r="A262" s="36" t="n">
        <v>259</v>
      </c>
      <c r="B262" s="36" t="s">
        <v>1090</v>
      </c>
      <c r="C262" s="85" t="n">
        <v>259</v>
      </c>
      <c r="D262" s="287" t="s">
        <v>1130</v>
      </c>
      <c r="E262" s="190" t="s">
        <v>458</v>
      </c>
      <c r="F262" s="39" t="n">
        <v>1</v>
      </c>
      <c r="G262" s="40" t="n">
        <v>2</v>
      </c>
      <c r="H262" s="41" t="n">
        <v>3</v>
      </c>
      <c r="I262" s="288" t="n">
        <v>11</v>
      </c>
      <c r="J262" s="36" t="s">
        <v>617</v>
      </c>
      <c r="K262" s="289" t="n">
        <v>5</v>
      </c>
      <c r="L262" s="289" t="n">
        <v>1</v>
      </c>
      <c r="M262" s="188" t="s">
        <v>618</v>
      </c>
      <c r="N262" s="85" t="str">
        <f aca="false">IFERROR(IF(COUNTIF('📝 Daily Log'!$E$3:$E$600,D262)&gt;0,IF(COUNTIFS('📝 Daily Log'!$E$3:$E$600,D262,'📝 Daily Log'!$G$3:$G$600,"✅ Done")&gt;0,"✅ Done",IF(COUNTIFS('📝 Daily Log'!$E$3:$E$600,D262,'📝 Daily Log'!$G$3:$G$600,"🔄 Partial")&gt;0,"🔄 Partial","⬜ Pending")),"⬜ Pending"),"⬜ Pending")</f>
        <v>⬜ Pending</v>
      </c>
      <c r="O262" s="269"/>
      <c r="P262" s="85" t="str">
        <f aca="false">IF(O262&lt;&gt;"",O262,N262)</f>
        <v>⬜ Pending</v>
      </c>
      <c r="Q262" s="270" t="s">
        <v>1131</v>
      </c>
      <c r="R262" s="271" t="str">
        <f aca="false">IF(COUNTIF('📆 Daily Schedule'!$M$5:$M$427,D262)&gt;0,"⚡ In Swap","✅ Available")</f>
        <v>✅ Available</v>
      </c>
    </row>
    <row r="263" customFormat="false" ht="15.75" hidden="false" customHeight="true" outlineLevel="0" collapsed="false">
      <c r="A263" s="274" t="n">
        <v>260</v>
      </c>
      <c r="B263" s="274" t="s">
        <v>1132</v>
      </c>
      <c r="C263" s="76" t="n">
        <v>260</v>
      </c>
      <c r="D263" s="37" t="s">
        <v>1133</v>
      </c>
      <c r="E263" s="198" t="s">
        <v>470</v>
      </c>
      <c r="F263" s="39" t="n">
        <v>0.5</v>
      </c>
      <c r="G263" s="40" t="n">
        <v>1</v>
      </c>
      <c r="H263" s="41" t="n">
        <v>1.5</v>
      </c>
      <c r="I263" s="272" t="n">
        <v>13</v>
      </c>
      <c r="J263" s="274" t="s">
        <v>623</v>
      </c>
      <c r="K263" s="273" t="n">
        <v>5</v>
      </c>
      <c r="L263" s="273" t="n">
        <v>3</v>
      </c>
      <c r="M263" s="188" t="s">
        <v>618</v>
      </c>
      <c r="N263" s="76" t="str">
        <f aca="false">IFERROR(IF(COUNTIF('📝 Daily Log'!$E$3:$E$600,D263)&gt;0,IF(COUNTIFS('📝 Daily Log'!$E$3:$E$600,D263,'📝 Daily Log'!$G$3:$G$600,"✅ Done")&gt;0,"✅ Done",IF(COUNTIFS('📝 Daily Log'!$E$3:$E$600,D263,'📝 Daily Log'!$G$3:$G$600,"🔄 Partial")&gt;0,"🔄 Partial","⬜ Pending")),"⬜ Pending"),"⬜ Pending")</f>
        <v>⬜ Pending</v>
      </c>
      <c r="O263" s="269"/>
      <c r="P263" s="76" t="str">
        <f aca="false">IF(O263&lt;&gt;"",O263,N263)</f>
        <v>⬜ Pending</v>
      </c>
      <c r="Q263" s="270" t="s">
        <v>1134</v>
      </c>
      <c r="R263" s="271" t="str">
        <f aca="false">IF(COUNTIF('📆 Daily Schedule'!$M$5:$M$427,D263)&gt;0,"⚡ In Swap","✅ Available")</f>
        <v>✅ Available</v>
      </c>
    </row>
    <row r="264" customFormat="false" ht="15.75" hidden="false" customHeight="true" outlineLevel="0" collapsed="false">
      <c r="A264" s="274" t="n">
        <v>261</v>
      </c>
      <c r="B264" s="274" t="s">
        <v>1132</v>
      </c>
      <c r="C264" s="299" t="n">
        <v>261</v>
      </c>
      <c r="D264" s="300" t="s">
        <v>1135</v>
      </c>
      <c r="E264" s="198" t="s">
        <v>470</v>
      </c>
      <c r="F264" s="39" t="n">
        <v>0.5</v>
      </c>
      <c r="G264" s="40" t="n">
        <v>1</v>
      </c>
      <c r="H264" s="41" t="n">
        <v>1.5</v>
      </c>
      <c r="I264" s="301" t="n">
        <v>14</v>
      </c>
      <c r="J264" s="274" t="s">
        <v>623</v>
      </c>
      <c r="K264" s="302" t="n">
        <v>5</v>
      </c>
      <c r="L264" s="302" t="n">
        <v>4</v>
      </c>
      <c r="M264" s="188" t="s">
        <v>618</v>
      </c>
      <c r="N264" s="299" t="str">
        <f aca="false">IFERROR(IF(COUNTIF('📝 Daily Log'!$E$3:$E$600,D264)&gt;0,IF(COUNTIFS('📝 Daily Log'!$E$3:$E$600,D264,'📝 Daily Log'!$G$3:$G$600,"✅ Done")&gt;0,"✅ Done",IF(COUNTIFS('📝 Daily Log'!$E$3:$E$600,D264,'📝 Daily Log'!$G$3:$G$600,"🔄 Partial")&gt;0,"🔄 Partial","⬜ Pending")),"⬜ Pending"),"⬜ Pending")</f>
        <v>⬜ Pending</v>
      </c>
      <c r="O264" s="269"/>
      <c r="P264" s="299" t="str">
        <f aca="false">IF(O264&lt;&gt;"",O264,N264)</f>
        <v>⬜ Pending</v>
      </c>
      <c r="Q264" s="270" t="s">
        <v>1136</v>
      </c>
      <c r="R264" s="271" t="str">
        <f aca="false">IF(COUNTIF('📆 Daily Schedule'!$M$5:$M$427,D264)&gt;0,"⚡ In Swap","✅ Available")</f>
        <v>✅ Available</v>
      </c>
    </row>
    <row r="265" customFormat="false" ht="15.75" hidden="false" customHeight="true" outlineLevel="0" collapsed="false">
      <c r="A265" s="274" t="n">
        <v>262</v>
      </c>
      <c r="B265" s="274" t="s">
        <v>1132</v>
      </c>
      <c r="C265" s="76" t="n">
        <v>262</v>
      </c>
      <c r="D265" s="37" t="s">
        <v>1137</v>
      </c>
      <c r="E265" s="198" t="s">
        <v>470</v>
      </c>
      <c r="F265" s="39" t="n">
        <v>0.5</v>
      </c>
      <c r="G265" s="40" t="n">
        <v>1</v>
      </c>
      <c r="H265" s="41" t="n">
        <v>1.5</v>
      </c>
      <c r="I265" s="272" t="n">
        <v>13</v>
      </c>
      <c r="J265" s="274" t="s">
        <v>623</v>
      </c>
      <c r="K265" s="273" t="n">
        <v>5</v>
      </c>
      <c r="L265" s="273" t="n">
        <v>3</v>
      </c>
      <c r="M265" s="188" t="s">
        <v>618</v>
      </c>
      <c r="N265" s="76" t="str">
        <f aca="false">IFERROR(IF(COUNTIF('📝 Daily Log'!$E$3:$E$600,D265)&gt;0,IF(COUNTIFS('📝 Daily Log'!$E$3:$E$600,D265,'📝 Daily Log'!$G$3:$G$600,"✅ Done")&gt;0,"✅ Done",IF(COUNTIFS('📝 Daily Log'!$E$3:$E$600,D265,'📝 Daily Log'!$G$3:$G$600,"🔄 Partial")&gt;0,"🔄 Partial","⬜ Pending")),"⬜ Pending"),"⬜ Pending")</f>
        <v>⬜ Pending</v>
      </c>
      <c r="O265" s="269"/>
      <c r="P265" s="76" t="str">
        <f aca="false">IF(O265&lt;&gt;"",O265,N265)</f>
        <v>⬜ Pending</v>
      </c>
      <c r="Q265" s="270" t="s">
        <v>1138</v>
      </c>
      <c r="R265" s="271" t="str">
        <f aca="false">IF(COUNTIF('📆 Daily Schedule'!$M$5:$M$427,D265)&gt;0,"⚡ In Swap","✅ Available")</f>
        <v>✅ Available</v>
      </c>
    </row>
    <row r="266" customFormat="false" ht="15.75" hidden="false" customHeight="true" outlineLevel="0" collapsed="false">
      <c r="A266" s="274" t="n">
        <v>263</v>
      </c>
      <c r="B266" s="274" t="s">
        <v>1132</v>
      </c>
      <c r="C266" s="299" t="n">
        <v>263</v>
      </c>
      <c r="D266" s="300" t="s">
        <v>1139</v>
      </c>
      <c r="E266" s="198" t="s">
        <v>470</v>
      </c>
      <c r="F266" s="39" t="n">
        <v>0.5</v>
      </c>
      <c r="G266" s="40" t="n">
        <v>1</v>
      </c>
      <c r="H266" s="41" t="n">
        <v>1.5</v>
      </c>
      <c r="I266" s="301" t="n">
        <v>14</v>
      </c>
      <c r="J266" s="274" t="s">
        <v>623</v>
      </c>
      <c r="K266" s="302" t="n">
        <v>5</v>
      </c>
      <c r="L266" s="302" t="n">
        <v>4</v>
      </c>
      <c r="M266" s="188" t="s">
        <v>618</v>
      </c>
      <c r="N266" s="299" t="str">
        <f aca="false">IFERROR(IF(COUNTIF('📝 Daily Log'!$E$3:$E$600,D266)&gt;0,IF(COUNTIFS('📝 Daily Log'!$E$3:$E$600,D266,'📝 Daily Log'!$G$3:$G$600,"✅ Done")&gt;0,"✅ Done",IF(COUNTIFS('📝 Daily Log'!$E$3:$E$600,D266,'📝 Daily Log'!$G$3:$G$600,"🔄 Partial")&gt;0,"🔄 Partial","⬜ Pending")),"⬜ Pending"),"⬜ Pending")</f>
        <v>⬜ Pending</v>
      </c>
      <c r="O266" s="269"/>
      <c r="P266" s="299" t="str">
        <f aca="false">IF(O266&lt;&gt;"",O266,N266)</f>
        <v>⬜ Pending</v>
      </c>
      <c r="Q266" s="270" t="s">
        <v>1140</v>
      </c>
      <c r="R266" s="271" t="str">
        <f aca="false">IF(COUNTIF('📆 Daily Schedule'!$M$5:$M$427,D266)&gt;0,"⚡ In Swap","✅ Available")</f>
        <v>✅ Available</v>
      </c>
    </row>
    <row r="267" customFormat="false" ht="15.75" hidden="false" customHeight="true" outlineLevel="0" collapsed="false">
      <c r="A267" s="274" t="n">
        <v>264</v>
      </c>
      <c r="B267" s="274" t="s">
        <v>1132</v>
      </c>
      <c r="C267" s="76" t="n">
        <v>264</v>
      </c>
      <c r="D267" s="37" t="s">
        <v>1141</v>
      </c>
      <c r="E267" s="198" t="s">
        <v>470</v>
      </c>
      <c r="F267" s="39" t="n">
        <v>0.3</v>
      </c>
      <c r="G267" s="40" t="n">
        <v>0.5</v>
      </c>
      <c r="H267" s="41" t="n">
        <v>0.75</v>
      </c>
      <c r="I267" s="272" t="n">
        <v>14</v>
      </c>
      <c r="J267" s="274" t="s">
        <v>623</v>
      </c>
      <c r="K267" s="273" t="n">
        <v>5</v>
      </c>
      <c r="L267" s="273" t="n">
        <v>4</v>
      </c>
      <c r="M267" s="188" t="s">
        <v>618</v>
      </c>
      <c r="N267" s="76" t="str">
        <f aca="false">IFERROR(IF(COUNTIF('📝 Daily Log'!$E$3:$E$600,D267)&gt;0,IF(COUNTIFS('📝 Daily Log'!$E$3:$E$600,D267,'📝 Daily Log'!$G$3:$G$600,"✅ Done")&gt;0,"✅ Done",IF(COUNTIFS('📝 Daily Log'!$E$3:$E$600,D267,'📝 Daily Log'!$G$3:$G$600,"🔄 Partial")&gt;0,"🔄 Partial","⬜ Pending")),"⬜ Pending"),"⬜ Pending")</f>
        <v>⬜ Pending</v>
      </c>
      <c r="O267" s="269"/>
      <c r="P267" s="76" t="str">
        <f aca="false">IF(O267&lt;&gt;"",O267,N267)</f>
        <v>⬜ Pending</v>
      </c>
      <c r="Q267" s="270" t="s">
        <v>1142</v>
      </c>
      <c r="R267" s="271" t="str">
        <f aca="false">IF(COUNTIF('📆 Daily Schedule'!$M$5:$M$427,D267)&gt;0,"⚡ In Swap","✅ Available")</f>
        <v>✅ Available</v>
      </c>
    </row>
    <row r="268" customFormat="false" ht="15.75" hidden="false" customHeight="true" outlineLevel="0" collapsed="false">
      <c r="A268" s="274" t="n">
        <v>265</v>
      </c>
      <c r="B268" s="274" t="s">
        <v>1132</v>
      </c>
      <c r="C268" s="299" t="n">
        <v>265</v>
      </c>
      <c r="D268" s="300" t="s">
        <v>1143</v>
      </c>
      <c r="E268" s="198" t="s">
        <v>470</v>
      </c>
      <c r="F268" s="39" t="n">
        <v>1</v>
      </c>
      <c r="G268" s="40" t="n">
        <v>1.5</v>
      </c>
      <c r="H268" s="41" t="n">
        <v>2</v>
      </c>
      <c r="I268" s="301" t="n">
        <v>13</v>
      </c>
      <c r="J268" s="274" t="s">
        <v>623</v>
      </c>
      <c r="K268" s="302" t="n">
        <v>5</v>
      </c>
      <c r="L268" s="302" t="n">
        <v>3</v>
      </c>
      <c r="M268" s="188" t="s">
        <v>618</v>
      </c>
      <c r="N268" s="299" t="str">
        <f aca="false">IFERROR(IF(COUNTIF('📝 Daily Log'!$E$3:$E$600,D268)&gt;0,IF(COUNTIFS('📝 Daily Log'!$E$3:$E$600,D268,'📝 Daily Log'!$G$3:$G$600,"✅ Done")&gt;0,"✅ Done",IF(COUNTIFS('📝 Daily Log'!$E$3:$E$600,D268,'📝 Daily Log'!$G$3:$G$600,"🔄 Partial")&gt;0,"🔄 Partial","⬜ Pending")),"⬜ Pending"),"⬜ Pending")</f>
        <v>⬜ Pending</v>
      </c>
      <c r="O268" s="269"/>
      <c r="P268" s="299" t="str">
        <f aca="false">IF(O268&lt;&gt;"",O268,N268)</f>
        <v>⬜ Pending</v>
      </c>
      <c r="Q268" s="270" t="s">
        <v>1084</v>
      </c>
      <c r="R268" s="271" t="str">
        <f aca="false">IF(COUNTIF('📆 Daily Schedule'!$M$5:$M$427,D268)&gt;0,"⚡ In Swap","✅ Available")</f>
        <v>✅ Available</v>
      </c>
    </row>
    <row r="269" customFormat="false" ht="15.75" hidden="false" customHeight="true" outlineLevel="0" collapsed="false">
      <c r="A269" s="274" t="n">
        <v>266</v>
      </c>
      <c r="B269" s="274" t="s">
        <v>1132</v>
      </c>
      <c r="C269" s="76" t="n">
        <v>266</v>
      </c>
      <c r="D269" s="37" t="s">
        <v>1144</v>
      </c>
      <c r="E269" s="198" t="s">
        <v>470</v>
      </c>
      <c r="F269" s="39" t="n">
        <v>1.5</v>
      </c>
      <c r="G269" s="40" t="n">
        <v>3</v>
      </c>
      <c r="H269" s="41" t="n">
        <v>5</v>
      </c>
      <c r="I269" s="272" t="n">
        <v>14</v>
      </c>
      <c r="J269" s="274" t="s">
        <v>623</v>
      </c>
      <c r="K269" s="273" t="n">
        <v>5</v>
      </c>
      <c r="L269" s="273" t="n">
        <v>4</v>
      </c>
      <c r="M269" s="188" t="s">
        <v>618</v>
      </c>
      <c r="N269" s="76" t="str">
        <f aca="false">IFERROR(IF(COUNTIF('📝 Daily Log'!$E$3:$E$600,D269)&gt;0,IF(COUNTIFS('📝 Daily Log'!$E$3:$E$600,D269,'📝 Daily Log'!$G$3:$G$600,"✅ Done")&gt;0,"✅ Done",IF(COUNTIFS('📝 Daily Log'!$E$3:$E$600,D269,'📝 Daily Log'!$G$3:$G$600,"🔄 Partial")&gt;0,"🔄 Partial","⬜ Pending")),"⬜ Pending"),"⬜ Pending")</f>
        <v>⬜ Pending</v>
      </c>
      <c r="O269" s="269"/>
      <c r="P269" s="76" t="str">
        <f aca="false">IF(O269&lt;&gt;"",O269,N269)</f>
        <v>⬜ Pending</v>
      </c>
      <c r="Q269" s="270" t="s">
        <v>1145</v>
      </c>
      <c r="R269" s="271" t="str">
        <f aca="false">IF(COUNTIF('📆 Daily Schedule'!$M$5:$M$427,D269)&gt;0,"⚡ In Swap","✅ Available")</f>
        <v>✅ Available</v>
      </c>
    </row>
    <row r="270" customFormat="false" ht="15.75" hidden="false" customHeight="true" outlineLevel="0" collapsed="false">
      <c r="A270" s="274" t="n">
        <v>267</v>
      </c>
      <c r="B270" s="274" t="s">
        <v>1132</v>
      </c>
      <c r="C270" s="299" t="n">
        <v>267</v>
      </c>
      <c r="D270" s="300" t="s">
        <v>1146</v>
      </c>
      <c r="E270" s="198" t="s">
        <v>470</v>
      </c>
      <c r="F270" s="39" t="n">
        <v>0.5</v>
      </c>
      <c r="G270" s="40" t="n">
        <v>1</v>
      </c>
      <c r="H270" s="41" t="n">
        <v>1.5</v>
      </c>
      <c r="I270" s="301" t="n">
        <v>14</v>
      </c>
      <c r="J270" s="274" t="s">
        <v>623</v>
      </c>
      <c r="K270" s="302" t="n">
        <v>5</v>
      </c>
      <c r="L270" s="302" t="n">
        <v>4</v>
      </c>
      <c r="M270" s="188" t="s">
        <v>618</v>
      </c>
      <c r="N270" s="299" t="str">
        <f aca="false">IFERROR(IF(COUNTIF('📝 Daily Log'!$E$3:$E$600,D270)&gt;0,IF(COUNTIFS('📝 Daily Log'!$E$3:$E$600,D270,'📝 Daily Log'!$G$3:$G$600,"✅ Done")&gt;0,"✅ Done",IF(COUNTIFS('📝 Daily Log'!$E$3:$E$600,D270,'📝 Daily Log'!$G$3:$G$600,"🔄 Partial")&gt;0,"🔄 Partial","⬜ Pending")),"⬜ Pending"),"⬜ Pending")</f>
        <v>⬜ Pending</v>
      </c>
      <c r="O270" s="269"/>
      <c r="P270" s="299" t="str">
        <f aca="false">IF(O270&lt;&gt;"",O270,N270)</f>
        <v>⬜ Pending</v>
      </c>
      <c r="Q270" s="270" t="s">
        <v>1147</v>
      </c>
      <c r="R270" s="271" t="str">
        <f aca="false">IF(COUNTIF('📆 Daily Schedule'!$M$5:$M$427,D270)&gt;0,"⚡ In Swap","✅ Available")</f>
        <v>✅ Available</v>
      </c>
    </row>
    <row r="271" customFormat="false" ht="15.75" hidden="false" customHeight="true" outlineLevel="0" collapsed="false">
      <c r="A271" s="274" t="n">
        <v>268</v>
      </c>
      <c r="B271" s="274" t="s">
        <v>1132</v>
      </c>
      <c r="C271" s="76" t="n">
        <v>268</v>
      </c>
      <c r="D271" s="37" t="s">
        <v>1148</v>
      </c>
      <c r="E271" s="198" t="s">
        <v>470</v>
      </c>
      <c r="F271" s="39" t="n">
        <v>0.5</v>
      </c>
      <c r="G271" s="40" t="n">
        <v>0.75</v>
      </c>
      <c r="H271" s="41" t="n">
        <v>1</v>
      </c>
      <c r="I271" s="272" t="n">
        <v>12</v>
      </c>
      <c r="J271" s="274" t="s">
        <v>623</v>
      </c>
      <c r="K271" s="273" t="n">
        <v>4</v>
      </c>
      <c r="L271" s="273" t="n">
        <v>4</v>
      </c>
      <c r="M271" s="188" t="s">
        <v>618</v>
      </c>
      <c r="N271" s="76" t="str">
        <f aca="false">IFERROR(IF(COUNTIF('📝 Daily Log'!$E$3:$E$600,D271)&gt;0,IF(COUNTIFS('📝 Daily Log'!$E$3:$E$600,D271,'📝 Daily Log'!$G$3:$G$600,"✅ Done")&gt;0,"✅ Done",IF(COUNTIFS('📝 Daily Log'!$E$3:$E$600,D271,'📝 Daily Log'!$G$3:$G$600,"🔄 Partial")&gt;0,"🔄 Partial","⬜ Pending")),"⬜ Pending"),"⬜ Pending")</f>
        <v>⬜ Pending</v>
      </c>
      <c r="O271" s="269"/>
      <c r="P271" s="76" t="str">
        <f aca="false">IF(O271&lt;&gt;"",O271,N271)</f>
        <v>⬜ Pending</v>
      </c>
      <c r="Q271" s="270" t="s">
        <v>1149</v>
      </c>
      <c r="R271" s="271" t="str">
        <f aca="false">IF(COUNTIF('📆 Daily Schedule'!$M$5:$M$427,D271)&gt;0,"⚡ In Swap","✅ Available")</f>
        <v>✅ Available</v>
      </c>
    </row>
    <row r="272" customFormat="false" ht="15.75" hidden="false" customHeight="true" outlineLevel="0" collapsed="false">
      <c r="A272" s="274" t="n">
        <v>269</v>
      </c>
      <c r="B272" s="274" t="s">
        <v>1132</v>
      </c>
      <c r="C272" s="299" t="n">
        <v>269</v>
      </c>
      <c r="D272" s="300" t="s">
        <v>1150</v>
      </c>
      <c r="E272" s="198" t="s">
        <v>470</v>
      </c>
      <c r="F272" s="39" t="n">
        <v>0.5</v>
      </c>
      <c r="G272" s="40" t="n">
        <v>1</v>
      </c>
      <c r="H272" s="41" t="n">
        <v>1.5</v>
      </c>
      <c r="I272" s="301" t="n">
        <v>11</v>
      </c>
      <c r="J272" s="36" t="s">
        <v>617</v>
      </c>
      <c r="K272" s="302" t="n">
        <v>4</v>
      </c>
      <c r="L272" s="302" t="n">
        <v>3</v>
      </c>
      <c r="M272" s="188" t="s">
        <v>618</v>
      </c>
      <c r="N272" s="299" t="str">
        <f aca="false">IFERROR(IF(COUNTIF('📝 Daily Log'!$E$3:$E$600,D272)&gt;0,IF(COUNTIFS('📝 Daily Log'!$E$3:$E$600,D272,'📝 Daily Log'!$G$3:$G$600,"✅ Done")&gt;0,"✅ Done",IF(COUNTIFS('📝 Daily Log'!$E$3:$E$600,D272,'📝 Daily Log'!$G$3:$G$600,"🔄 Partial")&gt;0,"🔄 Partial","⬜ Pending")),"⬜ Pending"),"⬜ Pending")</f>
        <v>⬜ Pending</v>
      </c>
      <c r="O272" s="269"/>
      <c r="P272" s="299" t="str">
        <f aca="false">IF(O272&lt;&gt;"",O272,N272)</f>
        <v>⬜ Pending</v>
      </c>
      <c r="Q272" s="270" t="s">
        <v>1151</v>
      </c>
      <c r="R272" s="271" t="str">
        <f aca="false">IF(COUNTIF('📆 Daily Schedule'!$M$5:$M$427,D272)&gt;0,"⚡ In Swap","✅ Available")</f>
        <v>✅ Available</v>
      </c>
    </row>
    <row r="273" customFormat="false" ht="15.75" hidden="false" customHeight="true" outlineLevel="0" collapsed="false">
      <c r="A273" s="274" t="n">
        <v>270</v>
      </c>
      <c r="B273" s="274" t="s">
        <v>1132</v>
      </c>
      <c r="C273" s="76" t="n">
        <v>270</v>
      </c>
      <c r="D273" s="37" t="s">
        <v>1152</v>
      </c>
      <c r="E273" s="198" t="s">
        <v>470</v>
      </c>
      <c r="F273" s="39" t="n">
        <v>0.5</v>
      </c>
      <c r="G273" s="40" t="n">
        <v>0.75</v>
      </c>
      <c r="H273" s="41" t="n">
        <v>1</v>
      </c>
      <c r="I273" s="272" t="n">
        <v>11</v>
      </c>
      <c r="J273" s="36" t="s">
        <v>617</v>
      </c>
      <c r="K273" s="273" t="n">
        <v>4</v>
      </c>
      <c r="L273" s="273" t="n">
        <v>3</v>
      </c>
      <c r="M273" s="188" t="s">
        <v>618</v>
      </c>
      <c r="N273" s="76" t="str">
        <f aca="false">IFERROR(IF(COUNTIF('📝 Daily Log'!$E$3:$E$600,D273)&gt;0,IF(COUNTIFS('📝 Daily Log'!$E$3:$E$600,D273,'📝 Daily Log'!$G$3:$G$600,"✅ Done")&gt;0,"✅ Done",IF(COUNTIFS('📝 Daily Log'!$E$3:$E$600,D273,'📝 Daily Log'!$G$3:$G$600,"🔄 Partial")&gt;0,"🔄 Partial","⬜ Pending")),"⬜ Pending"),"⬜ Pending")</f>
        <v>⬜ Pending</v>
      </c>
      <c r="O273" s="269"/>
      <c r="P273" s="76" t="str">
        <f aca="false">IF(O273&lt;&gt;"",O273,N273)</f>
        <v>⬜ Pending</v>
      </c>
      <c r="Q273" s="270" t="s">
        <v>1153</v>
      </c>
      <c r="R273" s="271" t="str">
        <f aca="false">IF(COUNTIF('📆 Daily Schedule'!$M$5:$M$427,D273)&gt;0,"⚡ In Swap","✅ Available")</f>
        <v>✅ Available</v>
      </c>
    </row>
    <row r="274" customFormat="false" ht="15.75" hidden="false" customHeight="true" outlineLevel="0" collapsed="false">
      <c r="A274" s="274" t="n">
        <v>271</v>
      </c>
      <c r="B274" s="274" t="s">
        <v>1132</v>
      </c>
      <c r="C274" s="299" t="n">
        <v>271</v>
      </c>
      <c r="D274" s="300" t="s">
        <v>1154</v>
      </c>
      <c r="E274" s="198" t="s">
        <v>470</v>
      </c>
      <c r="F274" s="39" t="n">
        <v>0.3</v>
      </c>
      <c r="G274" s="40" t="n">
        <v>0.5</v>
      </c>
      <c r="H274" s="41" t="n">
        <v>0.75</v>
      </c>
      <c r="I274" s="301" t="n">
        <v>15</v>
      </c>
      <c r="J274" s="274" t="s">
        <v>623</v>
      </c>
      <c r="K274" s="302" t="n">
        <v>5</v>
      </c>
      <c r="L274" s="302" t="n">
        <v>5</v>
      </c>
      <c r="M274" s="188" t="s">
        <v>618</v>
      </c>
      <c r="N274" s="299" t="str">
        <f aca="false">IFERROR(IF(COUNTIF('📝 Daily Log'!$E$3:$E$600,D274)&gt;0,IF(COUNTIFS('📝 Daily Log'!$E$3:$E$600,D274,'📝 Daily Log'!$G$3:$G$600,"✅ Done")&gt;0,"✅ Done",IF(COUNTIFS('📝 Daily Log'!$E$3:$E$600,D274,'📝 Daily Log'!$G$3:$G$600,"🔄 Partial")&gt;0,"🔄 Partial","⬜ Pending")),"⬜ Pending"),"⬜ Pending")</f>
        <v>⬜ Pending</v>
      </c>
      <c r="O274" s="269"/>
      <c r="P274" s="299" t="str">
        <f aca="false">IF(O274&lt;&gt;"",O274,N274)</f>
        <v>⬜ Pending</v>
      </c>
      <c r="Q274" s="270" t="s">
        <v>1127</v>
      </c>
      <c r="R274" s="271" t="str">
        <f aca="false">IF(COUNTIF('📆 Daily Schedule'!$M$5:$M$427,D274)&gt;0,"⚡ In Swap","✅ Available")</f>
        <v>✅ Available</v>
      </c>
    </row>
    <row r="275" customFormat="false" ht="15.75" hidden="false" customHeight="true" outlineLevel="0" collapsed="false">
      <c r="A275" s="274" t="n">
        <v>272</v>
      </c>
      <c r="B275" s="274" t="s">
        <v>1132</v>
      </c>
      <c r="C275" s="76" t="n">
        <v>272</v>
      </c>
      <c r="D275" s="37" t="s">
        <v>1155</v>
      </c>
      <c r="E275" s="198" t="s">
        <v>470</v>
      </c>
      <c r="F275" s="39" t="n">
        <v>0.5</v>
      </c>
      <c r="G275" s="40" t="n">
        <v>0.75</v>
      </c>
      <c r="H275" s="41" t="n">
        <v>1</v>
      </c>
      <c r="I275" s="272" t="n">
        <v>11</v>
      </c>
      <c r="J275" s="36" t="s">
        <v>617</v>
      </c>
      <c r="K275" s="273" t="n">
        <v>4</v>
      </c>
      <c r="L275" s="273" t="n">
        <v>3</v>
      </c>
      <c r="M275" s="188" t="s">
        <v>618</v>
      </c>
      <c r="N275" s="76" t="str">
        <f aca="false">IFERROR(IF(COUNTIF('📝 Daily Log'!$E$3:$E$600,D275)&gt;0,IF(COUNTIFS('📝 Daily Log'!$E$3:$E$600,D275,'📝 Daily Log'!$G$3:$G$600,"✅ Done")&gt;0,"✅ Done",IF(COUNTIFS('📝 Daily Log'!$E$3:$E$600,D275,'📝 Daily Log'!$G$3:$G$600,"🔄 Partial")&gt;0,"🔄 Partial","⬜ Pending")),"⬜ Pending"),"⬜ Pending")</f>
        <v>⬜ Pending</v>
      </c>
      <c r="O275" s="269"/>
      <c r="P275" s="76" t="str">
        <f aca="false">IF(O275&lt;&gt;"",O275,N275)</f>
        <v>⬜ Pending</v>
      </c>
      <c r="Q275" s="270" t="s">
        <v>1156</v>
      </c>
      <c r="R275" s="271" t="str">
        <f aca="false">IF(COUNTIF('📆 Daily Schedule'!$M$5:$M$427,D275)&gt;0,"⚡ In Swap","✅ Available")</f>
        <v>✅ Available</v>
      </c>
    </row>
    <row r="276" customFormat="false" ht="15.75" hidden="false" customHeight="true" outlineLevel="0" collapsed="false">
      <c r="A276" s="274" t="n">
        <v>273</v>
      </c>
      <c r="B276" s="274" t="s">
        <v>1132</v>
      </c>
      <c r="C276" s="299" t="n">
        <v>273</v>
      </c>
      <c r="D276" s="300" t="s">
        <v>1157</v>
      </c>
      <c r="E276" s="198" t="s">
        <v>470</v>
      </c>
      <c r="F276" s="39" t="n">
        <v>1.5</v>
      </c>
      <c r="G276" s="40" t="n">
        <v>3</v>
      </c>
      <c r="H276" s="41" t="n">
        <v>5</v>
      </c>
      <c r="I276" s="301" t="n">
        <v>14</v>
      </c>
      <c r="J276" s="274" t="s">
        <v>623</v>
      </c>
      <c r="K276" s="302" t="n">
        <v>5</v>
      </c>
      <c r="L276" s="302" t="n">
        <v>4</v>
      </c>
      <c r="M276" s="188" t="s">
        <v>618</v>
      </c>
      <c r="N276" s="299" t="str">
        <f aca="false">IFERROR(IF(COUNTIF('📝 Daily Log'!$E$3:$E$600,D276)&gt;0,IF(COUNTIFS('📝 Daily Log'!$E$3:$E$600,D276,'📝 Daily Log'!$G$3:$G$600,"✅ Done")&gt;0,"✅ Done",IF(COUNTIFS('📝 Daily Log'!$E$3:$E$600,D276,'📝 Daily Log'!$G$3:$G$600,"🔄 Partial")&gt;0,"🔄 Partial","⬜ Pending")),"⬜ Pending"),"⬜ Pending")</f>
        <v>⬜ Pending</v>
      </c>
      <c r="O276" s="269"/>
      <c r="P276" s="299" t="str">
        <f aca="false">IF(O276&lt;&gt;"",O276,N276)</f>
        <v>⬜ Pending</v>
      </c>
      <c r="Q276" s="270" t="s">
        <v>1158</v>
      </c>
      <c r="R276" s="271" t="str">
        <f aca="false">IF(COUNTIF('📆 Daily Schedule'!$M$5:$M$427,D276)&gt;0,"⚡ In Swap","✅ Available")</f>
        <v>✅ Available</v>
      </c>
    </row>
    <row r="277" customFormat="false" ht="15.75" hidden="false" customHeight="true" outlineLevel="0" collapsed="false">
      <c r="A277" s="274" t="n">
        <v>274</v>
      </c>
      <c r="B277" s="274" t="s">
        <v>1132</v>
      </c>
      <c r="C277" s="76" t="n">
        <v>274</v>
      </c>
      <c r="D277" s="37" t="s">
        <v>1159</v>
      </c>
      <c r="E277" s="198" t="s">
        <v>470</v>
      </c>
      <c r="F277" s="39" t="n">
        <v>0.5</v>
      </c>
      <c r="G277" s="40" t="n">
        <v>1</v>
      </c>
      <c r="H277" s="41" t="n">
        <v>1.5</v>
      </c>
      <c r="I277" s="272" t="n">
        <v>14</v>
      </c>
      <c r="J277" s="274" t="s">
        <v>623</v>
      </c>
      <c r="K277" s="273" t="n">
        <v>5</v>
      </c>
      <c r="L277" s="273" t="n">
        <v>4</v>
      </c>
      <c r="M277" s="188" t="s">
        <v>618</v>
      </c>
      <c r="N277" s="76" t="str">
        <f aca="false">IFERROR(IF(COUNTIF('📝 Daily Log'!$E$3:$E$600,D277)&gt;0,IF(COUNTIFS('📝 Daily Log'!$E$3:$E$600,D277,'📝 Daily Log'!$G$3:$G$600,"✅ Done")&gt;0,"✅ Done",IF(COUNTIFS('📝 Daily Log'!$E$3:$E$600,D277,'📝 Daily Log'!$G$3:$G$600,"🔄 Partial")&gt;0,"🔄 Partial","⬜ Pending")),"⬜ Pending"),"⬜ Pending")</f>
        <v>⬜ Pending</v>
      </c>
      <c r="O277" s="269"/>
      <c r="P277" s="76" t="str">
        <f aca="false">IF(O277&lt;&gt;"",O277,N277)</f>
        <v>⬜ Pending</v>
      </c>
      <c r="Q277" s="270" t="s">
        <v>1160</v>
      </c>
      <c r="R277" s="271" t="str">
        <f aca="false">IF(COUNTIF('📆 Daily Schedule'!$M$5:$M$427,D277)&gt;0,"⚡ In Swap","✅ Available")</f>
        <v>✅ Available</v>
      </c>
    </row>
    <row r="278" customFormat="false" ht="15.75" hidden="false" customHeight="true" outlineLevel="0" collapsed="false">
      <c r="A278" s="274" t="n">
        <v>275</v>
      </c>
      <c r="B278" s="274" t="s">
        <v>1132</v>
      </c>
      <c r="C278" s="299" t="n">
        <v>275</v>
      </c>
      <c r="D278" s="300" t="s">
        <v>1161</v>
      </c>
      <c r="E278" s="198" t="s">
        <v>470</v>
      </c>
      <c r="F278" s="39" t="n">
        <v>0.5</v>
      </c>
      <c r="G278" s="40" t="n">
        <v>0.75</v>
      </c>
      <c r="H278" s="41" t="n">
        <v>1</v>
      </c>
      <c r="I278" s="301" t="n">
        <v>13</v>
      </c>
      <c r="J278" s="274" t="s">
        <v>623</v>
      </c>
      <c r="K278" s="302" t="n">
        <v>5</v>
      </c>
      <c r="L278" s="302" t="n">
        <v>3</v>
      </c>
      <c r="M278" s="188" t="s">
        <v>618</v>
      </c>
      <c r="N278" s="299" t="str">
        <f aca="false">IFERROR(IF(COUNTIF('📝 Daily Log'!$E$3:$E$600,D278)&gt;0,IF(COUNTIFS('📝 Daily Log'!$E$3:$E$600,D278,'📝 Daily Log'!$G$3:$G$600,"✅ Done")&gt;0,"✅ Done",IF(COUNTIFS('📝 Daily Log'!$E$3:$E$600,D278,'📝 Daily Log'!$G$3:$G$600,"🔄 Partial")&gt;0,"🔄 Partial","⬜ Pending")),"⬜ Pending"),"⬜ Pending")</f>
        <v>⬜ Pending</v>
      </c>
      <c r="O278" s="269"/>
      <c r="P278" s="299" t="str">
        <f aca="false">IF(O278&lt;&gt;"",O278,N278)</f>
        <v>⬜ Pending</v>
      </c>
      <c r="Q278" s="270" t="s">
        <v>1162</v>
      </c>
      <c r="R278" s="271" t="str">
        <f aca="false">IF(COUNTIF('📆 Daily Schedule'!$M$5:$M$427,D278)&gt;0,"⚡ In Swap","✅ Available")</f>
        <v>✅ Available</v>
      </c>
    </row>
    <row r="279" customFormat="false" ht="15.75" hidden="false" customHeight="true" outlineLevel="0" collapsed="false">
      <c r="A279" s="274" t="n">
        <v>276</v>
      </c>
      <c r="B279" s="274" t="s">
        <v>1132</v>
      </c>
      <c r="C279" s="76" t="n">
        <v>276</v>
      </c>
      <c r="D279" s="37" t="s">
        <v>1163</v>
      </c>
      <c r="E279" s="198" t="s">
        <v>470</v>
      </c>
      <c r="F279" s="39" t="n">
        <v>0.5</v>
      </c>
      <c r="G279" s="40" t="n">
        <v>0.75</v>
      </c>
      <c r="H279" s="41" t="n">
        <v>1</v>
      </c>
      <c r="I279" s="272" t="n">
        <v>10</v>
      </c>
      <c r="J279" s="36" t="s">
        <v>617</v>
      </c>
      <c r="K279" s="273" t="n">
        <v>4</v>
      </c>
      <c r="L279" s="273" t="n">
        <v>2</v>
      </c>
      <c r="M279" s="188" t="s">
        <v>618</v>
      </c>
      <c r="N279" s="76" t="str">
        <f aca="false">IFERROR(IF(COUNTIF('📝 Daily Log'!$E$3:$E$600,D279)&gt;0,IF(COUNTIFS('📝 Daily Log'!$E$3:$E$600,D279,'📝 Daily Log'!$G$3:$G$600,"✅ Done")&gt;0,"✅ Done",IF(COUNTIFS('📝 Daily Log'!$E$3:$E$600,D279,'📝 Daily Log'!$G$3:$G$600,"🔄 Partial")&gt;0,"🔄 Partial","⬜ Pending")),"⬜ Pending"),"⬜ Pending")</f>
        <v>⬜ Pending</v>
      </c>
      <c r="O279" s="269"/>
      <c r="P279" s="76" t="str">
        <f aca="false">IF(O279&lt;&gt;"",O279,N279)</f>
        <v>⬜ Pending</v>
      </c>
      <c r="Q279" s="270" t="s">
        <v>1164</v>
      </c>
      <c r="R279" s="271" t="str">
        <f aca="false">IF(COUNTIF('📆 Daily Schedule'!$M$5:$M$427,D279)&gt;0,"⚡ In Swap","✅ Available")</f>
        <v>✅ Available</v>
      </c>
    </row>
    <row r="280" customFormat="false" ht="15.75" hidden="false" customHeight="true" outlineLevel="0" collapsed="false">
      <c r="A280" s="274" t="n">
        <v>277</v>
      </c>
      <c r="B280" s="274" t="s">
        <v>1132</v>
      </c>
      <c r="C280" s="299" t="n">
        <v>277</v>
      </c>
      <c r="D280" s="300" t="s">
        <v>1165</v>
      </c>
      <c r="E280" s="198" t="s">
        <v>470</v>
      </c>
      <c r="F280" s="39" t="n">
        <v>0.5</v>
      </c>
      <c r="G280" s="40" t="n">
        <v>1.5</v>
      </c>
      <c r="H280" s="41" t="n">
        <v>3</v>
      </c>
      <c r="I280" s="301" t="n">
        <v>14</v>
      </c>
      <c r="J280" s="274" t="s">
        <v>623</v>
      </c>
      <c r="K280" s="302" t="n">
        <v>5</v>
      </c>
      <c r="L280" s="302" t="n">
        <v>4</v>
      </c>
      <c r="M280" s="188" t="s">
        <v>618</v>
      </c>
      <c r="N280" s="299" t="str">
        <f aca="false">IFERROR(IF(COUNTIF('📝 Daily Log'!$E$3:$E$600,D280)&gt;0,IF(COUNTIFS('📝 Daily Log'!$E$3:$E$600,D280,'📝 Daily Log'!$G$3:$G$600,"✅ Done")&gt;0,"✅ Done",IF(COUNTIFS('📝 Daily Log'!$E$3:$E$600,D280,'📝 Daily Log'!$G$3:$G$600,"🔄 Partial")&gt;0,"🔄 Partial","⬜ Pending")),"⬜ Pending"),"⬜ Pending")</f>
        <v>⬜ Pending</v>
      </c>
      <c r="O280" s="269"/>
      <c r="P280" s="299" t="str">
        <f aca="false">IF(O280&lt;&gt;"",O280,N280)</f>
        <v>⬜ Pending</v>
      </c>
      <c r="Q280" s="270" t="s">
        <v>1166</v>
      </c>
      <c r="R280" s="271" t="str">
        <f aca="false">IF(COUNTIF('📆 Daily Schedule'!$M$5:$M$427,D280)&gt;0,"⚡ In Swap","✅ Available")</f>
        <v>✅ Available</v>
      </c>
    </row>
    <row r="281" customFormat="false" ht="15.75" hidden="false" customHeight="true" outlineLevel="0" collapsed="false">
      <c r="A281" s="274" t="n">
        <v>278</v>
      </c>
      <c r="B281" s="274" t="s">
        <v>1132</v>
      </c>
      <c r="C281" s="76" t="n">
        <v>278</v>
      </c>
      <c r="D281" s="37" t="s">
        <v>1167</v>
      </c>
      <c r="E281" s="198" t="s">
        <v>470</v>
      </c>
      <c r="F281" s="39" t="n">
        <v>0.3</v>
      </c>
      <c r="G281" s="40" t="n">
        <v>0.5</v>
      </c>
      <c r="H281" s="41" t="n">
        <v>0.75</v>
      </c>
      <c r="I281" s="272" t="n">
        <v>14</v>
      </c>
      <c r="J281" s="274" t="s">
        <v>623</v>
      </c>
      <c r="K281" s="273" t="n">
        <v>5</v>
      </c>
      <c r="L281" s="273" t="n">
        <v>4</v>
      </c>
      <c r="M281" s="188" t="s">
        <v>618</v>
      </c>
      <c r="N281" s="76" t="str">
        <f aca="false">IFERROR(IF(COUNTIF('📝 Daily Log'!$E$3:$E$600,D281)&gt;0,IF(COUNTIFS('📝 Daily Log'!$E$3:$E$600,D281,'📝 Daily Log'!$G$3:$G$600,"✅ Done")&gt;0,"✅ Done",IF(COUNTIFS('📝 Daily Log'!$E$3:$E$600,D281,'📝 Daily Log'!$G$3:$G$600,"🔄 Partial")&gt;0,"🔄 Partial","⬜ Pending")),"⬜ Pending"),"⬜ Pending")</f>
        <v>⬜ Pending</v>
      </c>
      <c r="O281" s="269"/>
      <c r="P281" s="76" t="str">
        <f aca="false">IF(O281&lt;&gt;"",O281,N281)</f>
        <v>⬜ Pending</v>
      </c>
      <c r="Q281" s="270" t="s">
        <v>1168</v>
      </c>
      <c r="R281" s="271" t="str">
        <f aca="false">IF(COUNTIF('📆 Daily Schedule'!$M$5:$M$427,D281)&gt;0,"⚡ In Swap","✅ Available")</f>
        <v>✅ Available</v>
      </c>
    </row>
    <row r="282" customFormat="false" ht="15.75" hidden="false" customHeight="true" outlineLevel="0" collapsed="false">
      <c r="A282" s="274" t="n">
        <v>279</v>
      </c>
      <c r="B282" s="274" t="s">
        <v>1132</v>
      </c>
      <c r="C282" s="299" t="n">
        <v>279</v>
      </c>
      <c r="D282" s="300" t="s">
        <v>1169</v>
      </c>
      <c r="E282" s="198" t="s">
        <v>470</v>
      </c>
      <c r="F282" s="39" t="n">
        <v>1</v>
      </c>
      <c r="G282" s="40" t="n">
        <v>2</v>
      </c>
      <c r="H282" s="41" t="n">
        <v>3</v>
      </c>
      <c r="I282" s="301" t="n">
        <v>11</v>
      </c>
      <c r="J282" s="36" t="s">
        <v>617</v>
      </c>
      <c r="K282" s="302" t="n">
        <v>5</v>
      </c>
      <c r="L282" s="302" t="n">
        <v>1</v>
      </c>
      <c r="M282" s="188" t="s">
        <v>618</v>
      </c>
      <c r="N282" s="299" t="str">
        <f aca="false">IFERROR(IF(COUNTIF('📝 Daily Log'!$E$3:$E$600,D282)&gt;0,IF(COUNTIFS('📝 Daily Log'!$E$3:$E$600,D282,'📝 Daily Log'!$G$3:$G$600,"✅ Done")&gt;0,"✅ Done",IF(COUNTIFS('📝 Daily Log'!$E$3:$E$600,D282,'📝 Daily Log'!$G$3:$G$600,"🔄 Partial")&gt;0,"🔄 Partial","⬜ Pending")),"⬜ Pending"),"⬜ Pending")</f>
        <v>⬜ Pending</v>
      </c>
      <c r="O282" s="269"/>
      <c r="P282" s="299" t="str">
        <f aca="false">IF(O282&lt;&gt;"",O282,N282)</f>
        <v>⬜ Pending</v>
      </c>
      <c r="Q282" s="270" t="s">
        <v>1170</v>
      </c>
      <c r="R282" s="271" t="str">
        <f aca="false">IF(COUNTIF('📆 Daily Schedule'!$M$5:$M$427,D282)&gt;0,"⚡ In Swap","✅ Available")</f>
        <v>✅ Available</v>
      </c>
    </row>
    <row r="283" customFormat="false" ht="15.75" hidden="false" customHeight="true" outlineLevel="0" collapsed="false">
      <c r="A283" s="274" t="n">
        <v>280</v>
      </c>
      <c r="B283" s="274" t="s">
        <v>1132</v>
      </c>
      <c r="C283" s="76" t="n">
        <v>280</v>
      </c>
      <c r="D283" s="37" t="s">
        <v>1171</v>
      </c>
      <c r="E283" s="198" t="s">
        <v>470</v>
      </c>
      <c r="F283" s="39" t="n">
        <v>1</v>
      </c>
      <c r="G283" s="40" t="n">
        <v>2</v>
      </c>
      <c r="H283" s="41" t="n">
        <v>3</v>
      </c>
      <c r="I283" s="272" t="n">
        <v>11</v>
      </c>
      <c r="J283" s="36" t="s">
        <v>617</v>
      </c>
      <c r="K283" s="273" t="n">
        <v>5</v>
      </c>
      <c r="L283" s="273" t="n">
        <v>1</v>
      </c>
      <c r="M283" s="188" t="s">
        <v>618</v>
      </c>
      <c r="N283" s="76" t="str">
        <f aca="false">IFERROR(IF(COUNTIF('📝 Daily Log'!$E$3:$E$600,D283)&gt;0,IF(COUNTIFS('📝 Daily Log'!$E$3:$E$600,D283,'📝 Daily Log'!$G$3:$G$600,"✅ Done")&gt;0,"✅ Done",IF(COUNTIFS('📝 Daily Log'!$E$3:$E$600,D283,'📝 Daily Log'!$G$3:$G$600,"🔄 Partial")&gt;0,"🔄 Partial","⬜ Pending")),"⬜ Pending"),"⬜ Pending")</f>
        <v>⬜ Pending</v>
      </c>
      <c r="O283" s="269"/>
      <c r="P283" s="76" t="str">
        <f aca="false">IF(O283&lt;&gt;"",O283,N283)</f>
        <v>⬜ Pending</v>
      </c>
      <c r="Q283" s="270" t="s">
        <v>1172</v>
      </c>
      <c r="R283" s="271" t="str">
        <f aca="false">IF(COUNTIF('📆 Daily Schedule'!$M$5:$M$427,D283)&gt;0,"⚡ In Swap","✅ Available")</f>
        <v>✅ Available</v>
      </c>
    </row>
    <row r="284" customFormat="false" ht="15.75" hidden="false" customHeight="true" outlineLevel="0" collapsed="false">
      <c r="A284" s="307" t="n">
        <v>281</v>
      </c>
      <c r="B284" s="307" t="s">
        <v>1173</v>
      </c>
      <c r="C284" s="179" t="n">
        <v>281</v>
      </c>
      <c r="D284" s="178" t="s">
        <v>1174</v>
      </c>
      <c r="E284" s="206" t="s">
        <v>486</v>
      </c>
      <c r="F284" s="39" t="n">
        <v>0.5</v>
      </c>
      <c r="G284" s="40" t="n">
        <v>1</v>
      </c>
      <c r="H284" s="41" t="n">
        <v>1.5</v>
      </c>
      <c r="I284" s="308" t="n">
        <v>15</v>
      </c>
      <c r="J284" s="274" t="s">
        <v>623</v>
      </c>
      <c r="K284" s="309" t="n">
        <v>5</v>
      </c>
      <c r="L284" s="309" t="n">
        <v>5</v>
      </c>
      <c r="M284" s="188" t="s">
        <v>618</v>
      </c>
      <c r="N284" s="179" t="str">
        <f aca="false">IFERROR(IF(COUNTIF('📝 Daily Log'!$E$3:$E$600,D284)&gt;0,IF(COUNTIFS('📝 Daily Log'!$E$3:$E$600,D284,'📝 Daily Log'!$G$3:$G$600,"✅ Done")&gt;0,"✅ Done",IF(COUNTIFS('📝 Daily Log'!$E$3:$E$600,D284,'📝 Daily Log'!$G$3:$G$600,"🔄 Partial")&gt;0,"🔄 Partial","⬜ Pending")),"⬜ Pending"),"⬜ Pending")</f>
        <v>⬜ Pending</v>
      </c>
      <c r="O284" s="269"/>
      <c r="P284" s="179" t="str">
        <f aca="false">IF(O284&lt;&gt;"",O284,N284)</f>
        <v>⬜ Pending</v>
      </c>
      <c r="Q284" s="270" t="s">
        <v>1175</v>
      </c>
      <c r="R284" s="271" t="str">
        <f aca="false">IF(COUNTIF('📆 Daily Schedule'!$M$5:$M$427,D284)&gt;0,"⚡ In Swap","✅ Available")</f>
        <v>✅ Available</v>
      </c>
    </row>
    <row r="285" customFormat="false" ht="15.75" hidden="false" customHeight="true" outlineLevel="0" collapsed="false">
      <c r="A285" s="307" t="n">
        <v>282</v>
      </c>
      <c r="B285" s="307" t="s">
        <v>1173</v>
      </c>
      <c r="C285" s="76" t="n">
        <v>282</v>
      </c>
      <c r="D285" s="37" t="s">
        <v>1176</v>
      </c>
      <c r="E285" s="206" t="s">
        <v>486</v>
      </c>
      <c r="F285" s="39" t="n">
        <v>0.5</v>
      </c>
      <c r="G285" s="40" t="n">
        <v>1</v>
      </c>
      <c r="H285" s="41" t="n">
        <v>1.5</v>
      </c>
      <c r="I285" s="272" t="n">
        <v>15</v>
      </c>
      <c r="J285" s="274" t="s">
        <v>623</v>
      </c>
      <c r="K285" s="273" t="n">
        <v>5</v>
      </c>
      <c r="L285" s="273" t="n">
        <v>5</v>
      </c>
      <c r="M285" s="188" t="s">
        <v>618</v>
      </c>
      <c r="N285" s="76" t="str">
        <f aca="false">IFERROR(IF(COUNTIF('📝 Daily Log'!$E$3:$E$600,D285)&gt;0,IF(COUNTIFS('📝 Daily Log'!$E$3:$E$600,D285,'📝 Daily Log'!$G$3:$G$600,"✅ Done")&gt;0,"✅ Done",IF(COUNTIFS('📝 Daily Log'!$E$3:$E$600,D285,'📝 Daily Log'!$G$3:$G$600,"🔄 Partial")&gt;0,"🔄 Partial","⬜ Pending")),"⬜ Pending"),"⬜ Pending")</f>
        <v>⬜ Pending</v>
      </c>
      <c r="O285" s="269"/>
      <c r="P285" s="76" t="str">
        <f aca="false">IF(O285&lt;&gt;"",O285,N285)</f>
        <v>⬜ Pending</v>
      </c>
      <c r="Q285" s="270" t="s">
        <v>1177</v>
      </c>
      <c r="R285" s="271" t="str">
        <f aca="false">IF(COUNTIF('📆 Daily Schedule'!$M$5:$M$427,D285)&gt;0,"⚡ In Swap","✅ Available")</f>
        <v>✅ Available</v>
      </c>
    </row>
    <row r="286" customFormat="false" ht="15.75" hidden="false" customHeight="true" outlineLevel="0" collapsed="false">
      <c r="A286" s="307" t="n">
        <v>283</v>
      </c>
      <c r="B286" s="307" t="s">
        <v>1173</v>
      </c>
      <c r="C286" s="179" t="n">
        <v>283</v>
      </c>
      <c r="D286" s="178" t="s">
        <v>1178</v>
      </c>
      <c r="E286" s="206" t="s">
        <v>486</v>
      </c>
      <c r="F286" s="39" t="n">
        <v>0.5</v>
      </c>
      <c r="G286" s="40" t="n">
        <v>1</v>
      </c>
      <c r="H286" s="41" t="n">
        <v>1.5</v>
      </c>
      <c r="I286" s="308" t="n">
        <v>15</v>
      </c>
      <c r="J286" s="274" t="s">
        <v>623</v>
      </c>
      <c r="K286" s="309" t="n">
        <v>5</v>
      </c>
      <c r="L286" s="309" t="n">
        <v>5</v>
      </c>
      <c r="M286" s="188" t="s">
        <v>618</v>
      </c>
      <c r="N286" s="179" t="str">
        <f aca="false">IFERROR(IF(COUNTIF('📝 Daily Log'!$E$3:$E$600,D286)&gt;0,IF(COUNTIFS('📝 Daily Log'!$E$3:$E$600,D286,'📝 Daily Log'!$G$3:$G$600,"✅ Done")&gt;0,"✅ Done",IF(COUNTIFS('📝 Daily Log'!$E$3:$E$600,D286,'📝 Daily Log'!$G$3:$G$600,"🔄 Partial")&gt;0,"🔄 Partial","⬜ Pending")),"⬜ Pending"),"⬜ Pending")</f>
        <v>⬜ Pending</v>
      </c>
      <c r="O286" s="269"/>
      <c r="P286" s="179" t="str">
        <f aca="false">IF(O286&lt;&gt;"",O286,N286)</f>
        <v>⬜ Pending</v>
      </c>
      <c r="Q286" s="270" t="s">
        <v>1179</v>
      </c>
      <c r="R286" s="271" t="str">
        <f aca="false">IF(COUNTIF('📆 Daily Schedule'!$M$5:$M$427,D286)&gt;0,"⚡ In Swap","✅ Available")</f>
        <v>✅ Available</v>
      </c>
    </row>
    <row r="287" customFormat="false" ht="15.75" hidden="false" customHeight="true" outlineLevel="0" collapsed="false">
      <c r="A287" s="307" t="n">
        <v>284</v>
      </c>
      <c r="B287" s="307" t="s">
        <v>1173</v>
      </c>
      <c r="C287" s="76" t="n">
        <v>284</v>
      </c>
      <c r="D287" s="37" t="s">
        <v>1180</v>
      </c>
      <c r="E287" s="206" t="s">
        <v>486</v>
      </c>
      <c r="F287" s="39" t="n">
        <v>0.5</v>
      </c>
      <c r="G287" s="40" t="n">
        <v>1</v>
      </c>
      <c r="H287" s="41" t="n">
        <v>1.5</v>
      </c>
      <c r="I287" s="272" t="n">
        <v>13</v>
      </c>
      <c r="J287" s="274" t="s">
        <v>623</v>
      </c>
      <c r="K287" s="273" t="n">
        <v>4</v>
      </c>
      <c r="L287" s="273" t="n">
        <v>5</v>
      </c>
      <c r="M287" s="188" t="s">
        <v>618</v>
      </c>
      <c r="N287" s="76" t="str">
        <f aca="false">IFERROR(IF(COUNTIF('📝 Daily Log'!$E$3:$E$600,D287)&gt;0,IF(COUNTIFS('📝 Daily Log'!$E$3:$E$600,D287,'📝 Daily Log'!$G$3:$G$600,"✅ Done")&gt;0,"✅ Done",IF(COUNTIFS('📝 Daily Log'!$E$3:$E$600,D287,'📝 Daily Log'!$G$3:$G$600,"🔄 Partial")&gt;0,"🔄 Partial","⬜ Pending")),"⬜ Pending"),"⬜ Pending")</f>
        <v>⬜ Pending</v>
      </c>
      <c r="O287" s="269"/>
      <c r="P287" s="76" t="str">
        <f aca="false">IF(O287&lt;&gt;"",O287,N287)</f>
        <v>⬜ Pending</v>
      </c>
      <c r="Q287" s="270" t="s">
        <v>1181</v>
      </c>
      <c r="R287" s="271" t="str">
        <f aca="false">IF(COUNTIF('📆 Daily Schedule'!$M$5:$M$427,D287)&gt;0,"⚡ In Swap","✅ Available")</f>
        <v>✅ Available</v>
      </c>
    </row>
    <row r="288" customFormat="false" ht="15.75" hidden="false" customHeight="true" outlineLevel="0" collapsed="false">
      <c r="A288" s="307" t="n">
        <v>285</v>
      </c>
      <c r="B288" s="307" t="s">
        <v>1173</v>
      </c>
      <c r="C288" s="179" t="n">
        <v>285</v>
      </c>
      <c r="D288" s="178" t="s">
        <v>1182</v>
      </c>
      <c r="E288" s="206" t="s">
        <v>486</v>
      </c>
      <c r="F288" s="39" t="n">
        <v>0.3</v>
      </c>
      <c r="G288" s="40" t="n">
        <v>0.5</v>
      </c>
      <c r="H288" s="41" t="n">
        <v>0.75</v>
      </c>
      <c r="I288" s="308" t="n">
        <v>14</v>
      </c>
      <c r="J288" s="274" t="s">
        <v>623</v>
      </c>
      <c r="K288" s="309" t="n">
        <v>5</v>
      </c>
      <c r="L288" s="309" t="n">
        <v>4</v>
      </c>
      <c r="M288" s="188" t="s">
        <v>618</v>
      </c>
      <c r="N288" s="179" t="str">
        <f aca="false">IFERROR(IF(COUNTIF('📝 Daily Log'!$E$3:$E$600,D288)&gt;0,IF(COUNTIFS('📝 Daily Log'!$E$3:$E$600,D288,'📝 Daily Log'!$G$3:$G$600,"✅ Done")&gt;0,"✅ Done",IF(COUNTIFS('📝 Daily Log'!$E$3:$E$600,D288,'📝 Daily Log'!$G$3:$G$600,"🔄 Partial")&gt;0,"🔄 Partial","⬜ Pending")),"⬜ Pending"),"⬜ Pending")</f>
        <v>⬜ Pending</v>
      </c>
      <c r="O288" s="269"/>
      <c r="P288" s="179" t="str">
        <f aca="false">IF(O288&lt;&gt;"",O288,N288)</f>
        <v>⬜ Pending</v>
      </c>
      <c r="Q288" s="270" t="s">
        <v>1183</v>
      </c>
      <c r="R288" s="271" t="str">
        <f aca="false">IF(COUNTIF('📆 Daily Schedule'!$M$5:$M$427,D288)&gt;0,"⚡ In Swap","✅ Available")</f>
        <v>✅ Available</v>
      </c>
    </row>
    <row r="289" customFormat="false" ht="15.75" hidden="false" customHeight="true" outlineLevel="0" collapsed="false">
      <c r="A289" s="307" t="n">
        <v>286</v>
      </c>
      <c r="B289" s="307" t="s">
        <v>1173</v>
      </c>
      <c r="C289" s="76" t="n">
        <v>286</v>
      </c>
      <c r="D289" s="37" t="s">
        <v>1184</v>
      </c>
      <c r="E289" s="206" t="s">
        <v>486</v>
      </c>
      <c r="F289" s="39" t="n">
        <v>1</v>
      </c>
      <c r="G289" s="40" t="n">
        <v>2</v>
      </c>
      <c r="H289" s="41" t="n">
        <v>3</v>
      </c>
      <c r="I289" s="272" t="n">
        <v>14</v>
      </c>
      <c r="J289" s="274" t="s">
        <v>623</v>
      </c>
      <c r="K289" s="273" t="n">
        <v>5</v>
      </c>
      <c r="L289" s="273" t="n">
        <v>4</v>
      </c>
      <c r="M289" s="188" t="s">
        <v>618</v>
      </c>
      <c r="N289" s="76" t="str">
        <f aca="false">IFERROR(IF(COUNTIF('📝 Daily Log'!$E$3:$E$600,D289)&gt;0,IF(COUNTIFS('📝 Daily Log'!$E$3:$E$600,D289,'📝 Daily Log'!$G$3:$G$600,"✅ Done")&gt;0,"✅ Done",IF(COUNTIFS('📝 Daily Log'!$E$3:$E$600,D289,'📝 Daily Log'!$G$3:$G$600,"🔄 Partial")&gt;0,"🔄 Partial","⬜ Pending")),"⬜ Pending"),"⬜ Pending")</f>
        <v>⬜ Pending</v>
      </c>
      <c r="O289" s="269"/>
      <c r="P289" s="76" t="str">
        <f aca="false">IF(O289&lt;&gt;"",O289,N289)</f>
        <v>⬜ Pending</v>
      </c>
      <c r="Q289" s="270" t="s">
        <v>1185</v>
      </c>
      <c r="R289" s="271" t="str">
        <f aca="false">IF(COUNTIF('📆 Daily Schedule'!$M$5:$M$427,D289)&gt;0,"⚡ In Swap","✅ Available")</f>
        <v>✅ Available</v>
      </c>
    </row>
    <row r="290" customFormat="false" ht="15.75" hidden="false" customHeight="true" outlineLevel="0" collapsed="false">
      <c r="A290" s="307" t="n">
        <v>287</v>
      </c>
      <c r="B290" s="307" t="s">
        <v>1173</v>
      </c>
      <c r="C290" s="179" t="n">
        <v>287</v>
      </c>
      <c r="D290" s="178" t="s">
        <v>1186</v>
      </c>
      <c r="E290" s="206" t="s">
        <v>486</v>
      </c>
      <c r="F290" s="39" t="n">
        <v>1.5</v>
      </c>
      <c r="G290" s="40" t="n">
        <v>3</v>
      </c>
      <c r="H290" s="41" t="n">
        <v>5</v>
      </c>
      <c r="I290" s="308" t="n">
        <v>14</v>
      </c>
      <c r="J290" s="274" t="s">
        <v>623</v>
      </c>
      <c r="K290" s="309" t="n">
        <v>5</v>
      </c>
      <c r="L290" s="309" t="n">
        <v>4</v>
      </c>
      <c r="M290" s="188" t="s">
        <v>618</v>
      </c>
      <c r="N290" s="179" t="str">
        <f aca="false">IFERROR(IF(COUNTIF('📝 Daily Log'!$E$3:$E$600,D290)&gt;0,IF(COUNTIFS('📝 Daily Log'!$E$3:$E$600,D290,'📝 Daily Log'!$G$3:$G$600,"✅ Done")&gt;0,"✅ Done",IF(COUNTIFS('📝 Daily Log'!$E$3:$E$600,D290,'📝 Daily Log'!$G$3:$G$600,"🔄 Partial")&gt;0,"🔄 Partial","⬜ Pending")),"⬜ Pending"),"⬜ Pending")</f>
        <v>⬜ Pending</v>
      </c>
      <c r="O290" s="269"/>
      <c r="P290" s="179" t="str">
        <f aca="false">IF(O290&lt;&gt;"",O290,N290)</f>
        <v>⬜ Pending</v>
      </c>
      <c r="Q290" s="270" t="s">
        <v>1187</v>
      </c>
      <c r="R290" s="271" t="str">
        <f aca="false">IF(COUNTIF('📆 Daily Schedule'!$M$5:$M$427,D290)&gt;0,"⚡ In Swap","✅ Available")</f>
        <v>✅ Available</v>
      </c>
    </row>
    <row r="291" customFormat="false" ht="15.75" hidden="false" customHeight="true" outlineLevel="0" collapsed="false">
      <c r="A291" s="307" t="n">
        <v>288</v>
      </c>
      <c r="B291" s="307" t="s">
        <v>1173</v>
      </c>
      <c r="C291" s="76" t="n">
        <v>288</v>
      </c>
      <c r="D291" s="37" t="s">
        <v>1188</v>
      </c>
      <c r="E291" s="206" t="s">
        <v>486</v>
      </c>
      <c r="F291" s="39" t="n">
        <v>0.5</v>
      </c>
      <c r="G291" s="40" t="n">
        <v>1</v>
      </c>
      <c r="H291" s="41" t="n">
        <v>1.5</v>
      </c>
      <c r="I291" s="272" t="n">
        <v>14</v>
      </c>
      <c r="J291" s="274" t="s">
        <v>623</v>
      </c>
      <c r="K291" s="273" t="n">
        <v>5</v>
      </c>
      <c r="L291" s="273" t="n">
        <v>4</v>
      </c>
      <c r="M291" s="188" t="s">
        <v>618</v>
      </c>
      <c r="N291" s="76" t="str">
        <f aca="false">IFERROR(IF(COUNTIF('📝 Daily Log'!$E$3:$E$600,D291)&gt;0,IF(COUNTIFS('📝 Daily Log'!$E$3:$E$600,D291,'📝 Daily Log'!$G$3:$G$600,"✅ Done")&gt;0,"✅ Done",IF(COUNTIFS('📝 Daily Log'!$E$3:$E$600,D291,'📝 Daily Log'!$G$3:$G$600,"🔄 Partial")&gt;0,"🔄 Partial","⬜ Pending")),"⬜ Pending"),"⬜ Pending")</f>
        <v>⬜ Pending</v>
      </c>
      <c r="O291" s="269"/>
      <c r="P291" s="76" t="str">
        <f aca="false">IF(O291&lt;&gt;"",O291,N291)</f>
        <v>⬜ Pending</v>
      </c>
      <c r="Q291" s="270" t="s">
        <v>1189</v>
      </c>
      <c r="R291" s="271" t="str">
        <f aca="false">IF(COUNTIF('📆 Daily Schedule'!$M$5:$M$427,D291)&gt;0,"⚡ In Swap","✅ Available")</f>
        <v>✅ Available</v>
      </c>
    </row>
    <row r="292" customFormat="false" ht="15.75" hidden="false" customHeight="true" outlineLevel="0" collapsed="false">
      <c r="A292" s="307" t="n">
        <v>289</v>
      </c>
      <c r="B292" s="307" t="s">
        <v>1173</v>
      </c>
      <c r="C292" s="179" t="n">
        <v>289</v>
      </c>
      <c r="D292" s="178" t="s">
        <v>1190</v>
      </c>
      <c r="E292" s="206" t="s">
        <v>486</v>
      </c>
      <c r="F292" s="39" t="n">
        <v>0.5</v>
      </c>
      <c r="G292" s="40" t="n">
        <v>1</v>
      </c>
      <c r="H292" s="41" t="n">
        <v>1.5</v>
      </c>
      <c r="I292" s="308" t="n">
        <v>14</v>
      </c>
      <c r="J292" s="274" t="s">
        <v>623</v>
      </c>
      <c r="K292" s="309" t="n">
        <v>5</v>
      </c>
      <c r="L292" s="309" t="n">
        <v>4</v>
      </c>
      <c r="M292" s="188" t="s">
        <v>618</v>
      </c>
      <c r="N292" s="179" t="str">
        <f aca="false">IFERROR(IF(COUNTIF('📝 Daily Log'!$E$3:$E$600,D292)&gt;0,IF(COUNTIFS('📝 Daily Log'!$E$3:$E$600,D292,'📝 Daily Log'!$G$3:$G$600,"✅ Done")&gt;0,"✅ Done",IF(COUNTIFS('📝 Daily Log'!$E$3:$E$600,D292,'📝 Daily Log'!$G$3:$G$600,"🔄 Partial")&gt;0,"🔄 Partial","⬜ Pending")),"⬜ Pending"),"⬜ Pending")</f>
        <v>⬜ Pending</v>
      </c>
      <c r="O292" s="269"/>
      <c r="P292" s="179" t="str">
        <f aca="false">IF(O292&lt;&gt;"",O292,N292)</f>
        <v>⬜ Pending</v>
      </c>
      <c r="Q292" s="270" t="s">
        <v>1189</v>
      </c>
      <c r="R292" s="271" t="str">
        <f aca="false">IF(COUNTIF('📆 Daily Schedule'!$M$5:$M$427,D292)&gt;0,"⚡ In Swap","✅ Available")</f>
        <v>✅ Available</v>
      </c>
    </row>
    <row r="293" customFormat="false" ht="15.75" hidden="false" customHeight="true" outlineLevel="0" collapsed="false">
      <c r="A293" s="307" t="n">
        <v>290</v>
      </c>
      <c r="B293" s="307" t="s">
        <v>1173</v>
      </c>
      <c r="C293" s="76" t="n">
        <v>290</v>
      </c>
      <c r="D293" s="37" t="s">
        <v>1191</v>
      </c>
      <c r="E293" s="206" t="s">
        <v>486</v>
      </c>
      <c r="F293" s="39" t="n">
        <v>0.5</v>
      </c>
      <c r="G293" s="40" t="n">
        <v>1</v>
      </c>
      <c r="H293" s="41" t="n">
        <v>1.5</v>
      </c>
      <c r="I293" s="272" t="n">
        <v>14</v>
      </c>
      <c r="J293" s="274" t="s">
        <v>623</v>
      </c>
      <c r="K293" s="273" t="n">
        <v>5</v>
      </c>
      <c r="L293" s="273" t="n">
        <v>4</v>
      </c>
      <c r="M293" s="188" t="s">
        <v>618</v>
      </c>
      <c r="N293" s="76" t="str">
        <f aca="false">IFERROR(IF(COUNTIF('📝 Daily Log'!$E$3:$E$600,D293)&gt;0,IF(COUNTIFS('📝 Daily Log'!$E$3:$E$600,D293,'📝 Daily Log'!$G$3:$G$600,"✅ Done")&gt;0,"✅ Done",IF(COUNTIFS('📝 Daily Log'!$E$3:$E$600,D293,'📝 Daily Log'!$G$3:$G$600,"🔄 Partial")&gt;0,"🔄 Partial","⬜ Pending")),"⬜ Pending"),"⬜ Pending")</f>
        <v>⬜ Pending</v>
      </c>
      <c r="O293" s="269"/>
      <c r="P293" s="76" t="str">
        <f aca="false">IF(O293&lt;&gt;"",O293,N293)</f>
        <v>⬜ Pending</v>
      </c>
      <c r="Q293" s="270" t="s">
        <v>1189</v>
      </c>
      <c r="R293" s="271" t="str">
        <f aca="false">IF(COUNTIF('📆 Daily Schedule'!$M$5:$M$427,D293)&gt;0,"⚡ In Swap","✅ Available")</f>
        <v>✅ Available</v>
      </c>
    </row>
    <row r="294" customFormat="false" ht="15.75" hidden="false" customHeight="true" outlineLevel="0" collapsed="false">
      <c r="A294" s="307" t="n">
        <v>291</v>
      </c>
      <c r="B294" s="307" t="s">
        <v>1173</v>
      </c>
      <c r="C294" s="179" t="n">
        <v>291</v>
      </c>
      <c r="D294" s="178" t="s">
        <v>1192</v>
      </c>
      <c r="E294" s="206" t="s">
        <v>486</v>
      </c>
      <c r="F294" s="39" t="n">
        <v>0.5</v>
      </c>
      <c r="G294" s="40" t="n">
        <v>1</v>
      </c>
      <c r="H294" s="41" t="n">
        <v>1.5</v>
      </c>
      <c r="I294" s="308" t="n">
        <v>14</v>
      </c>
      <c r="J294" s="274" t="s">
        <v>623</v>
      </c>
      <c r="K294" s="309" t="n">
        <v>5</v>
      </c>
      <c r="L294" s="309" t="n">
        <v>4</v>
      </c>
      <c r="M294" s="188" t="s">
        <v>618</v>
      </c>
      <c r="N294" s="179" t="str">
        <f aca="false">IFERROR(IF(COUNTIF('📝 Daily Log'!$E$3:$E$600,D294)&gt;0,IF(COUNTIFS('📝 Daily Log'!$E$3:$E$600,D294,'📝 Daily Log'!$G$3:$G$600,"✅ Done")&gt;0,"✅ Done",IF(COUNTIFS('📝 Daily Log'!$E$3:$E$600,D294,'📝 Daily Log'!$G$3:$G$600,"🔄 Partial")&gt;0,"🔄 Partial","⬜ Pending")),"⬜ Pending"),"⬜ Pending")</f>
        <v>⬜ Pending</v>
      </c>
      <c r="O294" s="269"/>
      <c r="P294" s="179" t="str">
        <f aca="false">IF(O294&lt;&gt;"",O294,N294)</f>
        <v>⬜ Pending</v>
      </c>
      <c r="Q294" s="270" t="s">
        <v>1193</v>
      </c>
      <c r="R294" s="271" t="str">
        <f aca="false">IF(COUNTIF('📆 Daily Schedule'!$M$5:$M$427,D294)&gt;0,"⚡ In Swap","✅ Available")</f>
        <v>✅ Available</v>
      </c>
    </row>
    <row r="295" customFormat="false" ht="15.75" hidden="false" customHeight="true" outlineLevel="0" collapsed="false">
      <c r="A295" s="307" t="n">
        <v>292</v>
      </c>
      <c r="B295" s="307" t="s">
        <v>1173</v>
      </c>
      <c r="C295" s="76" t="n">
        <v>292</v>
      </c>
      <c r="D295" s="37" t="s">
        <v>1194</v>
      </c>
      <c r="E295" s="206" t="s">
        <v>486</v>
      </c>
      <c r="F295" s="39" t="n">
        <v>0.3</v>
      </c>
      <c r="G295" s="40" t="n">
        <v>0.5</v>
      </c>
      <c r="H295" s="41" t="n">
        <v>0.75</v>
      </c>
      <c r="I295" s="272" t="n">
        <v>15</v>
      </c>
      <c r="J295" s="274" t="s">
        <v>623</v>
      </c>
      <c r="K295" s="273" t="n">
        <v>5</v>
      </c>
      <c r="L295" s="273" t="n">
        <v>5</v>
      </c>
      <c r="M295" s="188" t="s">
        <v>618</v>
      </c>
      <c r="N295" s="76" t="str">
        <f aca="false">IFERROR(IF(COUNTIF('📝 Daily Log'!$E$3:$E$600,D295)&gt;0,IF(COUNTIFS('📝 Daily Log'!$E$3:$E$600,D295,'📝 Daily Log'!$G$3:$G$600,"✅ Done")&gt;0,"✅ Done",IF(COUNTIFS('📝 Daily Log'!$E$3:$E$600,D295,'📝 Daily Log'!$G$3:$G$600,"🔄 Partial")&gt;0,"🔄 Partial","⬜ Pending")),"⬜ Pending"),"⬜ Pending")</f>
        <v>⬜ Pending</v>
      </c>
      <c r="O295" s="269"/>
      <c r="P295" s="76" t="str">
        <f aca="false">IF(O295&lt;&gt;"",O295,N295)</f>
        <v>⬜ Pending</v>
      </c>
      <c r="Q295" s="270" t="s">
        <v>1195</v>
      </c>
      <c r="R295" s="271" t="str">
        <f aca="false">IF(COUNTIF('📆 Daily Schedule'!$M$5:$M$427,D295)&gt;0,"⚡ In Swap","✅ Available")</f>
        <v>✅ Available</v>
      </c>
    </row>
    <row r="296" customFormat="false" ht="15.75" hidden="false" customHeight="true" outlineLevel="0" collapsed="false">
      <c r="A296" s="307" t="n">
        <v>293</v>
      </c>
      <c r="B296" s="307" t="s">
        <v>1173</v>
      </c>
      <c r="C296" s="179" t="n">
        <v>293</v>
      </c>
      <c r="D296" s="178" t="s">
        <v>1196</v>
      </c>
      <c r="E296" s="206" t="s">
        <v>486</v>
      </c>
      <c r="F296" s="39" t="n">
        <v>1</v>
      </c>
      <c r="G296" s="40" t="n">
        <v>2</v>
      </c>
      <c r="H296" s="41" t="n">
        <v>3</v>
      </c>
      <c r="I296" s="308" t="n">
        <v>14</v>
      </c>
      <c r="J296" s="274" t="s">
        <v>623</v>
      </c>
      <c r="K296" s="309" t="n">
        <v>5</v>
      </c>
      <c r="L296" s="309" t="n">
        <v>4</v>
      </c>
      <c r="M296" s="188" t="s">
        <v>618</v>
      </c>
      <c r="N296" s="179" t="str">
        <f aca="false">IFERROR(IF(COUNTIF('📝 Daily Log'!$E$3:$E$600,D296)&gt;0,IF(COUNTIFS('📝 Daily Log'!$E$3:$E$600,D296,'📝 Daily Log'!$G$3:$G$600,"✅ Done")&gt;0,"✅ Done",IF(COUNTIFS('📝 Daily Log'!$E$3:$E$600,D296,'📝 Daily Log'!$G$3:$G$600,"🔄 Partial")&gt;0,"🔄 Partial","⬜ Pending")),"⬜ Pending"),"⬜ Pending")</f>
        <v>⬜ Pending</v>
      </c>
      <c r="O296" s="269"/>
      <c r="P296" s="179" t="str">
        <f aca="false">IF(O296&lt;&gt;"",O296,N296)</f>
        <v>⬜ Pending</v>
      </c>
      <c r="Q296" s="270" t="s">
        <v>1197</v>
      </c>
      <c r="R296" s="271" t="str">
        <f aca="false">IF(COUNTIF('📆 Daily Schedule'!$M$5:$M$427,D296)&gt;0,"⚡ In Swap","✅ Available")</f>
        <v>✅ Available</v>
      </c>
    </row>
    <row r="297" customFormat="false" ht="15.75" hidden="false" customHeight="true" outlineLevel="0" collapsed="false">
      <c r="A297" s="307" t="n">
        <v>294</v>
      </c>
      <c r="B297" s="307" t="s">
        <v>1173</v>
      </c>
      <c r="C297" s="76" t="n">
        <v>294</v>
      </c>
      <c r="D297" s="37" t="s">
        <v>1198</v>
      </c>
      <c r="E297" s="206" t="s">
        <v>486</v>
      </c>
      <c r="F297" s="39" t="n">
        <v>2</v>
      </c>
      <c r="G297" s="40" t="n">
        <v>3</v>
      </c>
      <c r="H297" s="41" t="n">
        <v>4</v>
      </c>
      <c r="I297" s="272" t="n">
        <v>14</v>
      </c>
      <c r="J297" s="274" t="s">
        <v>623</v>
      </c>
      <c r="K297" s="273" t="n">
        <v>5</v>
      </c>
      <c r="L297" s="273" t="n">
        <v>4</v>
      </c>
      <c r="M297" s="188" t="s">
        <v>618</v>
      </c>
      <c r="N297" s="76" t="str">
        <f aca="false">IFERROR(IF(COUNTIF('📝 Daily Log'!$E$3:$E$600,D297)&gt;0,IF(COUNTIFS('📝 Daily Log'!$E$3:$E$600,D297,'📝 Daily Log'!$G$3:$G$600,"✅ Done")&gt;0,"✅ Done",IF(COUNTIFS('📝 Daily Log'!$E$3:$E$600,D297,'📝 Daily Log'!$G$3:$G$600,"🔄 Partial")&gt;0,"🔄 Partial","⬜ Pending")),"⬜ Pending"),"⬜ Pending")</f>
        <v>⬜ Pending</v>
      </c>
      <c r="O297" s="269"/>
      <c r="P297" s="76" t="str">
        <f aca="false">IF(O297&lt;&gt;"",O297,N297)</f>
        <v>⬜ Pending</v>
      </c>
      <c r="Q297" s="270" t="s">
        <v>1113</v>
      </c>
      <c r="R297" s="271" t="str">
        <f aca="false">IF(COUNTIF('📆 Daily Schedule'!$M$5:$M$427,D297)&gt;0,"⚡ In Swap","✅ Available")</f>
        <v>✅ Available</v>
      </c>
    </row>
    <row r="298" customFormat="false" ht="15.75" hidden="false" customHeight="true" outlineLevel="0" collapsed="false">
      <c r="A298" s="307" t="n">
        <v>295</v>
      </c>
      <c r="B298" s="307" t="s">
        <v>1173</v>
      </c>
      <c r="C298" s="179" t="n">
        <v>295</v>
      </c>
      <c r="D298" s="178" t="s">
        <v>1199</v>
      </c>
      <c r="E298" s="206" t="s">
        <v>486</v>
      </c>
      <c r="F298" s="39" t="n">
        <v>0.5</v>
      </c>
      <c r="G298" s="40" t="n">
        <v>0.75</v>
      </c>
      <c r="H298" s="41" t="n">
        <v>1</v>
      </c>
      <c r="I298" s="308" t="n">
        <v>11</v>
      </c>
      <c r="J298" s="36" t="s">
        <v>617</v>
      </c>
      <c r="K298" s="309" t="n">
        <v>4</v>
      </c>
      <c r="L298" s="309" t="n">
        <v>3</v>
      </c>
      <c r="M298" s="188" t="s">
        <v>618</v>
      </c>
      <c r="N298" s="179" t="str">
        <f aca="false">IFERROR(IF(COUNTIF('📝 Daily Log'!$E$3:$E$600,D298)&gt;0,IF(COUNTIFS('📝 Daily Log'!$E$3:$E$600,D298,'📝 Daily Log'!$G$3:$G$600,"✅ Done")&gt;0,"✅ Done",IF(COUNTIFS('📝 Daily Log'!$E$3:$E$600,D298,'📝 Daily Log'!$G$3:$G$600,"🔄 Partial")&gt;0,"🔄 Partial","⬜ Pending")),"⬜ Pending"),"⬜ Pending")</f>
        <v>⬜ Pending</v>
      </c>
      <c r="O298" s="269"/>
      <c r="P298" s="179" t="str">
        <f aca="false">IF(O298&lt;&gt;"",O298,N298)</f>
        <v>⬜ Pending</v>
      </c>
      <c r="Q298" s="270" t="s">
        <v>1200</v>
      </c>
      <c r="R298" s="271" t="str">
        <f aca="false">IF(COUNTIF('📆 Daily Schedule'!$M$5:$M$427,D298)&gt;0,"⚡ In Swap","✅ Available")</f>
        <v>✅ Available</v>
      </c>
    </row>
    <row r="299" customFormat="false" ht="15.75" hidden="false" customHeight="true" outlineLevel="0" collapsed="false">
      <c r="A299" s="307" t="n">
        <v>296</v>
      </c>
      <c r="B299" s="307" t="s">
        <v>1173</v>
      </c>
      <c r="C299" s="76" t="n">
        <v>296</v>
      </c>
      <c r="D299" s="37" t="s">
        <v>1201</v>
      </c>
      <c r="E299" s="206" t="s">
        <v>486</v>
      </c>
      <c r="F299" s="39" t="n">
        <v>0.5</v>
      </c>
      <c r="G299" s="40" t="n">
        <v>0.75</v>
      </c>
      <c r="H299" s="41" t="n">
        <v>1</v>
      </c>
      <c r="I299" s="272" t="n">
        <v>13</v>
      </c>
      <c r="J299" s="274" t="s">
        <v>623</v>
      </c>
      <c r="K299" s="273" t="n">
        <v>5</v>
      </c>
      <c r="L299" s="273" t="n">
        <v>3</v>
      </c>
      <c r="M299" s="188" t="s">
        <v>618</v>
      </c>
      <c r="N299" s="76" t="str">
        <f aca="false">IFERROR(IF(COUNTIF('📝 Daily Log'!$E$3:$E$600,D299)&gt;0,IF(COUNTIFS('📝 Daily Log'!$E$3:$E$600,D299,'📝 Daily Log'!$G$3:$G$600,"✅ Done")&gt;0,"✅ Done",IF(COUNTIFS('📝 Daily Log'!$E$3:$E$600,D299,'📝 Daily Log'!$G$3:$G$600,"🔄 Partial")&gt;0,"🔄 Partial","⬜ Pending")),"⬜ Pending"),"⬜ Pending")</f>
        <v>⬜ Pending</v>
      </c>
      <c r="O299" s="269"/>
      <c r="P299" s="76" t="str">
        <f aca="false">IF(O299&lt;&gt;"",O299,N299)</f>
        <v>⬜ Pending</v>
      </c>
      <c r="Q299" s="270" t="s">
        <v>492</v>
      </c>
      <c r="R299" s="271" t="str">
        <f aca="false">IF(COUNTIF('📆 Daily Schedule'!$M$5:$M$427,D299)&gt;0,"⚡ In Swap","✅ Available")</f>
        <v>✅ Available</v>
      </c>
    </row>
    <row r="300" customFormat="false" ht="15.75" hidden="false" customHeight="true" outlineLevel="0" collapsed="false">
      <c r="A300" s="307" t="n">
        <v>297</v>
      </c>
      <c r="B300" s="307" t="s">
        <v>1173</v>
      </c>
      <c r="C300" s="179" t="n">
        <v>297</v>
      </c>
      <c r="D300" s="178" t="s">
        <v>1202</v>
      </c>
      <c r="E300" s="206" t="s">
        <v>486</v>
      </c>
      <c r="F300" s="39" t="n">
        <v>0.5</v>
      </c>
      <c r="G300" s="40" t="n">
        <v>0.75</v>
      </c>
      <c r="H300" s="41" t="n">
        <v>1</v>
      </c>
      <c r="I300" s="308" t="n">
        <v>11</v>
      </c>
      <c r="J300" s="36" t="s">
        <v>617</v>
      </c>
      <c r="K300" s="309" t="n">
        <v>4</v>
      </c>
      <c r="L300" s="309" t="n">
        <v>3</v>
      </c>
      <c r="M300" s="188" t="s">
        <v>618</v>
      </c>
      <c r="N300" s="179" t="str">
        <f aca="false">IFERROR(IF(COUNTIF('📝 Daily Log'!$E$3:$E$600,D300)&gt;0,IF(COUNTIFS('📝 Daily Log'!$E$3:$E$600,D300,'📝 Daily Log'!$G$3:$G$600,"✅ Done")&gt;0,"✅ Done",IF(COUNTIFS('📝 Daily Log'!$E$3:$E$600,D300,'📝 Daily Log'!$G$3:$G$600,"🔄 Partial")&gt;0,"🔄 Partial","⬜ Pending")),"⬜ Pending"),"⬜ Pending")</f>
        <v>⬜ Pending</v>
      </c>
      <c r="O300" s="269"/>
      <c r="P300" s="179" t="str">
        <f aca="false">IF(O300&lt;&gt;"",O300,N300)</f>
        <v>⬜ Pending</v>
      </c>
      <c r="Q300" s="270" t="s">
        <v>1203</v>
      </c>
      <c r="R300" s="271" t="str">
        <f aca="false">IF(COUNTIF('📆 Daily Schedule'!$M$5:$M$427,D300)&gt;0,"⚡ In Swap","✅ Available")</f>
        <v>✅ Available</v>
      </c>
    </row>
    <row r="301" customFormat="false" ht="15.75" hidden="false" customHeight="true" outlineLevel="0" collapsed="false">
      <c r="A301" s="307" t="n">
        <v>298</v>
      </c>
      <c r="B301" s="307" t="s">
        <v>1173</v>
      </c>
      <c r="C301" s="76" t="n">
        <v>298</v>
      </c>
      <c r="D301" s="37" t="s">
        <v>1204</v>
      </c>
      <c r="E301" s="206" t="s">
        <v>486</v>
      </c>
      <c r="F301" s="39" t="n">
        <v>0.5</v>
      </c>
      <c r="G301" s="40" t="n">
        <v>2</v>
      </c>
      <c r="H301" s="41" t="n">
        <v>4</v>
      </c>
      <c r="I301" s="272" t="n">
        <v>15</v>
      </c>
      <c r="J301" s="274" t="s">
        <v>623</v>
      </c>
      <c r="K301" s="273" t="n">
        <v>5</v>
      </c>
      <c r="L301" s="273" t="n">
        <v>5</v>
      </c>
      <c r="M301" s="188" t="s">
        <v>618</v>
      </c>
      <c r="N301" s="76" t="str">
        <f aca="false">IFERROR(IF(COUNTIF('📝 Daily Log'!$E$3:$E$600,D301)&gt;0,IF(COUNTIFS('📝 Daily Log'!$E$3:$E$600,D301,'📝 Daily Log'!$G$3:$G$600,"✅ Done")&gt;0,"✅ Done",IF(COUNTIFS('📝 Daily Log'!$E$3:$E$600,D301,'📝 Daily Log'!$G$3:$G$600,"🔄 Partial")&gt;0,"🔄 Partial","⬜ Pending")),"⬜ Pending"),"⬜ Pending")</f>
        <v>⬜ Pending</v>
      </c>
      <c r="O301" s="269"/>
      <c r="P301" s="76" t="str">
        <f aca="false">IF(O301&lt;&gt;"",O301,N301)</f>
        <v>⬜ Pending</v>
      </c>
      <c r="Q301" s="270" t="s">
        <v>1205</v>
      </c>
      <c r="R301" s="271" t="str">
        <f aca="false">IF(COUNTIF('📆 Daily Schedule'!$M$5:$M$427,D301)&gt;0,"⚡ In Swap","✅ Available")</f>
        <v>✅ Available</v>
      </c>
    </row>
    <row r="302" customFormat="false" ht="15.75" hidden="false" customHeight="true" outlineLevel="0" collapsed="false">
      <c r="A302" s="307" t="n">
        <v>299</v>
      </c>
      <c r="B302" s="307" t="s">
        <v>1173</v>
      </c>
      <c r="C302" s="179" t="n">
        <v>299</v>
      </c>
      <c r="D302" s="178" t="s">
        <v>1206</v>
      </c>
      <c r="E302" s="206" t="s">
        <v>486</v>
      </c>
      <c r="F302" s="39" t="n">
        <v>0.3</v>
      </c>
      <c r="G302" s="40" t="n">
        <v>0.5</v>
      </c>
      <c r="H302" s="41" t="n">
        <v>0.75</v>
      </c>
      <c r="I302" s="308" t="n">
        <v>14</v>
      </c>
      <c r="J302" s="274" t="s">
        <v>623</v>
      </c>
      <c r="K302" s="309" t="n">
        <v>5</v>
      </c>
      <c r="L302" s="309" t="n">
        <v>4</v>
      </c>
      <c r="M302" s="188" t="s">
        <v>618</v>
      </c>
      <c r="N302" s="179" t="str">
        <f aca="false">IFERROR(IF(COUNTIF('📝 Daily Log'!$E$3:$E$600,D302)&gt;0,IF(COUNTIFS('📝 Daily Log'!$E$3:$E$600,D302,'📝 Daily Log'!$G$3:$G$600,"✅ Done")&gt;0,"✅ Done",IF(COUNTIFS('📝 Daily Log'!$E$3:$E$600,D302,'📝 Daily Log'!$G$3:$G$600,"🔄 Partial")&gt;0,"🔄 Partial","⬜ Pending")),"⬜ Pending"),"⬜ Pending")</f>
        <v>⬜ Pending</v>
      </c>
      <c r="O302" s="269"/>
      <c r="P302" s="179" t="str">
        <f aca="false">IF(O302&lt;&gt;"",O302,N302)</f>
        <v>⬜ Pending</v>
      </c>
      <c r="Q302" s="270" t="s">
        <v>1207</v>
      </c>
      <c r="R302" s="271" t="str">
        <f aca="false">IF(COUNTIF('📆 Daily Schedule'!$M$5:$M$427,D302)&gt;0,"⚡ In Swap","✅ Available")</f>
        <v>✅ Available</v>
      </c>
    </row>
    <row r="303" customFormat="false" ht="15.75" hidden="false" customHeight="true" outlineLevel="0" collapsed="false">
      <c r="A303" s="307" t="n">
        <v>300</v>
      </c>
      <c r="B303" s="307" t="s">
        <v>1173</v>
      </c>
      <c r="C303" s="76" t="n">
        <v>300</v>
      </c>
      <c r="D303" s="37" t="s">
        <v>1208</v>
      </c>
      <c r="E303" s="206" t="s">
        <v>486</v>
      </c>
      <c r="F303" s="39" t="n">
        <v>1</v>
      </c>
      <c r="G303" s="40" t="n">
        <v>2</v>
      </c>
      <c r="H303" s="41" t="n">
        <v>3</v>
      </c>
      <c r="I303" s="272" t="n">
        <v>11</v>
      </c>
      <c r="J303" s="36" t="s">
        <v>617</v>
      </c>
      <c r="K303" s="273" t="n">
        <v>5</v>
      </c>
      <c r="L303" s="273" t="n">
        <v>1</v>
      </c>
      <c r="M303" s="188" t="s">
        <v>618</v>
      </c>
      <c r="N303" s="76" t="str">
        <f aca="false">IFERROR(IF(COUNTIF('📝 Daily Log'!$E$3:$E$600,D303)&gt;0,IF(COUNTIFS('📝 Daily Log'!$E$3:$E$600,D303,'📝 Daily Log'!$G$3:$G$600,"✅ Done")&gt;0,"✅ Done",IF(COUNTIFS('📝 Daily Log'!$E$3:$E$600,D303,'📝 Daily Log'!$G$3:$G$600,"🔄 Partial")&gt;0,"🔄 Partial","⬜ Pending")),"⬜ Pending"),"⬜ Pending")</f>
        <v>⬜ Pending</v>
      </c>
      <c r="O303" s="269"/>
      <c r="P303" s="76" t="str">
        <f aca="false">IF(O303&lt;&gt;"",O303,N303)</f>
        <v>⬜ Pending</v>
      </c>
      <c r="Q303" s="270" t="s">
        <v>1170</v>
      </c>
      <c r="R303" s="271" t="str">
        <f aca="false">IF(COUNTIF('📆 Daily Schedule'!$M$5:$M$427,D303)&gt;0,"⚡ In Swap","✅ Available")</f>
        <v>✅ Available</v>
      </c>
    </row>
    <row r="304" customFormat="false" ht="15.75" hidden="false" customHeight="true" outlineLevel="0" collapsed="false">
      <c r="A304" s="307" t="n">
        <v>301</v>
      </c>
      <c r="B304" s="307" t="s">
        <v>1173</v>
      </c>
      <c r="C304" s="179" t="n">
        <v>301</v>
      </c>
      <c r="D304" s="178" t="s">
        <v>1209</v>
      </c>
      <c r="E304" s="206" t="s">
        <v>486</v>
      </c>
      <c r="F304" s="39" t="n">
        <v>2</v>
      </c>
      <c r="G304" s="40" t="n">
        <v>3</v>
      </c>
      <c r="H304" s="41" t="n">
        <v>4</v>
      </c>
      <c r="I304" s="308" t="n">
        <v>14</v>
      </c>
      <c r="J304" s="274" t="s">
        <v>623</v>
      </c>
      <c r="K304" s="309" t="n">
        <v>5</v>
      </c>
      <c r="L304" s="309" t="n">
        <v>4</v>
      </c>
      <c r="M304" s="188" t="s">
        <v>618</v>
      </c>
      <c r="N304" s="179" t="str">
        <f aca="false">IFERROR(IF(COUNTIF('📝 Daily Log'!$E$3:$E$600,D304)&gt;0,IF(COUNTIFS('📝 Daily Log'!$E$3:$E$600,D304,'📝 Daily Log'!$G$3:$G$600,"✅ Done")&gt;0,"✅ Done",IF(COUNTIFS('📝 Daily Log'!$E$3:$E$600,D304,'📝 Daily Log'!$G$3:$G$600,"🔄 Partial")&gt;0,"🔄 Partial","⬜ Pending")),"⬜ Pending"),"⬜ Pending")</f>
        <v>⬜ Pending</v>
      </c>
      <c r="O304" s="269"/>
      <c r="P304" s="179" t="str">
        <f aca="false">IF(O304&lt;&gt;"",O304,N304)</f>
        <v>⬜ Pending</v>
      </c>
      <c r="Q304" s="270" t="s">
        <v>1210</v>
      </c>
      <c r="R304" s="271" t="str">
        <f aca="false">IF(COUNTIF('📆 Daily Schedule'!$M$5:$M$427,D304)&gt;0,"⚡ In Swap","✅ Available")</f>
        <v>✅ Available</v>
      </c>
    </row>
    <row r="305" customFormat="false" ht="15.75" hidden="false" customHeight="true" outlineLevel="0" collapsed="false">
      <c r="A305" s="32" t="n">
        <v>302</v>
      </c>
      <c r="B305" s="32" t="s">
        <v>1211</v>
      </c>
      <c r="C305" s="76" t="n">
        <v>302</v>
      </c>
      <c r="D305" s="37" t="s">
        <v>1212</v>
      </c>
      <c r="E305" s="188" t="s">
        <v>496</v>
      </c>
      <c r="F305" s="39" t="n">
        <v>0.5</v>
      </c>
      <c r="G305" s="40" t="n">
        <v>1</v>
      </c>
      <c r="H305" s="41" t="n">
        <v>1.5</v>
      </c>
      <c r="I305" s="272" t="n">
        <v>12</v>
      </c>
      <c r="J305" s="274" t="s">
        <v>623</v>
      </c>
      <c r="K305" s="273" t="n">
        <v>5</v>
      </c>
      <c r="L305" s="273" t="n">
        <v>2</v>
      </c>
      <c r="M305" s="188" t="s">
        <v>618</v>
      </c>
      <c r="N305" s="76" t="str">
        <f aca="false">IFERROR(IF(COUNTIF('📝 Daily Log'!$E$3:$E$600,D305)&gt;0,IF(COUNTIFS('📝 Daily Log'!$E$3:$E$600,D305,'📝 Daily Log'!$G$3:$G$600,"✅ Done")&gt;0,"✅ Done",IF(COUNTIFS('📝 Daily Log'!$E$3:$E$600,D305,'📝 Daily Log'!$G$3:$G$600,"🔄 Partial")&gt;0,"🔄 Partial","⬜ Pending")),"⬜ Pending"),"⬜ Pending")</f>
        <v>⬜ Pending</v>
      </c>
      <c r="O305" s="269"/>
      <c r="P305" s="76" t="str">
        <f aca="false">IF(O305&lt;&gt;"",O305,N305)</f>
        <v>⬜ Pending</v>
      </c>
      <c r="Q305" s="270" t="s">
        <v>1213</v>
      </c>
      <c r="R305" s="271" t="str">
        <f aca="false">IF(COUNTIF('📆 Daily Schedule'!$M$5:$M$427,D305)&gt;0,"⚡ In Swap","✅ Available")</f>
        <v>✅ Available</v>
      </c>
    </row>
    <row r="306" customFormat="false" ht="15.75" hidden="false" customHeight="true" outlineLevel="0" collapsed="false">
      <c r="A306" s="32" t="n">
        <v>303</v>
      </c>
      <c r="B306" s="32" t="s">
        <v>1211</v>
      </c>
      <c r="C306" s="283" t="n">
        <v>303</v>
      </c>
      <c r="D306" s="284" t="s">
        <v>1214</v>
      </c>
      <c r="E306" s="188" t="s">
        <v>496</v>
      </c>
      <c r="F306" s="39" t="n">
        <v>0.5</v>
      </c>
      <c r="G306" s="40" t="n">
        <v>1</v>
      </c>
      <c r="H306" s="41" t="n">
        <v>1.5</v>
      </c>
      <c r="I306" s="285" t="n">
        <v>12</v>
      </c>
      <c r="J306" s="274" t="s">
        <v>623</v>
      </c>
      <c r="K306" s="286" t="n">
        <v>5</v>
      </c>
      <c r="L306" s="286" t="n">
        <v>2</v>
      </c>
      <c r="M306" s="188" t="s">
        <v>618</v>
      </c>
      <c r="N306" s="283" t="str">
        <f aca="false">IFERROR(IF(COUNTIF('📝 Daily Log'!$E$3:$E$600,D306)&gt;0,IF(COUNTIFS('📝 Daily Log'!$E$3:$E$600,D306,'📝 Daily Log'!$G$3:$G$600,"✅ Done")&gt;0,"✅ Done",IF(COUNTIFS('📝 Daily Log'!$E$3:$E$600,D306,'📝 Daily Log'!$G$3:$G$600,"🔄 Partial")&gt;0,"🔄 Partial","⬜ Pending")),"⬜ Pending"),"⬜ Pending")</f>
        <v>⬜ Pending</v>
      </c>
      <c r="O306" s="269"/>
      <c r="P306" s="283" t="str">
        <f aca="false">IF(O306&lt;&gt;"",O306,N306)</f>
        <v>⬜ Pending</v>
      </c>
      <c r="Q306" s="270" t="s">
        <v>1213</v>
      </c>
      <c r="R306" s="271" t="str">
        <f aca="false">IF(COUNTIF('📆 Daily Schedule'!$M$5:$M$427,D306)&gt;0,"⚡ In Swap","✅ Available")</f>
        <v>✅ Available</v>
      </c>
    </row>
    <row r="307" customFormat="false" ht="15.75" hidden="false" customHeight="true" outlineLevel="0" collapsed="false">
      <c r="A307" s="32" t="n">
        <v>304</v>
      </c>
      <c r="B307" s="32" t="s">
        <v>1211</v>
      </c>
      <c r="C307" s="76" t="n">
        <v>304</v>
      </c>
      <c r="D307" s="37" t="s">
        <v>1215</v>
      </c>
      <c r="E307" s="188" t="s">
        <v>496</v>
      </c>
      <c r="F307" s="39" t="n">
        <v>0.5</v>
      </c>
      <c r="G307" s="40" t="n">
        <v>0.75</v>
      </c>
      <c r="H307" s="41" t="n">
        <v>1</v>
      </c>
      <c r="I307" s="272" t="n">
        <v>12</v>
      </c>
      <c r="J307" s="274" t="s">
        <v>623</v>
      </c>
      <c r="K307" s="273" t="n">
        <v>5</v>
      </c>
      <c r="L307" s="273" t="n">
        <v>2</v>
      </c>
      <c r="M307" s="188" t="s">
        <v>618</v>
      </c>
      <c r="N307" s="76" t="str">
        <f aca="false">IFERROR(IF(COUNTIF('📝 Daily Log'!$E$3:$E$600,D307)&gt;0,IF(COUNTIFS('📝 Daily Log'!$E$3:$E$600,D307,'📝 Daily Log'!$G$3:$G$600,"✅ Done")&gt;0,"✅ Done",IF(COUNTIFS('📝 Daily Log'!$E$3:$E$600,D307,'📝 Daily Log'!$G$3:$G$600,"🔄 Partial")&gt;0,"🔄 Partial","⬜ Pending")),"⬜ Pending"),"⬜ Pending")</f>
        <v>⬜ Pending</v>
      </c>
      <c r="O307" s="269"/>
      <c r="P307" s="76" t="str">
        <f aca="false">IF(O307&lt;&gt;"",O307,N307)</f>
        <v>⬜ Pending</v>
      </c>
      <c r="Q307" s="270" t="s">
        <v>1216</v>
      </c>
      <c r="R307" s="271" t="str">
        <f aca="false">IF(COUNTIF('📆 Daily Schedule'!$M$5:$M$427,D307)&gt;0,"⚡ In Swap","✅ Available")</f>
        <v>✅ Available</v>
      </c>
    </row>
    <row r="308" customFormat="false" ht="15.75" hidden="false" customHeight="true" outlineLevel="0" collapsed="false">
      <c r="A308" s="32" t="n">
        <v>305</v>
      </c>
      <c r="B308" s="32" t="s">
        <v>1211</v>
      </c>
      <c r="C308" s="283" t="n">
        <v>305</v>
      </c>
      <c r="D308" s="284" t="s">
        <v>1217</v>
      </c>
      <c r="E308" s="188" t="s">
        <v>496</v>
      </c>
      <c r="F308" s="39" t="n">
        <v>0.5</v>
      </c>
      <c r="G308" s="40" t="n">
        <v>0.75</v>
      </c>
      <c r="H308" s="41" t="n">
        <v>1</v>
      </c>
      <c r="I308" s="285" t="n">
        <v>12</v>
      </c>
      <c r="J308" s="274" t="s">
        <v>623</v>
      </c>
      <c r="K308" s="286" t="n">
        <v>5</v>
      </c>
      <c r="L308" s="286" t="n">
        <v>2</v>
      </c>
      <c r="M308" s="188" t="s">
        <v>618</v>
      </c>
      <c r="N308" s="283" t="str">
        <f aca="false">IFERROR(IF(COUNTIF('📝 Daily Log'!$E$3:$E$600,D308)&gt;0,IF(COUNTIFS('📝 Daily Log'!$E$3:$E$600,D308,'📝 Daily Log'!$G$3:$G$600,"✅ Done")&gt;0,"✅ Done",IF(COUNTIFS('📝 Daily Log'!$E$3:$E$600,D308,'📝 Daily Log'!$G$3:$G$600,"🔄 Partial")&gt;0,"🔄 Partial","⬜ Pending")),"⬜ Pending"),"⬜ Pending")</f>
        <v>⬜ Pending</v>
      </c>
      <c r="O308" s="269"/>
      <c r="P308" s="283" t="str">
        <f aca="false">IF(O308&lt;&gt;"",O308,N308)</f>
        <v>⬜ Pending</v>
      </c>
      <c r="Q308" s="270" t="s">
        <v>1218</v>
      </c>
      <c r="R308" s="271" t="str">
        <f aca="false">IF(COUNTIF('📆 Daily Schedule'!$M$5:$M$427,D308)&gt;0,"⚡ In Swap","✅ Available")</f>
        <v>✅ Available</v>
      </c>
    </row>
    <row r="309" customFormat="false" ht="15.75" hidden="false" customHeight="true" outlineLevel="0" collapsed="false">
      <c r="A309" s="32" t="n">
        <v>306</v>
      </c>
      <c r="B309" s="32" t="s">
        <v>1211</v>
      </c>
      <c r="C309" s="76" t="n">
        <v>306</v>
      </c>
      <c r="D309" s="37" t="s">
        <v>1219</v>
      </c>
      <c r="E309" s="188" t="s">
        <v>496</v>
      </c>
      <c r="F309" s="39" t="n">
        <v>0.3</v>
      </c>
      <c r="G309" s="40" t="n">
        <v>0.5</v>
      </c>
      <c r="H309" s="41" t="n">
        <v>0.75</v>
      </c>
      <c r="I309" s="272" t="n">
        <v>14</v>
      </c>
      <c r="J309" s="274" t="s">
        <v>623</v>
      </c>
      <c r="K309" s="273" t="n">
        <v>5</v>
      </c>
      <c r="L309" s="273" t="n">
        <v>4</v>
      </c>
      <c r="M309" s="188" t="s">
        <v>618</v>
      </c>
      <c r="N309" s="76" t="str">
        <f aca="false">IFERROR(IF(COUNTIF('📝 Daily Log'!$E$3:$E$600,D309)&gt;0,IF(COUNTIFS('📝 Daily Log'!$E$3:$E$600,D309,'📝 Daily Log'!$G$3:$G$600,"✅ Done")&gt;0,"✅ Done",IF(COUNTIFS('📝 Daily Log'!$E$3:$E$600,D309,'📝 Daily Log'!$G$3:$G$600,"🔄 Partial")&gt;0,"🔄 Partial","⬜ Pending")),"⬜ Pending"),"⬜ Pending")</f>
        <v>⬜ Pending</v>
      </c>
      <c r="O309" s="269"/>
      <c r="P309" s="76" t="str">
        <f aca="false">IF(O309&lt;&gt;"",O309,N309)</f>
        <v>⬜ Pending</v>
      </c>
      <c r="Q309" s="270" t="s">
        <v>1220</v>
      </c>
      <c r="R309" s="271" t="str">
        <f aca="false">IF(COUNTIF('📆 Daily Schedule'!$M$5:$M$427,D309)&gt;0,"⚡ In Swap","✅ Available")</f>
        <v>✅ Available</v>
      </c>
    </row>
    <row r="310" customFormat="false" ht="15.75" hidden="false" customHeight="true" outlineLevel="0" collapsed="false">
      <c r="A310" s="32" t="n">
        <v>307</v>
      </c>
      <c r="B310" s="32" t="s">
        <v>1211</v>
      </c>
      <c r="C310" s="283" t="n">
        <v>307</v>
      </c>
      <c r="D310" s="284" t="s">
        <v>1221</v>
      </c>
      <c r="E310" s="188" t="s">
        <v>496</v>
      </c>
      <c r="F310" s="39" t="n">
        <v>1</v>
      </c>
      <c r="G310" s="40" t="n">
        <v>2</v>
      </c>
      <c r="H310" s="41" t="n">
        <v>3</v>
      </c>
      <c r="I310" s="285" t="n">
        <v>11</v>
      </c>
      <c r="J310" s="36" t="s">
        <v>617</v>
      </c>
      <c r="K310" s="286" t="n">
        <v>5</v>
      </c>
      <c r="L310" s="286" t="n">
        <v>1</v>
      </c>
      <c r="M310" s="188" t="s">
        <v>618</v>
      </c>
      <c r="N310" s="283" t="str">
        <f aca="false">IFERROR(IF(COUNTIF('📝 Daily Log'!$E$3:$E$600,D310)&gt;0,IF(COUNTIFS('📝 Daily Log'!$E$3:$E$600,D310,'📝 Daily Log'!$G$3:$G$600,"✅ Done")&gt;0,"✅ Done",IF(COUNTIFS('📝 Daily Log'!$E$3:$E$600,D310,'📝 Daily Log'!$G$3:$G$600,"🔄 Partial")&gt;0,"🔄 Partial","⬜ Pending")),"⬜ Pending"),"⬜ Pending")</f>
        <v>⬜ Pending</v>
      </c>
      <c r="O310" s="269"/>
      <c r="P310" s="283" t="str">
        <f aca="false">IF(O310&lt;&gt;"",O310,N310)</f>
        <v>⬜ Pending</v>
      </c>
      <c r="Q310" s="270" t="s">
        <v>1222</v>
      </c>
      <c r="R310" s="271" t="str">
        <f aca="false">IF(COUNTIF('📆 Daily Schedule'!$M$5:$M$427,D310)&gt;0,"⚡ In Swap","✅ Available")</f>
        <v>✅ Available</v>
      </c>
    </row>
    <row r="311" customFormat="false" ht="15.75" hidden="false" customHeight="true" outlineLevel="0" collapsed="false">
      <c r="A311" s="32" t="n">
        <v>308</v>
      </c>
      <c r="B311" s="32" t="s">
        <v>1211</v>
      </c>
      <c r="C311" s="76" t="n">
        <v>308</v>
      </c>
      <c r="D311" s="37" t="s">
        <v>1223</v>
      </c>
      <c r="E311" s="188" t="s">
        <v>496</v>
      </c>
      <c r="F311" s="39" t="n">
        <v>2</v>
      </c>
      <c r="G311" s="40" t="n">
        <v>3</v>
      </c>
      <c r="H311" s="41" t="n">
        <v>4</v>
      </c>
      <c r="I311" s="272" t="n">
        <v>14</v>
      </c>
      <c r="J311" s="274" t="s">
        <v>623</v>
      </c>
      <c r="K311" s="273" t="n">
        <v>5</v>
      </c>
      <c r="L311" s="273" t="n">
        <v>4</v>
      </c>
      <c r="M311" s="188" t="s">
        <v>618</v>
      </c>
      <c r="N311" s="76" t="str">
        <f aca="false">IFERROR(IF(COUNTIF('📝 Daily Log'!$E$3:$E$600,D311)&gt;0,IF(COUNTIFS('📝 Daily Log'!$E$3:$E$600,D311,'📝 Daily Log'!$G$3:$G$600,"✅ Done")&gt;0,"✅ Done",IF(COUNTIFS('📝 Daily Log'!$E$3:$E$600,D311,'📝 Daily Log'!$G$3:$G$600,"🔄 Partial")&gt;0,"🔄 Partial","⬜ Pending")),"⬜ Pending"),"⬜ Pending")</f>
        <v>⬜ Pending</v>
      </c>
      <c r="O311" s="269"/>
      <c r="P311" s="76" t="str">
        <f aca="false">IF(O311&lt;&gt;"",O311,N311)</f>
        <v>⬜ Pending</v>
      </c>
      <c r="Q311" s="270" t="s">
        <v>1224</v>
      </c>
      <c r="R311" s="271" t="str">
        <f aca="false">IF(COUNTIF('📆 Daily Schedule'!$M$5:$M$427,D311)&gt;0,"⚡ In Swap","✅ Available")</f>
        <v>✅ Available</v>
      </c>
    </row>
    <row r="312" customFormat="false" ht="15.75" hidden="false" customHeight="true" outlineLevel="0" collapsed="false">
      <c r="A312" s="32" t="n">
        <v>309</v>
      </c>
      <c r="B312" s="32" t="s">
        <v>1211</v>
      </c>
      <c r="C312" s="283" t="n">
        <v>309</v>
      </c>
      <c r="D312" s="284" t="s">
        <v>1225</v>
      </c>
      <c r="E312" s="188" t="s">
        <v>496</v>
      </c>
      <c r="F312" s="39" t="n">
        <v>0.5</v>
      </c>
      <c r="G312" s="40" t="n">
        <v>1</v>
      </c>
      <c r="H312" s="41" t="n">
        <v>1.5</v>
      </c>
      <c r="I312" s="285" t="n">
        <v>12</v>
      </c>
      <c r="J312" s="274" t="s">
        <v>623</v>
      </c>
      <c r="K312" s="286" t="n">
        <v>4</v>
      </c>
      <c r="L312" s="286" t="n">
        <v>4</v>
      </c>
      <c r="M312" s="188" t="s">
        <v>618</v>
      </c>
      <c r="N312" s="283" t="str">
        <f aca="false">IFERROR(IF(COUNTIF('📝 Daily Log'!$E$3:$E$600,D312)&gt;0,IF(COUNTIFS('📝 Daily Log'!$E$3:$E$600,D312,'📝 Daily Log'!$G$3:$G$600,"✅ Done")&gt;0,"✅ Done",IF(COUNTIFS('📝 Daily Log'!$E$3:$E$600,D312,'📝 Daily Log'!$G$3:$G$600,"🔄 Partial")&gt;0,"🔄 Partial","⬜ Pending")),"⬜ Pending"),"⬜ Pending")</f>
        <v>⬜ Pending</v>
      </c>
      <c r="O312" s="269"/>
      <c r="P312" s="283" t="str">
        <f aca="false">IF(O312&lt;&gt;"",O312,N312)</f>
        <v>⬜ Pending</v>
      </c>
      <c r="Q312" s="270" t="s">
        <v>1226</v>
      </c>
      <c r="R312" s="271" t="str">
        <f aca="false">IF(COUNTIF('📆 Daily Schedule'!$M$5:$M$427,D312)&gt;0,"⚡ In Swap","✅ Available")</f>
        <v>✅ Available</v>
      </c>
    </row>
    <row r="313" customFormat="false" ht="15.75" hidden="false" customHeight="true" outlineLevel="0" collapsed="false">
      <c r="A313" s="32" t="n">
        <v>310</v>
      </c>
      <c r="B313" s="32" t="s">
        <v>1211</v>
      </c>
      <c r="C313" s="76" t="n">
        <v>310</v>
      </c>
      <c r="D313" s="37" t="s">
        <v>1227</v>
      </c>
      <c r="E313" s="188" t="s">
        <v>496</v>
      </c>
      <c r="F313" s="39" t="n">
        <v>0.5</v>
      </c>
      <c r="G313" s="40" t="n">
        <v>1</v>
      </c>
      <c r="H313" s="41" t="n">
        <v>1.5</v>
      </c>
      <c r="I313" s="272" t="n">
        <v>14</v>
      </c>
      <c r="J313" s="274" t="s">
        <v>623</v>
      </c>
      <c r="K313" s="273" t="n">
        <v>5</v>
      </c>
      <c r="L313" s="273" t="n">
        <v>4</v>
      </c>
      <c r="M313" s="188" t="s">
        <v>618</v>
      </c>
      <c r="N313" s="76" t="str">
        <f aca="false">IFERROR(IF(COUNTIF('📝 Daily Log'!$E$3:$E$600,D313)&gt;0,IF(COUNTIFS('📝 Daily Log'!$E$3:$E$600,D313,'📝 Daily Log'!$G$3:$G$600,"✅ Done")&gt;0,"✅ Done",IF(COUNTIFS('📝 Daily Log'!$E$3:$E$600,D313,'📝 Daily Log'!$G$3:$G$600,"🔄 Partial")&gt;0,"🔄 Partial","⬜ Pending")),"⬜ Pending"),"⬜ Pending")</f>
        <v>⬜ Pending</v>
      </c>
      <c r="O313" s="269"/>
      <c r="P313" s="76" t="str">
        <f aca="false">IF(O313&lt;&gt;"",O313,N313)</f>
        <v>⬜ Pending</v>
      </c>
      <c r="Q313" s="270" t="s">
        <v>1228</v>
      </c>
      <c r="R313" s="271" t="str">
        <f aca="false">IF(COUNTIF('📆 Daily Schedule'!$M$5:$M$427,D313)&gt;0,"⚡ In Swap","✅ Available")</f>
        <v>✅ Available</v>
      </c>
    </row>
    <row r="314" customFormat="false" ht="15.75" hidden="false" customHeight="true" outlineLevel="0" collapsed="false">
      <c r="A314" s="32" t="n">
        <v>311</v>
      </c>
      <c r="B314" s="32" t="s">
        <v>1211</v>
      </c>
      <c r="C314" s="283" t="n">
        <v>311</v>
      </c>
      <c r="D314" s="284" t="s">
        <v>1229</v>
      </c>
      <c r="E314" s="188" t="s">
        <v>496</v>
      </c>
      <c r="F314" s="39" t="n">
        <v>0.5</v>
      </c>
      <c r="G314" s="40" t="n">
        <v>0.75</v>
      </c>
      <c r="H314" s="41" t="n">
        <v>1</v>
      </c>
      <c r="I314" s="285" t="n">
        <v>14</v>
      </c>
      <c r="J314" s="274" t="s">
        <v>623</v>
      </c>
      <c r="K314" s="286" t="n">
        <v>5</v>
      </c>
      <c r="L314" s="286" t="n">
        <v>4</v>
      </c>
      <c r="M314" s="188" t="s">
        <v>618</v>
      </c>
      <c r="N314" s="283" t="str">
        <f aca="false">IFERROR(IF(COUNTIF('📝 Daily Log'!$E$3:$E$600,D314)&gt;0,IF(COUNTIFS('📝 Daily Log'!$E$3:$E$600,D314,'📝 Daily Log'!$G$3:$G$600,"✅ Done")&gt;0,"✅ Done",IF(COUNTIFS('📝 Daily Log'!$E$3:$E$600,D314,'📝 Daily Log'!$G$3:$G$600,"🔄 Partial")&gt;0,"🔄 Partial","⬜ Pending")),"⬜ Pending"),"⬜ Pending")</f>
        <v>⬜ Pending</v>
      </c>
      <c r="O314" s="269"/>
      <c r="P314" s="283" t="str">
        <f aca="false">IF(O314&lt;&gt;"",O314,N314)</f>
        <v>⬜ Pending</v>
      </c>
      <c r="Q314" s="270" t="s">
        <v>1230</v>
      </c>
      <c r="R314" s="271" t="str">
        <f aca="false">IF(COUNTIF('📆 Daily Schedule'!$M$5:$M$427,D314)&gt;0,"⚡ In Swap","✅ Available")</f>
        <v>✅ Available</v>
      </c>
    </row>
    <row r="315" customFormat="false" ht="15.75" hidden="false" customHeight="true" outlineLevel="0" collapsed="false">
      <c r="A315" s="32" t="n">
        <v>312</v>
      </c>
      <c r="B315" s="32" t="s">
        <v>1211</v>
      </c>
      <c r="C315" s="76" t="n">
        <v>312</v>
      </c>
      <c r="D315" s="37" t="s">
        <v>1231</v>
      </c>
      <c r="E315" s="188" t="s">
        <v>496</v>
      </c>
      <c r="F315" s="39" t="n">
        <v>0.5</v>
      </c>
      <c r="G315" s="40" t="n">
        <v>0.75</v>
      </c>
      <c r="H315" s="41" t="n">
        <v>1</v>
      </c>
      <c r="I315" s="272" t="n">
        <v>11</v>
      </c>
      <c r="J315" s="36" t="s">
        <v>617</v>
      </c>
      <c r="K315" s="273" t="n">
        <v>5</v>
      </c>
      <c r="L315" s="273" t="n">
        <v>1</v>
      </c>
      <c r="M315" s="188" t="s">
        <v>618</v>
      </c>
      <c r="N315" s="76" t="str">
        <f aca="false">IFERROR(IF(COUNTIF('📝 Daily Log'!$E$3:$E$600,D315)&gt;0,IF(COUNTIFS('📝 Daily Log'!$E$3:$E$600,D315,'📝 Daily Log'!$G$3:$G$600,"✅ Done")&gt;0,"✅ Done",IF(COUNTIFS('📝 Daily Log'!$E$3:$E$600,D315,'📝 Daily Log'!$G$3:$G$600,"🔄 Partial")&gt;0,"🔄 Partial","⬜ Pending")),"⬜ Pending"),"⬜ Pending")</f>
        <v>⬜ Pending</v>
      </c>
      <c r="O315" s="269"/>
      <c r="P315" s="76" t="str">
        <f aca="false">IF(O315&lt;&gt;"",O315,N315)</f>
        <v>⬜ Pending</v>
      </c>
      <c r="Q315" s="270" t="s">
        <v>1232</v>
      </c>
      <c r="R315" s="271" t="str">
        <f aca="false">IF(COUNTIF('📆 Daily Schedule'!$M$5:$M$427,D315)&gt;0,"⚡ In Swap","✅ Available")</f>
        <v>✅ Available</v>
      </c>
    </row>
    <row r="316" customFormat="false" ht="15.75" hidden="false" customHeight="true" outlineLevel="0" collapsed="false">
      <c r="A316" s="32" t="n">
        <v>313</v>
      </c>
      <c r="B316" s="32" t="s">
        <v>1211</v>
      </c>
      <c r="C316" s="283" t="n">
        <v>313</v>
      </c>
      <c r="D316" s="284" t="s">
        <v>1233</v>
      </c>
      <c r="E316" s="188" t="s">
        <v>496</v>
      </c>
      <c r="F316" s="39" t="n">
        <v>0.3</v>
      </c>
      <c r="G316" s="40" t="n">
        <v>0.5</v>
      </c>
      <c r="H316" s="41" t="n">
        <v>0.75</v>
      </c>
      <c r="I316" s="285" t="n">
        <v>15</v>
      </c>
      <c r="J316" s="274" t="s">
        <v>623</v>
      </c>
      <c r="K316" s="286" t="n">
        <v>5</v>
      </c>
      <c r="L316" s="286" t="n">
        <v>5</v>
      </c>
      <c r="M316" s="188" t="s">
        <v>618</v>
      </c>
      <c r="N316" s="283" t="str">
        <f aca="false">IFERROR(IF(COUNTIF('📝 Daily Log'!$E$3:$E$600,D316)&gt;0,IF(COUNTIFS('📝 Daily Log'!$E$3:$E$600,D316,'📝 Daily Log'!$G$3:$G$600,"✅ Done")&gt;0,"✅ Done",IF(COUNTIFS('📝 Daily Log'!$E$3:$E$600,D316,'📝 Daily Log'!$G$3:$G$600,"🔄 Partial")&gt;0,"🔄 Partial","⬜ Pending")),"⬜ Pending"),"⬜ Pending")</f>
        <v>⬜ Pending</v>
      </c>
      <c r="O316" s="269"/>
      <c r="P316" s="283" t="str">
        <f aca="false">IF(O316&lt;&gt;"",O316,N316)</f>
        <v>⬜ Pending</v>
      </c>
      <c r="Q316" s="270" t="s">
        <v>1142</v>
      </c>
      <c r="R316" s="271" t="str">
        <f aca="false">IF(COUNTIF('📆 Daily Schedule'!$M$5:$M$427,D316)&gt;0,"⚡ In Swap","✅ Available")</f>
        <v>✅ Available</v>
      </c>
    </row>
    <row r="317" customFormat="false" ht="15.75" hidden="false" customHeight="true" outlineLevel="0" collapsed="false">
      <c r="A317" s="32" t="n">
        <v>314</v>
      </c>
      <c r="B317" s="32" t="s">
        <v>1211</v>
      </c>
      <c r="C317" s="76" t="n">
        <v>314</v>
      </c>
      <c r="D317" s="37" t="s">
        <v>1234</v>
      </c>
      <c r="E317" s="188" t="s">
        <v>496</v>
      </c>
      <c r="F317" s="39" t="n">
        <v>1</v>
      </c>
      <c r="G317" s="40" t="n">
        <v>2</v>
      </c>
      <c r="H317" s="41" t="n">
        <v>3</v>
      </c>
      <c r="I317" s="272" t="n">
        <v>11</v>
      </c>
      <c r="J317" s="36" t="s">
        <v>617</v>
      </c>
      <c r="K317" s="273" t="n">
        <v>5</v>
      </c>
      <c r="L317" s="273" t="n">
        <v>1</v>
      </c>
      <c r="M317" s="188" t="s">
        <v>618</v>
      </c>
      <c r="N317" s="76" t="str">
        <f aca="false">IFERROR(IF(COUNTIF('📝 Daily Log'!$E$3:$E$600,D317)&gt;0,IF(COUNTIFS('📝 Daily Log'!$E$3:$E$600,D317,'📝 Daily Log'!$G$3:$G$600,"✅ Done")&gt;0,"✅ Done",IF(COUNTIFS('📝 Daily Log'!$E$3:$E$600,D317,'📝 Daily Log'!$G$3:$G$600,"🔄 Partial")&gt;0,"🔄 Partial","⬜ Pending")),"⬜ Pending"),"⬜ Pending")</f>
        <v>⬜ Pending</v>
      </c>
      <c r="O317" s="269"/>
      <c r="P317" s="76" t="str">
        <f aca="false">IF(O317&lt;&gt;"",O317,N317)</f>
        <v>⬜ Pending</v>
      </c>
      <c r="Q317" s="270" t="s">
        <v>1172</v>
      </c>
      <c r="R317" s="271" t="str">
        <f aca="false">IF(COUNTIF('📆 Daily Schedule'!$M$5:$M$427,D317)&gt;0,"⚡ In Swap","✅ Available")</f>
        <v>✅ Available</v>
      </c>
    </row>
    <row r="318" customFormat="false" ht="15.75" hidden="false" customHeight="true" outlineLevel="0" collapsed="false">
      <c r="A318" s="32" t="n">
        <v>315</v>
      </c>
      <c r="B318" s="32" t="s">
        <v>1211</v>
      </c>
      <c r="C318" s="283" t="n">
        <v>315</v>
      </c>
      <c r="D318" s="284" t="s">
        <v>1235</v>
      </c>
      <c r="E318" s="188" t="s">
        <v>496</v>
      </c>
      <c r="F318" s="39" t="n">
        <v>2</v>
      </c>
      <c r="G318" s="40" t="n">
        <v>3</v>
      </c>
      <c r="H318" s="41" t="n">
        <v>4</v>
      </c>
      <c r="I318" s="285" t="n">
        <v>14</v>
      </c>
      <c r="J318" s="274" t="s">
        <v>623</v>
      </c>
      <c r="K318" s="286" t="n">
        <v>5</v>
      </c>
      <c r="L318" s="286" t="n">
        <v>4</v>
      </c>
      <c r="M318" s="188" t="s">
        <v>618</v>
      </c>
      <c r="N318" s="283" t="str">
        <f aca="false">IFERROR(IF(COUNTIF('📝 Daily Log'!$E$3:$E$600,D318)&gt;0,IF(COUNTIFS('📝 Daily Log'!$E$3:$E$600,D318,'📝 Daily Log'!$G$3:$G$600,"✅ Done")&gt;0,"✅ Done",IF(COUNTIFS('📝 Daily Log'!$E$3:$E$600,D318,'📝 Daily Log'!$G$3:$G$600,"🔄 Partial")&gt;0,"🔄 Partial","⬜ Pending")),"⬜ Pending"),"⬜ Pending")</f>
        <v>⬜ Pending</v>
      </c>
      <c r="O318" s="269"/>
      <c r="P318" s="283" t="str">
        <f aca="false">IF(O318&lt;&gt;"",O318,N318)</f>
        <v>⬜ Pending</v>
      </c>
      <c r="Q318" s="270" t="s">
        <v>1236</v>
      </c>
      <c r="R318" s="271" t="str">
        <f aca="false">IF(COUNTIF('📆 Daily Schedule'!$M$5:$M$427,D318)&gt;0,"⚡ In Swap","✅ Available")</f>
        <v>✅ Available</v>
      </c>
    </row>
    <row r="319" customFormat="false" ht="15.75" hidden="false" customHeight="true" outlineLevel="0" collapsed="false">
      <c r="A319" s="32" t="n">
        <v>316</v>
      </c>
      <c r="B319" s="32" t="s">
        <v>1211</v>
      </c>
      <c r="C319" s="76" t="n">
        <v>316</v>
      </c>
      <c r="D319" s="37" t="s">
        <v>1237</v>
      </c>
      <c r="E319" s="188" t="s">
        <v>496</v>
      </c>
      <c r="F319" s="39" t="n">
        <v>0.5</v>
      </c>
      <c r="G319" s="40" t="n">
        <v>1</v>
      </c>
      <c r="H319" s="41" t="n">
        <v>1.5</v>
      </c>
      <c r="I319" s="272" t="n">
        <v>13</v>
      </c>
      <c r="J319" s="274" t="s">
        <v>623</v>
      </c>
      <c r="K319" s="273" t="n">
        <v>5</v>
      </c>
      <c r="L319" s="273" t="n">
        <v>3</v>
      </c>
      <c r="M319" s="188" t="s">
        <v>618</v>
      </c>
      <c r="N319" s="76" t="str">
        <f aca="false">IFERROR(IF(COUNTIF('📝 Daily Log'!$E$3:$E$600,D319)&gt;0,IF(COUNTIFS('📝 Daily Log'!$E$3:$E$600,D319,'📝 Daily Log'!$G$3:$G$600,"✅ Done")&gt;0,"✅ Done",IF(COUNTIFS('📝 Daily Log'!$E$3:$E$600,D319,'📝 Daily Log'!$G$3:$G$600,"🔄 Partial")&gt;0,"🔄 Partial","⬜ Pending")),"⬜ Pending"),"⬜ Pending")</f>
        <v>⬜ Pending</v>
      </c>
      <c r="O319" s="269"/>
      <c r="P319" s="76" t="str">
        <f aca="false">IF(O319&lt;&gt;"",O319,N319)</f>
        <v>⬜ Pending</v>
      </c>
      <c r="Q319" s="270" t="s">
        <v>1238</v>
      </c>
      <c r="R319" s="271" t="str">
        <f aca="false">IF(COUNTIF('📆 Daily Schedule'!$M$5:$M$427,D319)&gt;0,"⚡ In Swap","✅ Available")</f>
        <v>✅ Available</v>
      </c>
    </row>
    <row r="320" customFormat="false" ht="15.75" hidden="false" customHeight="true" outlineLevel="0" collapsed="false">
      <c r="A320" s="32" t="n">
        <v>317</v>
      </c>
      <c r="B320" s="32" t="s">
        <v>1211</v>
      </c>
      <c r="C320" s="283" t="n">
        <v>317</v>
      </c>
      <c r="D320" s="284" t="s">
        <v>1239</v>
      </c>
      <c r="E320" s="188" t="s">
        <v>496</v>
      </c>
      <c r="F320" s="39" t="n">
        <v>0.5</v>
      </c>
      <c r="G320" s="40" t="n">
        <v>1</v>
      </c>
      <c r="H320" s="41" t="n">
        <v>1.5</v>
      </c>
      <c r="I320" s="285" t="n">
        <v>14</v>
      </c>
      <c r="J320" s="274" t="s">
        <v>623</v>
      </c>
      <c r="K320" s="286" t="n">
        <v>5</v>
      </c>
      <c r="L320" s="286" t="n">
        <v>4</v>
      </c>
      <c r="M320" s="188" t="s">
        <v>618</v>
      </c>
      <c r="N320" s="283" t="str">
        <f aca="false">IFERROR(IF(COUNTIF('📝 Daily Log'!$E$3:$E$600,D320)&gt;0,IF(COUNTIFS('📝 Daily Log'!$E$3:$E$600,D320,'📝 Daily Log'!$G$3:$G$600,"✅ Done")&gt;0,"✅ Done",IF(COUNTIFS('📝 Daily Log'!$E$3:$E$600,D320,'📝 Daily Log'!$G$3:$G$600,"🔄 Partial")&gt;0,"🔄 Partial","⬜ Pending")),"⬜ Pending"),"⬜ Pending")</f>
        <v>⬜ Pending</v>
      </c>
      <c r="O320" s="269"/>
      <c r="P320" s="283" t="str">
        <f aca="false">IF(O320&lt;&gt;"",O320,N320)</f>
        <v>⬜ Pending</v>
      </c>
      <c r="Q320" s="270" t="s">
        <v>1072</v>
      </c>
      <c r="R320" s="271" t="str">
        <f aca="false">IF(COUNTIF('📆 Daily Schedule'!$M$5:$M$427,D320)&gt;0,"⚡ In Swap","✅ Available")</f>
        <v>✅ Available</v>
      </c>
    </row>
    <row r="321" customFormat="false" ht="15.75" hidden="false" customHeight="true" outlineLevel="0" collapsed="false">
      <c r="A321" s="32" t="n">
        <v>318</v>
      </c>
      <c r="B321" s="32" t="s">
        <v>1211</v>
      </c>
      <c r="C321" s="76" t="n">
        <v>318</v>
      </c>
      <c r="D321" s="37" t="s">
        <v>1240</v>
      </c>
      <c r="E321" s="188" t="s">
        <v>496</v>
      </c>
      <c r="F321" s="39" t="n">
        <v>0.5</v>
      </c>
      <c r="G321" s="40" t="n">
        <v>0.75</v>
      </c>
      <c r="H321" s="41" t="n">
        <v>1</v>
      </c>
      <c r="I321" s="272" t="n">
        <v>11</v>
      </c>
      <c r="J321" s="36" t="s">
        <v>617</v>
      </c>
      <c r="K321" s="273" t="n">
        <v>5</v>
      </c>
      <c r="L321" s="273" t="n">
        <v>1</v>
      </c>
      <c r="M321" s="188" t="s">
        <v>618</v>
      </c>
      <c r="N321" s="76" t="str">
        <f aca="false">IFERROR(IF(COUNTIF('📝 Daily Log'!$E$3:$E$600,D321)&gt;0,IF(COUNTIFS('📝 Daily Log'!$E$3:$E$600,D321,'📝 Daily Log'!$G$3:$G$600,"✅ Done")&gt;0,"✅ Done",IF(COUNTIFS('📝 Daily Log'!$E$3:$E$600,D321,'📝 Daily Log'!$G$3:$G$600,"🔄 Partial")&gt;0,"🔄 Partial","⬜ Pending")),"⬜ Pending"),"⬜ Pending")</f>
        <v>⬜ Pending</v>
      </c>
      <c r="O321" s="269"/>
      <c r="P321" s="76" t="str">
        <f aca="false">IF(O321&lt;&gt;"",O321,N321)</f>
        <v>⬜ Pending</v>
      </c>
      <c r="Q321" s="270" t="s">
        <v>1241</v>
      </c>
      <c r="R321" s="271" t="str">
        <f aca="false">IF(COUNTIF('📆 Daily Schedule'!$M$5:$M$427,D321)&gt;0,"⚡ In Swap","✅ Available")</f>
        <v>✅ Available</v>
      </c>
    </row>
    <row r="322" customFormat="false" ht="15.75" hidden="false" customHeight="true" outlineLevel="0" collapsed="false">
      <c r="A322" s="32" t="n">
        <v>319</v>
      </c>
      <c r="B322" s="32" t="s">
        <v>1211</v>
      </c>
      <c r="C322" s="283" t="n">
        <v>319</v>
      </c>
      <c r="D322" s="284" t="s">
        <v>1242</v>
      </c>
      <c r="E322" s="188" t="s">
        <v>496</v>
      </c>
      <c r="F322" s="39" t="n">
        <v>0.5</v>
      </c>
      <c r="G322" s="40" t="n">
        <v>0.75</v>
      </c>
      <c r="H322" s="41" t="n">
        <v>1</v>
      </c>
      <c r="I322" s="285" t="n">
        <v>11</v>
      </c>
      <c r="J322" s="36" t="s">
        <v>617</v>
      </c>
      <c r="K322" s="286" t="n">
        <v>5</v>
      </c>
      <c r="L322" s="286" t="n">
        <v>1</v>
      </c>
      <c r="M322" s="188" t="s">
        <v>618</v>
      </c>
      <c r="N322" s="283" t="str">
        <f aca="false">IFERROR(IF(COUNTIF('📝 Daily Log'!$E$3:$E$600,D322)&gt;0,IF(COUNTIFS('📝 Daily Log'!$E$3:$E$600,D322,'📝 Daily Log'!$G$3:$G$600,"✅ Done")&gt;0,"✅ Done",IF(COUNTIFS('📝 Daily Log'!$E$3:$E$600,D322,'📝 Daily Log'!$G$3:$G$600,"🔄 Partial")&gt;0,"🔄 Partial","⬜ Pending")),"⬜ Pending"),"⬜ Pending")</f>
        <v>⬜ Pending</v>
      </c>
      <c r="O322" s="269"/>
      <c r="P322" s="283" t="str">
        <f aca="false">IF(O322&lt;&gt;"",O322,N322)</f>
        <v>⬜ Pending</v>
      </c>
      <c r="Q322" s="270" t="s">
        <v>1243</v>
      </c>
      <c r="R322" s="271" t="str">
        <f aca="false">IF(COUNTIF('📆 Daily Schedule'!$M$5:$M$427,D322)&gt;0,"⚡ In Swap","✅ Available")</f>
        <v>✅ Available</v>
      </c>
    </row>
    <row r="323" customFormat="false" ht="15.75" hidden="false" customHeight="true" outlineLevel="0" collapsed="false">
      <c r="A323" s="32" t="n">
        <v>320</v>
      </c>
      <c r="B323" s="32" t="s">
        <v>1211</v>
      </c>
      <c r="C323" s="76" t="n">
        <v>320</v>
      </c>
      <c r="D323" s="37" t="s">
        <v>1244</v>
      </c>
      <c r="E323" s="188" t="s">
        <v>496</v>
      </c>
      <c r="F323" s="39" t="n">
        <v>0.3</v>
      </c>
      <c r="G323" s="40" t="n">
        <v>0.5</v>
      </c>
      <c r="H323" s="41" t="n">
        <v>0.75</v>
      </c>
      <c r="I323" s="272" t="n">
        <v>15</v>
      </c>
      <c r="J323" s="274" t="s">
        <v>623</v>
      </c>
      <c r="K323" s="273" t="n">
        <v>5</v>
      </c>
      <c r="L323" s="273" t="n">
        <v>5</v>
      </c>
      <c r="M323" s="188" t="s">
        <v>618</v>
      </c>
      <c r="N323" s="76" t="str">
        <f aca="false">IFERROR(IF(COUNTIF('📝 Daily Log'!$E$3:$E$600,D323)&gt;0,IF(COUNTIFS('📝 Daily Log'!$E$3:$E$600,D323,'📝 Daily Log'!$G$3:$G$600,"✅ Done")&gt;0,"✅ Done",IF(COUNTIFS('📝 Daily Log'!$E$3:$E$600,D323,'📝 Daily Log'!$G$3:$G$600,"🔄 Partial")&gt;0,"🔄 Partial","⬜ Pending")),"⬜ Pending"),"⬜ Pending")</f>
        <v>⬜ Pending</v>
      </c>
      <c r="O323" s="269"/>
      <c r="P323" s="76" t="str">
        <f aca="false">IF(O323&lt;&gt;"",O323,N323)</f>
        <v>⬜ Pending</v>
      </c>
      <c r="Q323" s="270" t="s">
        <v>1245</v>
      </c>
      <c r="R323" s="271" t="str">
        <f aca="false">IF(COUNTIF('📆 Daily Schedule'!$M$5:$M$427,D323)&gt;0,"⚡ In Swap","✅ Available")</f>
        <v>✅ Available</v>
      </c>
    </row>
    <row r="324" customFormat="false" ht="15.75" hidden="false" customHeight="true" outlineLevel="0" collapsed="false">
      <c r="A324" s="32" t="n">
        <v>321</v>
      </c>
      <c r="B324" s="32" t="s">
        <v>1211</v>
      </c>
      <c r="C324" s="283" t="n">
        <v>321</v>
      </c>
      <c r="D324" s="284" t="s">
        <v>1246</v>
      </c>
      <c r="E324" s="188" t="s">
        <v>496</v>
      </c>
      <c r="F324" s="39" t="n">
        <v>1</v>
      </c>
      <c r="G324" s="40" t="n">
        <v>2</v>
      </c>
      <c r="H324" s="41" t="n">
        <v>3</v>
      </c>
      <c r="I324" s="285" t="n">
        <v>11</v>
      </c>
      <c r="J324" s="36" t="s">
        <v>617</v>
      </c>
      <c r="K324" s="286" t="n">
        <v>5</v>
      </c>
      <c r="L324" s="286" t="n">
        <v>1</v>
      </c>
      <c r="M324" s="188" t="s">
        <v>618</v>
      </c>
      <c r="N324" s="283" t="str">
        <f aca="false">IFERROR(IF(COUNTIF('📝 Daily Log'!$E$3:$E$600,D324)&gt;0,IF(COUNTIFS('📝 Daily Log'!$E$3:$E$600,D324,'📝 Daily Log'!$G$3:$G$600,"✅ Done")&gt;0,"✅ Done",IF(COUNTIFS('📝 Daily Log'!$E$3:$E$600,D324,'📝 Daily Log'!$G$3:$G$600,"🔄 Partial")&gt;0,"🔄 Partial","⬜ Pending")),"⬜ Pending"),"⬜ Pending")</f>
        <v>⬜ Pending</v>
      </c>
      <c r="O324" s="269"/>
      <c r="P324" s="283" t="str">
        <f aca="false">IF(O324&lt;&gt;"",O324,N324)</f>
        <v>⬜ Pending</v>
      </c>
      <c r="Q324" s="270" t="s">
        <v>1247</v>
      </c>
      <c r="R324" s="271" t="str">
        <f aca="false">IF(COUNTIF('📆 Daily Schedule'!$M$5:$M$427,D324)&gt;0,"⚡ In Swap","✅ Available")</f>
        <v>✅ Available</v>
      </c>
    </row>
    <row r="325" customFormat="false" ht="15.75" hidden="false" customHeight="true" outlineLevel="0" collapsed="false">
      <c r="A325" s="32" t="n">
        <v>322</v>
      </c>
      <c r="B325" s="32" t="s">
        <v>1211</v>
      </c>
      <c r="C325" s="76" t="n">
        <v>322</v>
      </c>
      <c r="D325" s="37" t="s">
        <v>1248</v>
      </c>
      <c r="E325" s="188" t="s">
        <v>496</v>
      </c>
      <c r="F325" s="39" t="n">
        <v>2</v>
      </c>
      <c r="G325" s="40" t="n">
        <v>3</v>
      </c>
      <c r="H325" s="41" t="n">
        <v>4</v>
      </c>
      <c r="I325" s="272" t="n">
        <v>14</v>
      </c>
      <c r="J325" s="274" t="s">
        <v>623</v>
      </c>
      <c r="K325" s="273" t="n">
        <v>5</v>
      </c>
      <c r="L325" s="273" t="n">
        <v>4</v>
      </c>
      <c r="M325" s="188" t="s">
        <v>618</v>
      </c>
      <c r="N325" s="76" t="str">
        <f aca="false">IFERROR(IF(COUNTIF('📝 Daily Log'!$E$3:$E$600,D325)&gt;0,IF(COUNTIFS('📝 Daily Log'!$E$3:$E$600,D325,'📝 Daily Log'!$G$3:$G$600,"✅ Done")&gt;0,"✅ Done",IF(COUNTIFS('📝 Daily Log'!$E$3:$E$600,D325,'📝 Daily Log'!$G$3:$G$600,"🔄 Partial")&gt;0,"🔄 Partial","⬜ Pending")),"⬜ Pending"),"⬜ Pending")</f>
        <v>⬜ Pending</v>
      </c>
      <c r="O325" s="269"/>
      <c r="P325" s="76" t="str">
        <f aca="false">IF(O325&lt;&gt;"",O325,N325)</f>
        <v>⬜ Pending</v>
      </c>
      <c r="Q325" s="270" t="s">
        <v>1249</v>
      </c>
      <c r="R325" s="271" t="str">
        <f aca="false">IF(COUNTIF('📆 Daily Schedule'!$M$5:$M$427,D325)&gt;0,"⚡ In Swap","✅ Available")</f>
        <v>✅ Available</v>
      </c>
    </row>
    <row r="326" customFormat="false" ht="15.75" hidden="false" customHeight="true" outlineLevel="0" collapsed="false">
      <c r="A326" s="32" t="n">
        <v>323</v>
      </c>
      <c r="B326" s="32" t="s">
        <v>1211</v>
      </c>
      <c r="C326" s="283" t="n">
        <v>323</v>
      </c>
      <c r="D326" s="284" t="s">
        <v>1250</v>
      </c>
      <c r="E326" s="188" t="s">
        <v>496</v>
      </c>
      <c r="F326" s="39" t="n">
        <v>0.5</v>
      </c>
      <c r="G326" s="40" t="n">
        <v>1</v>
      </c>
      <c r="H326" s="41" t="n">
        <v>1.5</v>
      </c>
      <c r="I326" s="285" t="n">
        <v>11</v>
      </c>
      <c r="J326" s="36" t="s">
        <v>617</v>
      </c>
      <c r="K326" s="286" t="n">
        <v>4</v>
      </c>
      <c r="L326" s="286" t="n">
        <v>3</v>
      </c>
      <c r="M326" s="188" t="s">
        <v>618</v>
      </c>
      <c r="N326" s="283" t="str">
        <f aca="false">IFERROR(IF(COUNTIF('📝 Daily Log'!$E$3:$E$600,D326)&gt;0,IF(COUNTIFS('📝 Daily Log'!$E$3:$E$600,D326,'📝 Daily Log'!$G$3:$G$600,"✅ Done")&gt;0,"✅ Done",IF(COUNTIFS('📝 Daily Log'!$E$3:$E$600,D326,'📝 Daily Log'!$G$3:$G$600,"🔄 Partial")&gt;0,"🔄 Partial","⬜ Pending")),"⬜ Pending"),"⬜ Pending")</f>
        <v>⬜ Pending</v>
      </c>
      <c r="O326" s="269"/>
      <c r="P326" s="283" t="str">
        <f aca="false">IF(O326&lt;&gt;"",O326,N326)</f>
        <v>⬜ Pending</v>
      </c>
      <c r="Q326" s="270" t="s">
        <v>1251</v>
      </c>
      <c r="R326" s="271" t="str">
        <f aca="false">IF(COUNTIF('📆 Daily Schedule'!$M$5:$M$427,D326)&gt;0,"⚡ In Swap","✅ Available")</f>
        <v>✅ Available</v>
      </c>
    </row>
    <row r="327" customFormat="false" ht="15.75" hidden="false" customHeight="true" outlineLevel="0" collapsed="false">
      <c r="A327" s="32" t="n">
        <v>324</v>
      </c>
      <c r="B327" s="32" t="s">
        <v>1211</v>
      </c>
      <c r="C327" s="76" t="n">
        <v>324</v>
      </c>
      <c r="D327" s="37" t="s">
        <v>1252</v>
      </c>
      <c r="E327" s="188" t="s">
        <v>496</v>
      </c>
      <c r="F327" s="39" t="n">
        <v>0.5</v>
      </c>
      <c r="G327" s="40" t="n">
        <v>1</v>
      </c>
      <c r="H327" s="41" t="n">
        <v>1.5</v>
      </c>
      <c r="I327" s="272" t="n">
        <v>14</v>
      </c>
      <c r="J327" s="274" t="s">
        <v>623</v>
      </c>
      <c r="K327" s="273" t="n">
        <v>5</v>
      </c>
      <c r="L327" s="273" t="n">
        <v>4</v>
      </c>
      <c r="M327" s="188" t="s">
        <v>618</v>
      </c>
      <c r="N327" s="76" t="str">
        <f aca="false">IFERROR(IF(COUNTIF('📝 Daily Log'!$E$3:$E$600,D327)&gt;0,IF(COUNTIFS('📝 Daily Log'!$E$3:$E$600,D327,'📝 Daily Log'!$G$3:$G$600,"✅ Done")&gt;0,"✅ Done",IF(COUNTIFS('📝 Daily Log'!$E$3:$E$600,D327,'📝 Daily Log'!$G$3:$G$600,"🔄 Partial")&gt;0,"🔄 Partial","⬜ Pending")),"⬜ Pending"),"⬜ Pending")</f>
        <v>⬜ Pending</v>
      </c>
      <c r="O327" s="269"/>
      <c r="P327" s="76" t="str">
        <f aca="false">IF(O327&lt;&gt;"",O327,N327)</f>
        <v>⬜ Pending</v>
      </c>
      <c r="Q327" s="270" t="s">
        <v>1253</v>
      </c>
      <c r="R327" s="271" t="str">
        <f aca="false">IF(COUNTIF('📆 Daily Schedule'!$M$5:$M$427,D327)&gt;0,"⚡ In Swap","✅ Available")</f>
        <v>✅ Available</v>
      </c>
    </row>
    <row r="328" customFormat="false" ht="15.75" hidden="false" customHeight="true" outlineLevel="0" collapsed="false">
      <c r="A328" s="32" t="n">
        <v>325</v>
      </c>
      <c r="B328" s="32" t="s">
        <v>1211</v>
      </c>
      <c r="C328" s="283" t="n">
        <v>325</v>
      </c>
      <c r="D328" s="284" t="s">
        <v>1254</v>
      </c>
      <c r="E328" s="188" t="s">
        <v>496</v>
      </c>
      <c r="F328" s="39" t="n">
        <v>0.5</v>
      </c>
      <c r="G328" s="40" t="n">
        <v>0.75</v>
      </c>
      <c r="H328" s="41" t="n">
        <v>1</v>
      </c>
      <c r="I328" s="285" t="n">
        <v>12</v>
      </c>
      <c r="J328" s="274" t="s">
        <v>623</v>
      </c>
      <c r="K328" s="286" t="n">
        <v>5</v>
      </c>
      <c r="L328" s="286" t="n">
        <v>2</v>
      </c>
      <c r="M328" s="188" t="s">
        <v>618</v>
      </c>
      <c r="N328" s="283" t="str">
        <f aca="false">IFERROR(IF(COUNTIF('📝 Daily Log'!$E$3:$E$600,D328)&gt;0,IF(COUNTIFS('📝 Daily Log'!$E$3:$E$600,D328,'📝 Daily Log'!$G$3:$G$600,"✅ Done")&gt;0,"✅ Done",IF(COUNTIFS('📝 Daily Log'!$E$3:$E$600,D328,'📝 Daily Log'!$G$3:$G$600,"🔄 Partial")&gt;0,"🔄 Partial","⬜ Pending")),"⬜ Pending"),"⬜ Pending")</f>
        <v>⬜ Pending</v>
      </c>
      <c r="O328" s="269"/>
      <c r="P328" s="283" t="str">
        <f aca="false">IF(O328&lt;&gt;"",O328,N328)</f>
        <v>⬜ Pending</v>
      </c>
      <c r="Q328" s="270" t="s">
        <v>1255</v>
      </c>
      <c r="R328" s="271" t="str">
        <f aca="false">IF(COUNTIF('📆 Daily Schedule'!$M$5:$M$427,D328)&gt;0,"⚡ In Swap","✅ Available")</f>
        <v>✅ Available</v>
      </c>
    </row>
    <row r="329" customFormat="false" ht="15.75" hidden="false" customHeight="true" outlineLevel="0" collapsed="false">
      <c r="A329" s="32" t="n">
        <v>326</v>
      </c>
      <c r="B329" s="32" t="s">
        <v>1211</v>
      </c>
      <c r="C329" s="76" t="n">
        <v>326</v>
      </c>
      <c r="D329" s="37" t="s">
        <v>1256</v>
      </c>
      <c r="E329" s="188" t="s">
        <v>496</v>
      </c>
      <c r="F329" s="39" t="n">
        <v>0.5</v>
      </c>
      <c r="G329" s="40" t="n">
        <v>1</v>
      </c>
      <c r="H329" s="41" t="n">
        <v>1.5</v>
      </c>
      <c r="I329" s="272" t="n">
        <v>14</v>
      </c>
      <c r="J329" s="274" t="s">
        <v>623</v>
      </c>
      <c r="K329" s="273" t="n">
        <v>5</v>
      </c>
      <c r="L329" s="273" t="n">
        <v>4</v>
      </c>
      <c r="M329" s="188" t="s">
        <v>618</v>
      </c>
      <c r="N329" s="76" t="str">
        <f aca="false">IFERROR(IF(COUNTIF('📝 Daily Log'!$E$3:$E$600,D329)&gt;0,IF(COUNTIFS('📝 Daily Log'!$E$3:$E$600,D329,'📝 Daily Log'!$G$3:$G$600,"✅ Done")&gt;0,"✅ Done",IF(COUNTIFS('📝 Daily Log'!$E$3:$E$600,D329,'📝 Daily Log'!$G$3:$G$600,"🔄 Partial")&gt;0,"🔄 Partial","⬜ Pending")),"⬜ Pending"),"⬜ Pending")</f>
        <v>⬜ Pending</v>
      </c>
      <c r="O329" s="269"/>
      <c r="P329" s="76" t="str">
        <f aca="false">IF(O329&lt;&gt;"",O329,N329)</f>
        <v>⬜ Pending</v>
      </c>
      <c r="Q329" s="270" t="s">
        <v>1257</v>
      </c>
      <c r="R329" s="271" t="str">
        <f aca="false">IF(COUNTIF('📆 Daily Schedule'!$M$5:$M$427,D329)&gt;0,"⚡ In Swap","✅ Available")</f>
        <v>✅ Available</v>
      </c>
    </row>
    <row r="330" customFormat="false" ht="15.75" hidden="false" customHeight="true" outlineLevel="0" collapsed="false">
      <c r="A330" s="32" t="n">
        <v>327</v>
      </c>
      <c r="B330" s="32" t="s">
        <v>1211</v>
      </c>
      <c r="C330" s="283" t="n">
        <v>327</v>
      </c>
      <c r="D330" s="284" t="s">
        <v>1258</v>
      </c>
      <c r="E330" s="188" t="s">
        <v>496</v>
      </c>
      <c r="F330" s="39" t="n">
        <v>0.3</v>
      </c>
      <c r="G330" s="40" t="n">
        <v>0.5</v>
      </c>
      <c r="H330" s="41" t="n">
        <v>0.75</v>
      </c>
      <c r="I330" s="285" t="n">
        <v>14</v>
      </c>
      <c r="J330" s="274" t="s">
        <v>623</v>
      </c>
      <c r="K330" s="286" t="n">
        <v>5</v>
      </c>
      <c r="L330" s="286" t="n">
        <v>4</v>
      </c>
      <c r="M330" s="188" t="s">
        <v>618</v>
      </c>
      <c r="N330" s="283" t="str">
        <f aca="false">IFERROR(IF(COUNTIF('📝 Daily Log'!$E$3:$E$600,D330)&gt;0,IF(COUNTIFS('📝 Daily Log'!$E$3:$E$600,D330,'📝 Daily Log'!$G$3:$G$600,"✅ Done")&gt;0,"✅ Done",IF(COUNTIFS('📝 Daily Log'!$E$3:$E$600,D330,'📝 Daily Log'!$G$3:$G$600,"🔄 Partial")&gt;0,"🔄 Partial","⬜ Pending")),"⬜ Pending"),"⬜ Pending")</f>
        <v>⬜ Pending</v>
      </c>
      <c r="O330" s="269"/>
      <c r="P330" s="283" t="str">
        <f aca="false">IF(O330&lt;&gt;"",O330,N330)</f>
        <v>⬜ Pending</v>
      </c>
      <c r="Q330" s="270" t="s">
        <v>1259</v>
      </c>
      <c r="R330" s="271" t="str">
        <f aca="false">IF(COUNTIF('📆 Daily Schedule'!$M$5:$M$427,D330)&gt;0,"⚡ In Swap","✅ Available")</f>
        <v>✅ Available</v>
      </c>
    </row>
    <row r="331" customFormat="false" ht="15.75" hidden="false" customHeight="true" outlineLevel="0" collapsed="false">
      <c r="A331" s="32" t="n">
        <v>328</v>
      </c>
      <c r="B331" s="32" t="s">
        <v>1211</v>
      </c>
      <c r="C331" s="76" t="n">
        <v>328</v>
      </c>
      <c r="D331" s="37" t="s">
        <v>1260</v>
      </c>
      <c r="E331" s="188" t="s">
        <v>496</v>
      </c>
      <c r="F331" s="39" t="n">
        <v>1</v>
      </c>
      <c r="G331" s="40" t="n">
        <v>2</v>
      </c>
      <c r="H331" s="41" t="n">
        <v>3</v>
      </c>
      <c r="I331" s="272" t="n">
        <v>11</v>
      </c>
      <c r="J331" s="36" t="s">
        <v>617</v>
      </c>
      <c r="K331" s="273" t="n">
        <v>5</v>
      </c>
      <c r="L331" s="273" t="n">
        <v>1</v>
      </c>
      <c r="M331" s="188" t="s">
        <v>618</v>
      </c>
      <c r="N331" s="76" t="str">
        <f aca="false">IFERROR(IF(COUNTIF('📝 Daily Log'!$E$3:$E$600,D331)&gt;0,IF(COUNTIFS('📝 Daily Log'!$E$3:$E$600,D331,'📝 Daily Log'!$G$3:$G$600,"✅ Done")&gt;0,"✅ Done",IF(COUNTIFS('📝 Daily Log'!$E$3:$E$600,D331,'📝 Daily Log'!$G$3:$G$600,"🔄 Partial")&gt;0,"🔄 Partial","⬜ Pending")),"⬜ Pending"),"⬜ Pending")</f>
        <v>⬜ Pending</v>
      </c>
      <c r="O331" s="269"/>
      <c r="P331" s="76" t="str">
        <f aca="false">IF(O331&lt;&gt;"",O331,N331)</f>
        <v>⬜ Pending</v>
      </c>
      <c r="Q331" s="270" t="s">
        <v>1261</v>
      </c>
      <c r="R331" s="271" t="str">
        <f aca="false">IF(COUNTIF('📆 Daily Schedule'!$M$5:$M$427,D331)&gt;0,"⚡ In Swap","✅ Available")</f>
        <v>✅ Available</v>
      </c>
    </row>
    <row r="332" customFormat="false" ht="15.75" hidden="false" customHeight="true" outlineLevel="0" collapsed="false">
      <c r="A332" s="32" t="n">
        <v>329</v>
      </c>
      <c r="B332" s="32" t="s">
        <v>1211</v>
      </c>
      <c r="C332" s="283" t="n">
        <v>329</v>
      </c>
      <c r="D332" s="284" t="s">
        <v>1262</v>
      </c>
      <c r="E332" s="188" t="s">
        <v>496</v>
      </c>
      <c r="F332" s="39" t="n">
        <v>1</v>
      </c>
      <c r="G332" s="40" t="n">
        <v>2</v>
      </c>
      <c r="H332" s="41" t="n">
        <v>3</v>
      </c>
      <c r="I332" s="285" t="n">
        <v>7</v>
      </c>
      <c r="J332" s="183" t="s">
        <v>626</v>
      </c>
      <c r="K332" s="286" t="n">
        <v>3</v>
      </c>
      <c r="L332" s="286" t="n">
        <v>1</v>
      </c>
      <c r="M332" s="188" t="s">
        <v>618</v>
      </c>
      <c r="N332" s="283" t="str">
        <f aca="false">IFERROR(IF(COUNTIF('📝 Daily Log'!$E$3:$E$600,D332)&gt;0,IF(COUNTIFS('📝 Daily Log'!$E$3:$E$600,D332,'📝 Daily Log'!$G$3:$G$600,"✅ Done")&gt;0,"✅ Done",IF(COUNTIFS('📝 Daily Log'!$E$3:$E$600,D332,'📝 Daily Log'!$G$3:$G$600,"🔄 Partial")&gt;0,"🔄 Partial","⬜ Pending")),"⬜ Pending"),"⬜ Pending")</f>
        <v>⬜ Pending</v>
      </c>
      <c r="O332" s="269"/>
      <c r="P332" s="283" t="str">
        <f aca="false">IF(O332&lt;&gt;"",O332,N332)</f>
        <v>⬜ Pending</v>
      </c>
      <c r="Q332" s="270" t="s">
        <v>1263</v>
      </c>
      <c r="R332" s="271" t="str">
        <f aca="false">IF(COUNTIF('📆 Daily Schedule'!$M$5:$M$427,D332)&gt;0,"⚡ In Swap","✅ Available")</f>
        <v>✅ Available</v>
      </c>
    </row>
    <row r="333" customFormat="false" ht="15.75" hidden="false" customHeight="true" outlineLevel="0" collapsed="false">
      <c r="A333" s="32" t="n">
        <v>330</v>
      </c>
      <c r="B333" s="32" t="s">
        <v>1211</v>
      </c>
      <c r="C333" s="76" t="n">
        <v>330</v>
      </c>
      <c r="D333" s="37" t="s">
        <v>1264</v>
      </c>
      <c r="E333" s="188" t="s">
        <v>496</v>
      </c>
      <c r="F333" s="39" t="n">
        <v>0.5</v>
      </c>
      <c r="G333" s="40" t="n">
        <v>1</v>
      </c>
      <c r="H333" s="41" t="n">
        <v>1.5</v>
      </c>
      <c r="I333" s="272" t="n">
        <v>11</v>
      </c>
      <c r="J333" s="36" t="s">
        <v>617</v>
      </c>
      <c r="K333" s="273" t="n">
        <v>4</v>
      </c>
      <c r="L333" s="273" t="n">
        <v>3</v>
      </c>
      <c r="M333" s="188" t="s">
        <v>618</v>
      </c>
      <c r="N333" s="76" t="str">
        <f aca="false">IFERROR(IF(COUNTIF('📝 Daily Log'!$E$3:$E$600,D333)&gt;0,IF(COUNTIFS('📝 Daily Log'!$E$3:$E$600,D333,'📝 Daily Log'!$G$3:$G$600,"✅ Done")&gt;0,"✅ Done",IF(COUNTIFS('📝 Daily Log'!$E$3:$E$600,D333,'📝 Daily Log'!$G$3:$G$600,"🔄 Partial")&gt;0,"🔄 Partial","⬜ Pending")),"⬜ Pending"),"⬜ Pending")</f>
        <v>⬜ Pending</v>
      </c>
      <c r="O333" s="269"/>
      <c r="P333" s="76" t="str">
        <f aca="false">IF(O333&lt;&gt;"",O333,N333)</f>
        <v>⬜ Pending</v>
      </c>
      <c r="Q333" s="270" t="s">
        <v>1265</v>
      </c>
      <c r="R333" s="271" t="str">
        <f aca="false">IF(COUNTIF('📆 Daily Schedule'!$M$5:$M$427,D333)&gt;0,"⚡ In Swap","✅ Available")</f>
        <v>✅ Available</v>
      </c>
    </row>
    <row r="334" customFormat="false" ht="15.75" hidden="false" customHeight="true" outlineLevel="0" collapsed="false">
      <c r="A334" s="32" t="n">
        <v>331</v>
      </c>
      <c r="B334" s="32" t="s">
        <v>1211</v>
      </c>
      <c r="C334" s="283" t="n">
        <v>331</v>
      </c>
      <c r="D334" s="284" t="s">
        <v>1266</v>
      </c>
      <c r="E334" s="188" t="s">
        <v>496</v>
      </c>
      <c r="F334" s="39" t="n">
        <v>0.5</v>
      </c>
      <c r="G334" s="40" t="n">
        <v>1</v>
      </c>
      <c r="H334" s="41" t="n">
        <v>1.5</v>
      </c>
      <c r="I334" s="285" t="n">
        <v>14</v>
      </c>
      <c r="J334" s="274" t="s">
        <v>623</v>
      </c>
      <c r="K334" s="286" t="n">
        <v>5</v>
      </c>
      <c r="L334" s="286" t="n">
        <v>4</v>
      </c>
      <c r="M334" s="188" t="s">
        <v>618</v>
      </c>
      <c r="N334" s="283" t="str">
        <f aca="false">IFERROR(IF(COUNTIF('📝 Daily Log'!$E$3:$E$600,D334)&gt;0,IF(COUNTIFS('📝 Daily Log'!$E$3:$E$600,D334,'📝 Daily Log'!$G$3:$G$600,"✅ Done")&gt;0,"✅ Done",IF(COUNTIFS('📝 Daily Log'!$E$3:$E$600,D334,'📝 Daily Log'!$G$3:$G$600,"🔄 Partial")&gt;0,"🔄 Partial","⬜ Pending")),"⬜ Pending"),"⬜ Pending")</f>
        <v>⬜ Pending</v>
      </c>
      <c r="O334" s="269"/>
      <c r="P334" s="283" t="str">
        <f aca="false">IF(O334&lt;&gt;"",O334,N334)</f>
        <v>⬜ Pending</v>
      </c>
      <c r="Q334" s="270" t="s">
        <v>1267</v>
      </c>
      <c r="R334" s="271" t="str">
        <f aca="false">IF(COUNTIF('📆 Daily Schedule'!$M$5:$M$427,D334)&gt;0,"⚡ In Swap","✅ Available")</f>
        <v>✅ Available</v>
      </c>
    </row>
    <row r="335" customFormat="false" ht="15.75" hidden="false" customHeight="true" outlineLevel="0" collapsed="false">
      <c r="A335" s="32" t="n">
        <v>332</v>
      </c>
      <c r="B335" s="32" t="s">
        <v>1211</v>
      </c>
      <c r="C335" s="76" t="n">
        <v>332</v>
      </c>
      <c r="D335" s="37" t="s">
        <v>1268</v>
      </c>
      <c r="E335" s="188" t="s">
        <v>496</v>
      </c>
      <c r="F335" s="39" t="n">
        <v>0.5</v>
      </c>
      <c r="G335" s="40" t="n">
        <v>1</v>
      </c>
      <c r="H335" s="41" t="n">
        <v>1.5</v>
      </c>
      <c r="I335" s="272" t="n">
        <v>14</v>
      </c>
      <c r="J335" s="274" t="s">
        <v>623</v>
      </c>
      <c r="K335" s="273" t="n">
        <v>5</v>
      </c>
      <c r="L335" s="273" t="n">
        <v>4</v>
      </c>
      <c r="M335" s="188" t="s">
        <v>618</v>
      </c>
      <c r="N335" s="76" t="str">
        <f aca="false">IFERROR(IF(COUNTIF('📝 Daily Log'!$E$3:$E$600,D335)&gt;0,IF(COUNTIFS('📝 Daily Log'!$E$3:$E$600,D335,'📝 Daily Log'!$G$3:$G$600,"✅ Done")&gt;0,"✅ Done",IF(COUNTIFS('📝 Daily Log'!$E$3:$E$600,D335,'📝 Daily Log'!$G$3:$G$600,"🔄 Partial")&gt;0,"🔄 Partial","⬜ Pending")),"⬜ Pending"),"⬜ Pending")</f>
        <v>⬜ Pending</v>
      </c>
      <c r="O335" s="269"/>
      <c r="P335" s="76" t="str">
        <f aca="false">IF(O335&lt;&gt;"",O335,N335)</f>
        <v>⬜ Pending</v>
      </c>
      <c r="Q335" s="270" t="s">
        <v>1269</v>
      </c>
      <c r="R335" s="271" t="str">
        <f aca="false">IF(COUNTIF('📆 Daily Schedule'!$M$5:$M$427,D335)&gt;0,"⚡ In Swap","✅ Available")</f>
        <v>✅ Available</v>
      </c>
    </row>
    <row r="336" customFormat="false" ht="15.75" hidden="false" customHeight="true" outlineLevel="0" collapsed="false">
      <c r="A336" s="32" t="n">
        <v>333</v>
      </c>
      <c r="B336" s="32" t="s">
        <v>1211</v>
      </c>
      <c r="C336" s="283" t="n">
        <v>333</v>
      </c>
      <c r="D336" s="284" t="s">
        <v>1270</v>
      </c>
      <c r="E336" s="188" t="s">
        <v>496</v>
      </c>
      <c r="F336" s="39" t="n">
        <v>0.5</v>
      </c>
      <c r="G336" s="40" t="n">
        <v>1</v>
      </c>
      <c r="H336" s="41" t="n">
        <v>2</v>
      </c>
      <c r="I336" s="285" t="n">
        <v>8</v>
      </c>
      <c r="J336" s="36" t="s">
        <v>617</v>
      </c>
      <c r="K336" s="286" t="n">
        <v>3</v>
      </c>
      <c r="L336" s="286" t="n">
        <v>2</v>
      </c>
      <c r="M336" s="188" t="s">
        <v>618</v>
      </c>
      <c r="N336" s="283" t="str">
        <f aca="false">IFERROR(IF(COUNTIF('📝 Daily Log'!$E$3:$E$600,D336)&gt;0,IF(COUNTIFS('📝 Daily Log'!$E$3:$E$600,D336,'📝 Daily Log'!$G$3:$G$600,"✅ Done")&gt;0,"✅ Done",IF(COUNTIFS('📝 Daily Log'!$E$3:$E$600,D336,'📝 Daily Log'!$G$3:$G$600,"🔄 Partial")&gt;0,"🔄 Partial","⬜ Pending")),"⬜ Pending"),"⬜ Pending")</f>
        <v>⬜ Pending</v>
      </c>
      <c r="O336" s="269"/>
      <c r="P336" s="283" t="str">
        <f aca="false">IF(O336&lt;&gt;"",O336,N336)</f>
        <v>⬜ Pending</v>
      </c>
      <c r="Q336" s="270" t="s">
        <v>1271</v>
      </c>
      <c r="R336" s="271" t="str">
        <f aca="false">IF(COUNTIF('📆 Daily Schedule'!$M$5:$M$427,D336)&gt;0,"⚡ In Swap","✅ Available")</f>
        <v>✅ Available</v>
      </c>
    </row>
    <row r="337" customFormat="false" ht="15.75" hidden="false" customHeight="true" outlineLevel="0" collapsed="false">
      <c r="A337" s="32" t="n">
        <v>334</v>
      </c>
      <c r="B337" s="32" t="s">
        <v>1211</v>
      </c>
      <c r="C337" s="76" t="n">
        <v>334</v>
      </c>
      <c r="D337" s="37" t="s">
        <v>1272</v>
      </c>
      <c r="E337" s="188" t="s">
        <v>496</v>
      </c>
      <c r="F337" s="39" t="n">
        <v>0.3</v>
      </c>
      <c r="G337" s="40" t="n">
        <v>0.5</v>
      </c>
      <c r="H337" s="41" t="n">
        <v>0.75</v>
      </c>
      <c r="I337" s="272" t="n">
        <v>14</v>
      </c>
      <c r="J337" s="274" t="s">
        <v>623</v>
      </c>
      <c r="K337" s="273" t="n">
        <v>5</v>
      </c>
      <c r="L337" s="273" t="n">
        <v>4</v>
      </c>
      <c r="M337" s="188" t="s">
        <v>618</v>
      </c>
      <c r="N337" s="76" t="str">
        <f aca="false">IFERROR(IF(COUNTIF('📝 Daily Log'!$E$3:$E$600,D337)&gt;0,IF(COUNTIFS('📝 Daily Log'!$E$3:$E$600,D337,'📝 Daily Log'!$G$3:$G$600,"✅ Done")&gt;0,"✅ Done",IF(COUNTIFS('📝 Daily Log'!$E$3:$E$600,D337,'📝 Daily Log'!$G$3:$G$600,"🔄 Partial")&gt;0,"🔄 Partial","⬜ Pending")),"⬜ Pending"),"⬜ Pending")</f>
        <v>⬜ Pending</v>
      </c>
      <c r="O337" s="269"/>
      <c r="P337" s="76" t="str">
        <f aca="false">IF(O337&lt;&gt;"",O337,N337)</f>
        <v>⬜ Pending</v>
      </c>
      <c r="Q337" s="270" t="s">
        <v>1273</v>
      </c>
      <c r="R337" s="271" t="str">
        <f aca="false">IF(COUNTIF('📆 Daily Schedule'!$M$5:$M$427,D337)&gt;0,"⚡ In Swap","✅ Available")</f>
        <v>✅ Available</v>
      </c>
    </row>
    <row r="338" customFormat="false" ht="15.75" hidden="false" customHeight="true" outlineLevel="0" collapsed="false">
      <c r="A338" s="32" t="n">
        <v>335</v>
      </c>
      <c r="B338" s="32" t="s">
        <v>1211</v>
      </c>
      <c r="C338" s="283" t="n">
        <v>335</v>
      </c>
      <c r="D338" s="284" t="s">
        <v>1274</v>
      </c>
      <c r="E338" s="188" t="s">
        <v>496</v>
      </c>
      <c r="F338" s="39" t="n">
        <v>1</v>
      </c>
      <c r="G338" s="40" t="n">
        <v>1.5</v>
      </c>
      <c r="H338" s="41" t="n">
        <v>2</v>
      </c>
      <c r="I338" s="285" t="n">
        <v>11</v>
      </c>
      <c r="J338" s="36" t="s">
        <v>617</v>
      </c>
      <c r="K338" s="286" t="n">
        <v>5</v>
      </c>
      <c r="L338" s="286" t="n">
        <v>1</v>
      </c>
      <c r="M338" s="188" t="s">
        <v>618</v>
      </c>
      <c r="N338" s="283" t="str">
        <f aca="false">IFERROR(IF(COUNTIF('📝 Daily Log'!$E$3:$E$600,D338)&gt;0,IF(COUNTIFS('📝 Daily Log'!$E$3:$E$600,D338,'📝 Daily Log'!$G$3:$G$600,"✅ Done")&gt;0,"✅ Done",IF(COUNTIFS('📝 Daily Log'!$E$3:$E$600,D338,'📝 Daily Log'!$G$3:$G$600,"🔄 Partial")&gt;0,"🔄 Partial","⬜ Pending")),"⬜ Pending"),"⬜ Pending")</f>
        <v>⬜ Pending</v>
      </c>
      <c r="O338" s="269"/>
      <c r="P338" s="283" t="str">
        <f aca="false">IF(O338&lt;&gt;"",O338,N338)</f>
        <v>⬜ Pending</v>
      </c>
      <c r="Q338" s="270" t="s">
        <v>1275</v>
      </c>
      <c r="R338" s="271" t="str">
        <f aca="false">IF(COUNTIF('📆 Daily Schedule'!$M$5:$M$427,D338)&gt;0,"⚡ In Swap","✅ Available")</f>
        <v>✅ Available</v>
      </c>
    </row>
    <row r="339" customFormat="false" ht="15.75" hidden="false" customHeight="true" outlineLevel="0" collapsed="false">
      <c r="A339" s="32" t="n">
        <v>336</v>
      </c>
      <c r="B339" s="32" t="s">
        <v>1211</v>
      </c>
      <c r="C339" s="76" t="n">
        <v>336</v>
      </c>
      <c r="D339" s="37" t="s">
        <v>1276</v>
      </c>
      <c r="E339" s="188" t="s">
        <v>496</v>
      </c>
      <c r="F339" s="39" t="n">
        <v>2</v>
      </c>
      <c r="G339" s="40" t="n">
        <v>3</v>
      </c>
      <c r="H339" s="41" t="n">
        <v>4</v>
      </c>
      <c r="I339" s="272" t="n">
        <v>14</v>
      </c>
      <c r="J339" s="274" t="s">
        <v>623</v>
      </c>
      <c r="K339" s="273" t="n">
        <v>5</v>
      </c>
      <c r="L339" s="273" t="n">
        <v>4</v>
      </c>
      <c r="M339" s="188" t="s">
        <v>618</v>
      </c>
      <c r="N339" s="76" t="str">
        <f aca="false">IFERROR(IF(COUNTIF('📝 Daily Log'!$E$3:$E$600,D339)&gt;0,IF(COUNTIFS('📝 Daily Log'!$E$3:$E$600,D339,'📝 Daily Log'!$G$3:$G$600,"✅ Done")&gt;0,"✅ Done",IF(COUNTIFS('📝 Daily Log'!$E$3:$E$600,D339,'📝 Daily Log'!$G$3:$G$600,"🔄 Partial")&gt;0,"🔄 Partial","⬜ Pending")),"⬜ Pending"),"⬜ Pending")</f>
        <v>⬜ Pending</v>
      </c>
      <c r="O339" s="269"/>
      <c r="P339" s="76" t="str">
        <f aca="false">IF(O339&lt;&gt;"",O339,N339)</f>
        <v>⬜ Pending</v>
      </c>
      <c r="Q339" s="270" t="s">
        <v>1277</v>
      </c>
      <c r="R339" s="271" t="str">
        <f aca="false">IF(COUNTIF('📆 Daily Schedule'!$M$5:$M$427,D339)&gt;0,"⚡ In Swap","✅ Available")</f>
        <v>✅ Available</v>
      </c>
    </row>
    <row r="340" customFormat="false" ht="15.75" hidden="false" customHeight="true" outlineLevel="0" collapsed="false">
      <c r="A340" s="32" t="n">
        <v>337</v>
      </c>
      <c r="B340" s="32" t="s">
        <v>1211</v>
      </c>
      <c r="C340" s="283" t="n">
        <v>337</v>
      </c>
      <c r="D340" s="284" t="s">
        <v>1278</v>
      </c>
      <c r="E340" s="188" t="s">
        <v>496</v>
      </c>
      <c r="F340" s="39" t="n">
        <v>0.5</v>
      </c>
      <c r="G340" s="40" t="n">
        <v>0.75</v>
      </c>
      <c r="H340" s="41" t="n">
        <v>1</v>
      </c>
      <c r="I340" s="285" t="n">
        <v>11</v>
      </c>
      <c r="J340" s="36" t="s">
        <v>617</v>
      </c>
      <c r="K340" s="286" t="n">
        <v>4</v>
      </c>
      <c r="L340" s="286" t="n">
        <v>3</v>
      </c>
      <c r="M340" s="188" t="s">
        <v>618</v>
      </c>
      <c r="N340" s="283" t="str">
        <f aca="false">IFERROR(IF(COUNTIF('📝 Daily Log'!$E$3:$E$600,D340)&gt;0,IF(COUNTIFS('📝 Daily Log'!$E$3:$E$600,D340,'📝 Daily Log'!$G$3:$G$600,"✅ Done")&gt;0,"✅ Done",IF(COUNTIFS('📝 Daily Log'!$E$3:$E$600,D340,'📝 Daily Log'!$G$3:$G$600,"🔄 Partial")&gt;0,"🔄 Partial","⬜ Pending")),"⬜ Pending"),"⬜ Pending")</f>
        <v>⬜ Pending</v>
      </c>
      <c r="O340" s="269"/>
      <c r="P340" s="283" t="str">
        <f aca="false">IF(O340&lt;&gt;"",O340,N340)</f>
        <v>⬜ Pending</v>
      </c>
      <c r="Q340" s="270" t="s">
        <v>1279</v>
      </c>
      <c r="R340" s="271" t="str">
        <f aca="false">IF(COUNTIF('📆 Daily Schedule'!$M$5:$M$427,D340)&gt;0,"⚡ In Swap","✅ Available")</f>
        <v>✅ Available</v>
      </c>
    </row>
    <row r="341" customFormat="false" ht="15.75" hidden="false" customHeight="true" outlineLevel="0" collapsed="false">
      <c r="A341" s="32" t="n">
        <v>338</v>
      </c>
      <c r="B341" s="32" t="s">
        <v>1211</v>
      </c>
      <c r="C341" s="76" t="n">
        <v>338</v>
      </c>
      <c r="D341" s="37" t="s">
        <v>1280</v>
      </c>
      <c r="E341" s="188" t="s">
        <v>496</v>
      </c>
      <c r="F341" s="39" t="n">
        <v>0.5</v>
      </c>
      <c r="G341" s="40" t="n">
        <v>0.75</v>
      </c>
      <c r="H341" s="41" t="n">
        <v>1</v>
      </c>
      <c r="I341" s="272" t="n">
        <v>11</v>
      </c>
      <c r="J341" s="36" t="s">
        <v>617</v>
      </c>
      <c r="K341" s="273" t="n">
        <v>4</v>
      </c>
      <c r="L341" s="273" t="n">
        <v>3</v>
      </c>
      <c r="M341" s="188" t="s">
        <v>618</v>
      </c>
      <c r="N341" s="76" t="str">
        <f aca="false">IFERROR(IF(COUNTIF('📝 Daily Log'!$E$3:$E$600,D341)&gt;0,IF(COUNTIFS('📝 Daily Log'!$E$3:$E$600,D341,'📝 Daily Log'!$G$3:$G$600,"✅ Done")&gt;0,"✅ Done",IF(COUNTIFS('📝 Daily Log'!$E$3:$E$600,D341,'📝 Daily Log'!$G$3:$G$600,"🔄 Partial")&gt;0,"🔄 Partial","⬜ Pending")),"⬜ Pending"),"⬜ Pending")</f>
        <v>⬜ Pending</v>
      </c>
      <c r="O341" s="269"/>
      <c r="P341" s="76" t="str">
        <f aca="false">IF(O341&lt;&gt;"",O341,N341)</f>
        <v>⬜ Pending</v>
      </c>
      <c r="Q341" s="270" t="s">
        <v>1281</v>
      </c>
      <c r="R341" s="271" t="str">
        <f aca="false">IF(COUNTIF('📆 Daily Schedule'!$M$5:$M$427,D341)&gt;0,"⚡ In Swap","✅ Available")</f>
        <v>✅ Available</v>
      </c>
    </row>
    <row r="342" customFormat="false" ht="15.75" hidden="false" customHeight="true" outlineLevel="0" collapsed="false">
      <c r="A342" s="32" t="n">
        <v>339</v>
      </c>
      <c r="B342" s="32" t="s">
        <v>1211</v>
      </c>
      <c r="C342" s="283" t="n">
        <v>339</v>
      </c>
      <c r="D342" s="284" t="s">
        <v>1282</v>
      </c>
      <c r="E342" s="188" t="s">
        <v>496</v>
      </c>
      <c r="F342" s="39" t="n">
        <v>0.5</v>
      </c>
      <c r="G342" s="40" t="n">
        <v>0.75</v>
      </c>
      <c r="H342" s="41" t="n">
        <v>1</v>
      </c>
      <c r="I342" s="285" t="n">
        <v>13</v>
      </c>
      <c r="J342" s="274" t="s">
        <v>623</v>
      </c>
      <c r="K342" s="286" t="n">
        <v>5</v>
      </c>
      <c r="L342" s="286" t="n">
        <v>3</v>
      </c>
      <c r="M342" s="188" t="s">
        <v>618</v>
      </c>
      <c r="N342" s="283" t="str">
        <f aca="false">IFERROR(IF(COUNTIF('📝 Daily Log'!$E$3:$E$600,D342)&gt;0,IF(COUNTIFS('📝 Daily Log'!$E$3:$E$600,D342,'📝 Daily Log'!$G$3:$G$600,"✅ Done")&gt;0,"✅ Done",IF(COUNTIFS('📝 Daily Log'!$E$3:$E$600,D342,'📝 Daily Log'!$G$3:$G$600,"🔄 Partial")&gt;0,"🔄 Partial","⬜ Pending")),"⬜ Pending"),"⬜ Pending")</f>
        <v>⬜ Pending</v>
      </c>
      <c r="O342" s="269"/>
      <c r="P342" s="283" t="str">
        <f aca="false">IF(O342&lt;&gt;"",O342,N342)</f>
        <v>⬜ Pending</v>
      </c>
      <c r="Q342" s="270" t="s">
        <v>1283</v>
      </c>
      <c r="R342" s="271" t="str">
        <f aca="false">IF(COUNTIF('📆 Daily Schedule'!$M$5:$M$427,D342)&gt;0,"⚡ In Swap","✅ Available")</f>
        <v>✅ Available</v>
      </c>
    </row>
    <row r="343" customFormat="false" ht="15.75" hidden="false" customHeight="true" outlineLevel="0" collapsed="false">
      <c r="A343" s="32" t="n">
        <v>340</v>
      </c>
      <c r="B343" s="32" t="s">
        <v>1211</v>
      </c>
      <c r="C343" s="76" t="n">
        <v>340</v>
      </c>
      <c r="D343" s="37" t="s">
        <v>1284</v>
      </c>
      <c r="E343" s="188" t="s">
        <v>496</v>
      </c>
      <c r="F343" s="39" t="n">
        <v>0.5</v>
      </c>
      <c r="G343" s="40" t="n">
        <v>0.75</v>
      </c>
      <c r="H343" s="41" t="n">
        <v>1</v>
      </c>
      <c r="I343" s="272" t="n">
        <v>13</v>
      </c>
      <c r="J343" s="274" t="s">
        <v>623</v>
      </c>
      <c r="K343" s="273" t="n">
        <v>5</v>
      </c>
      <c r="L343" s="273" t="n">
        <v>3</v>
      </c>
      <c r="M343" s="188" t="s">
        <v>618</v>
      </c>
      <c r="N343" s="76" t="str">
        <f aca="false">IFERROR(IF(COUNTIF('📝 Daily Log'!$E$3:$E$600,D343)&gt;0,IF(COUNTIFS('📝 Daily Log'!$E$3:$E$600,D343,'📝 Daily Log'!$G$3:$G$600,"✅ Done")&gt;0,"✅ Done",IF(COUNTIFS('📝 Daily Log'!$E$3:$E$600,D343,'📝 Daily Log'!$G$3:$G$600,"🔄 Partial")&gt;0,"🔄 Partial","⬜ Pending")),"⬜ Pending"),"⬜ Pending")</f>
        <v>⬜ Pending</v>
      </c>
      <c r="O343" s="269"/>
      <c r="P343" s="76" t="str">
        <f aca="false">IF(O343&lt;&gt;"",O343,N343)</f>
        <v>⬜ Pending</v>
      </c>
      <c r="Q343" s="270" t="s">
        <v>1285</v>
      </c>
      <c r="R343" s="271" t="str">
        <f aca="false">IF(COUNTIF('📆 Daily Schedule'!$M$5:$M$427,D343)&gt;0,"⚡ In Swap","✅ Available")</f>
        <v>✅ Available</v>
      </c>
    </row>
    <row r="344" customFormat="false" ht="15.75" hidden="false" customHeight="true" outlineLevel="0" collapsed="false">
      <c r="A344" s="32" t="n">
        <v>341</v>
      </c>
      <c r="B344" s="32" t="s">
        <v>1211</v>
      </c>
      <c r="C344" s="283" t="n">
        <v>341</v>
      </c>
      <c r="D344" s="284" t="s">
        <v>1286</v>
      </c>
      <c r="E344" s="188" t="s">
        <v>496</v>
      </c>
      <c r="F344" s="39" t="n">
        <v>0.3</v>
      </c>
      <c r="G344" s="40" t="n">
        <v>0.5</v>
      </c>
      <c r="H344" s="41" t="n">
        <v>0.75</v>
      </c>
      <c r="I344" s="285" t="n">
        <v>14</v>
      </c>
      <c r="J344" s="274" t="s">
        <v>623</v>
      </c>
      <c r="K344" s="286" t="n">
        <v>5</v>
      </c>
      <c r="L344" s="286" t="n">
        <v>4</v>
      </c>
      <c r="M344" s="188" t="s">
        <v>618</v>
      </c>
      <c r="N344" s="283" t="str">
        <f aca="false">IFERROR(IF(COUNTIF('📝 Daily Log'!$E$3:$E$600,D344)&gt;0,IF(COUNTIFS('📝 Daily Log'!$E$3:$E$600,D344,'📝 Daily Log'!$G$3:$G$600,"✅ Done")&gt;0,"✅ Done",IF(COUNTIFS('📝 Daily Log'!$E$3:$E$600,D344,'📝 Daily Log'!$G$3:$G$600,"🔄 Partial")&gt;0,"🔄 Partial","⬜ Pending")),"⬜ Pending"),"⬜ Pending")</f>
        <v>⬜ Pending</v>
      </c>
      <c r="O344" s="269"/>
      <c r="P344" s="283" t="str">
        <f aca="false">IF(O344&lt;&gt;"",O344,N344)</f>
        <v>⬜ Pending</v>
      </c>
      <c r="Q344" s="270" t="s">
        <v>571</v>
      </c>
      <c r="R344" s="271" t="str">
        <f aca="false">IF(COUNTIF('📆 Daily Schedule'!$M$5:$M$427,D344)&gt;0,"⚡ In Swap","✅ Available")</f>
        <v>✅ Available</v>
      </c>
    </row>
    <row r="345" customFormat="false" ht="15.75" hidden="false" customHeight="true" outlineLevel="0" collapsed="false">
      <c r="A345" s="32" t="n">
        <v>342</v>
      </c>
      <c r="B345" s="32" t="s">
        <v>1211</v>
      </c>
      <c r="C345" s="76" t="n">
        <v>342</v>
      </c>
      <c r="D345" s="37" t="s">
        <v>1287</v>
      </c>
      <c r="E345" s="188" t="s">
        <v>496</v>
      </c>
      <c r="F345" s="39" t="n">
        <v>1</v>
      </c>
      <c r="G345" s="40" t="n">
        <v>2</v>
      </c>
      <c r="H345" s="41" t="n">
        <v>3</v>
      </c>
      <c r="I345" s="272" t="n">
        <v>11</v>
      </c>
      <c r="J345" s="36" t="s">
        <v>617</v>
      </c>
      <c r="K345" s="273" t="n">
        <v>5</v>
      </c>
      <c r="L345" s="273" t="n">
        <v>1</v>
      </c>
      <c r="M345" s="188" t="s">
        <v>618</v>
      </c>
      <c r="N345" s="76" t="str">
        <f aca="false">IFERROR(IF(COUNTIF('📝 Daily Log'!$E$3:$E$600,D345)&gt;0,IF(COUNTIFS('📝 Daily Log'!$E$3:$E$600,D345,'📝 Daily Log'!$G$3:$G$600,"✅ Done")&gt;0,"✅ Done",IF(COUNTIFS('📝 Daily Log'!$E$3:$E$600,D345,'📝 Daily Log'!$G$3:$G$600,"🔄 Partial")&gt;0,"🔄 Partial","⬜ Pending")),"⬜ Pending"),"⬜ Pending")</f>
        <v>⬜ Pending</v>
      </c>
      <c r="O345" s="269"/>
      <c r="P345" s="76" t="str">
        <f aca="false">IF(O345&lt;&gt;"",O345,N345)</f>
        <v>⬜ Pending</v>
      </c>
      <c r="Q345" s="270" t="s">
        <v>1288</v>
      </c>
      <c r="R345" s="271" t="str">
        <f aca="false">IF(COUNTIF('📆 Daily Schedule'!$M$5:$M$427,D345)&gt;0,"⚡ In Swap","✅ Available")</f>
        <v>✅ Available</v>
      </c>
    </row>
    <row r="346" customFormat="false" ht="15.75" hidden="false" customHeight="true" outlineLevel="0" collapsed="false">
      <c r="A346" s="32" t="n">
        <v>343</v>
      </c>
      <c r="B346" s="32" t="s">
        <v>1211</v>
      </c>
      <c r="C346" s="283" t="n">
        <v>343</v>
      </c>
      <c r="D346" s="284" t="s">
        <v>1289</v>
      </c>
      <c r="E346" s="188" t="s">
        <v>496</v>
      </c>
      <c r="F346" s="39" t="n">
        <v>0.5</v>
      </c>
      <c r="G346" s="40" t="n">
        <v>1</v>
      </c>
      <c r="H346" s="41" t="n">
        <v>2</v>
      </c>
      <c r="I346" s="285" t="n">
        <v>7</v>
      </c>
      <c r="J346" s="183" t="s">
        <v>626</v>
      </c>
      <c r="K346" s="286" t="n">
        <v>3</v>
      </c>
      <c r="L346" s="286" t="n">
        <v>1</v>
      </c>
      <c r="M346" s="188" t="s">
        <v>618</v>
      </c>
      <c r="N346" s="283" t="str">
        <f aca="false">IFERROR(IF(COUNTIF('📝 Daily Log'!$E$3:$E$600,D346)&gt;0,IF(COUNTIFS('📝 Daily Log'!$E$3:$E$600,D346,'📝 Daily Log'!$G$3:$G$600,"✅ Done")&gt;0,"✅ Done",IF(COUNTIFS('📝 Daily Log'!$E$3:$E$600,D346,'📝 Daily Log'!$G$3:$G$600,"🔄 Partial")&gt;0,"🔄 Partial","⬜ Pending")),"⬜ Pending"),"⬜ Pending")</f>
        <v>⬜ Pending</v>
      </c>
      <c r="O346" s="269"/>
      <c r="P346" s="283" t="str">
        <f aca="false">IF(O346&lt;&gt;"",O346,N346)</f>
        <v>⬜ Pending</v>
      </c>
      <c r="Q346" s="270" t="s">
        <v>1290</v>
      </c>
      <c r="R346" s="271" t="str">
        <f aca="false">IF(COUNTIF('📆 Daily Schedule'!$M$5:$M$427,D346)&gt;0,"⚡ In Swap","✅ Available")</f>
        <v>✅ Available</v>
      </c>
    </row>
    <row r="347" customFormat="false" ht="15.75" hidden="false" customHeight="true" outlineLevel="0" collapsed="false">
      <c r="A347" s="32" t="n">
        <v>344</v>
      </c>
      <c r="B347" s="32" t="s">
        <v>1211</v>
      </c>
      <c r="C347" s="76" t="n">
        <v>344</v>
      </c>
      <c r="D347" s="37" t="s">
        <v>1291</v>
      </c>
      <c r="E347" s="188" t="s">
        <v>496</v>
      </c>
      <c r="F347" s="39" t="n">
        <v>0.5</v>
      </c>
      <c r="G347" s="40" t="n">
        <v>1.5</v>
      </c>
      <c r="H347" s="41" t="n">
        <v>3</v>
      </c>
      <c r="I347" s="272" t="n">
        <v>13</v>
      </c>
      <c r="J347" s="274" t="s">
        <v>623</v>
      </c>
      <c r="K347" s="273" t="n">
        <v>5</v>
      </c>
      <c r="L347" s="273" t="n">
        <v>3</v>
      </c>
      <c r="M347" s="188" t="s">
        <v>618</v>
      </c>
      <c r="N347" s="76" t="str">
        <f aca="false">IFERROR(IF(COUNTIF('📝 Daily Log'!$E$3:$E$600,D347)&gt;0,IF(COUNTIFS('📝 Daily Log'!$E$3:$E$600,D347,'📝 Daily Log'!$G$3:$G$600,"✅ Done")&gt;0,"✅ Done",IF(COUNTIFS('📝 Daily Log'!$E$3:$E$600,D347,'📝 Daily Log'!$G$3:$G$600,"🔄 Partial")&gt;0,"🔄 Partial","⬜ Pending")),"⬜ Pending"),"⬜ Pending")</f>
        <v>⬜ Pending</v>
      </c>
      <c r="O347" s="269"/>
      <c r="P347" s="76" t="str">
        <f aca="false">IF(O347&lt;&gt;"",O347,N347)</f>
        <v>⬜ Pending</v>
      </c>
      <c r="Q347" s="270" t="s">
        <v>1292</v>
      </c>
      <c r="R347" s="271" t="str">
        <f aca="false">IF(COUNTIF('📆 Daily Schedule'!$M$5:$M$427,D347)&gt;0,"⚡ In Swap","✅ Available")</f>
        <v>✅ Available</v>
      </c>
    </row>
    <row r="348" customFormat="false" ht="15.75" hidden="false" customHeight="true" outlineLevel="0" collapsed="false">
      <c r="A348" s="32" t="n">
        <v>345</v>
      </c>
      <c r="B348" s="32" t="s">
        <v>1211</v>
      </c>
      <c r="C348" s="283" t="n">
        <v>345</v>
      </c>
      <c r="D348" s="284" t="s">
        <v>1293</v>
      </c>
      <c r="E348" s="188" t="s">
        <v>496</v>
      </c>
      <c r="F348" s="39" t="n">
        <v>0.5</v>
      </c>
      <c r="G348" s="40" t="n">
        <v>1</v>
      </c>
      <c r="H348" s="41" t="n">
        <v>2</v>
      </c>
      <c r="I348" s="285" t="n">
        <v>14</v>
      </c>
      <c r="J348" s="274" t="s">
        <v>623</v>
      </c>
      <c r="K348" s="286" t="n">
        <v>5</v>
      </c>
      <c r="L348" s="286" t="n">
        <v>4</v>
      </c>
      <c r="M348" s="188" t="s">
        <v>618</v>
      </c>
      <c r="N348" s="283" t="str">
        <f aca="false">IFERROR(IF(COUNTIF('📝 Daily Log'!$E$3:$E$600,D348)&gt;0,IF(COUNTIFS('📝 Daily Log'!$E$3:$E$600,D348,'📝 Daily Log'!$G$3:$G$600,"✅ Done")&gt;0,"✅ Done",IF(COUNTIFS('📝 Daily Log'!$E$3:$E$600,D348,'📝 Daily Log'!$G$3:$G$600,"🔄 Partial")&gt;0,"🔄 Partial","⬜ Pending")),"⬜ Pending"),"⬜ Pending")</f>
        <v>⬜ Pending</v>
      </c>
      <c r="O348" s="269"/>
      <c r="P348" s="283" t="str">
        <f aca="false">IF(O348&lt;&gt;"",O348,N348)</f>
        <v>⬜ Pending</v>
      </c>
      <c r="Q348" s="270" t="s">
        <v>1072</v>
      </c>
      <c r="R348" s="271" t="str">
        <f aca="false">IF(COUNTIF('📆 Daily Schedule'!$M$5:$M$427,D348)&gt;0,"⚡ In Swap","✅ Available")</f>
        <v>✅ Available</v>
      </c>
    </row>
    <row r="349" customFormat="false" ht="15.75" hidden="false" customHeight="true" outlineLevel="0" collapsed="false">
      <c r="A349" s="32" t="n">
        <v>346</v>
      </c>
      <c r="B349" s="32" t="s">
        <v>1211</v>
      </c>
      <c r="C349" s="76" t="n">
        <v>346</v>
      </c>
      <c r="D349" s="37" t="s">
        <v>1294</v>
      </c>
      <c r="E349" s="188" t="s">
        <v>496</v>
      </c>
      <c r="F349" s="39" t="n">
        <v>0.5</v>
      </c>
      <c r="G349" s="40" t="n">
        <v>1</v>
      </c>
      <c r="H349" s="41" t="n">
        <v>1.5</v>
      </c>
      <c r="I349" s="272" t="n">
        <v>14</v>
      </c>
      <c r="J349" s="274" t="s">
        <v>623</v>
      </c>
      <c r="K349" s="273" t="n">
        <v>5</v>
      </c>
      <c r="L349" s="273" t="n">
        <v>4</v>
      </c>
      <c r="M349" s="188" t="s">
        <v>618</v>
      </c>
      <c r="N349" s="76" t="str">
        <f aca="false">IFERROR(IF(COUNTIF('📝 Daily Log'!$E$3:$E$600,D349)&gt;0,IF(COUNTIFS('📝 Daily Log'!$E$3:$E$600,D349,'📝 Daily Log'!$G$3:$G$600,"✅ Done")&gt;0,"✅ Done",IF(COUNTIFS('📝 Daily Log'!$E$3:$E$600,D349,'📝 Daily Log'!$G$3:$G$600,"🔄 Partial")&gt;0,"🔄 Partial","⬜ Pending")),"⬜ Pending"),"⬜ Pending")</f>
        <v>⬜ Pending</v>
      </c>
      <c r="O349" s="269"/>
      <c r="P349" s="76" t="str">
        <f aca="false">IF(O349&lt;&gt;"",O349,N349)</f>
        <v>⬜ Pending</v>
      </c>
      <c r="Q349" s="270" t="s">
        <v>1273</v>
      </c>
      <c r="R349" s="271" t="str">
        <f aca="false">IF(COUNTIF('📆 Daily Schedule'!$M$5:$M$427,D349)&gt;0,"⚡ In Swap","✅ Available")</f>
        <v>✅ Available</v>
      </c>
    </row>
    <row r="350" customFormat="false" ht="15.75" hidden="false" customHeight="true" outlineLevel="0" collapsed="false">
      <c r="A350" s="32" t="n">
        <v>347</v>
      </c>
      <c r="B350" s="32" t="s">
        <v>1211</v>
      </c>
      <c r="C350" s="283" t="n">
        <v>347</v>
      </c>
      <c r="D350" s="284" t="s">
        <v>1295</v>
      </c>
      <c r="E350" s="188" t="s">
        <v>496</v>
      </c>
      <c r="F350" s="39" t="n">
        <v>0.5</v>
      </c>
      <c r="G350" s="40" t="n">
        <v>0.75</v>
      </c>
      <c r="H350" s="41" t="n">
        <v>1</v>
      </c>
      <c r="I350" s="285" t="n">
        <v>12</v>
      </c>
      <c r="J350" s="274" t="s">
        <v>623</v>
      </c>
      <c r="K350" s="286" t="n">
        <v>5</v>
      </c>
      <c r="L350" s="286" t="n">
        <v>2</v>
      </c>
      <c r="M350" s="188" t="s">
        <v>618</v>
      </c>
      <c r="N350" s="283" t="str">
        <f aca="false">IFERROR(IF(COUNTIF('📝 Daily Log'!$E$3:$E$600,D350)&gt;0,IF(COUNTIFS('📝 Daily Log'!$E$3:$E$600,D350,'📝 Daily Log'!$G$3:$G$600,"✅ Done")&gt;0,"✅ Done",IF(COUNTIFS('📝 Daily Log'!$E$3:$E$600,D350,'📝 Daily Log'!$G$3:$G$600,"🔄 Partial")&gt;0,"🔄 Partial","⬜ Pending")),"⬜ Pending"),"⬜ Pending")</f>
        <v>⬜ Pending</v>
      </c>
      <c r="O350" s="269"/>
      <c r="P350" s="283" t="str">
        <f aca="false">IF(O350&lt;&gt;"",O350,N350)</f>
        <v>⬜ Pending</v>
      </c>
      <c r="Q350" s="270" t="s">
        <v>1296</v>
      </c>
      <c r="R350" s="271" t="str">
        <f aca="false">IF(COUNTIF('📆 Daily Schedule'!$M$5:$M$427,D350)&gt;0,"⚡ In Swap","✅ Available")</f>
        <v>✅ Available</v>
      </c>
    </row>
    <row r="351" customFormat="false" ht="15.75" hidden="false" customHeight="true" outlineLevel="0" collapsed="false">
      <c r="A351" s="32" t="n">
        <v>348</v>
      </c>
      <c r="B351" s="32" t="s">
        <v>1211</v>
      </c>
      <c r="C351" s="76" t="n">
        <v>348</v>
      </c>
      <c r="D351" s="37" t="s">
        <v>1297</v>
      </c>
      <c r="E351" s="188" t="s">
        <v>496</v>
      </c>
      <c r="F351" s="39" t="n">
        <v>0.3</v>
      </c>
      <c r="G351" s="40" t="n">
        <v>0.5</v>
      </c>
      <c r="H351" s="41" t="n">
        <v>0.75</v>
      </c>
      <c r="I351" s="272" t="n">
        <v>14</v>
      </c>
      <c r="J351" s="274" t="s">
        <v>623</v>
      </c>
      <c r="K351" s="273" t="n">
        <v>5</v>
      </c>
      <c r="L351" s="273" t="n">
        <v>4</v>
      </c>
      <c r="M351" s="188" t="s">
        <v>618</v>
      </c>
      <c r="N351" s="76" t="str">
        <f aca="false">IFERROR(IF(COUNTIF('📝 Daily Log'!$E$3:$E$600,D351)&gt;0,IF(COUNTIFS('📝 Daily Log'!$E$3:$E$600,D351,'📝 Daily Log'!$G$3:$G$600,"✅ Done")&gt;0,"✅ Done",IF(COUNTIFS('📝 Daily Log'!$E$3:$E$600,D351,'📝 Daily Log'!$G$3:$G$600,"🔄 Partial")&gt;0,"🔄 Partial","⬜ Pending")),"⬜ Pending"),"⬜ Pending")</f>
        <v>⬜ Pending</v>
      </c>
      <c r="O351" s="269"/>
      <c r="P351" s="76" t="str">
        <f aca="false">IF(O351&lt;&gt;"",O351,N351)</f>
        <v>⬜ Pending</v>
      </c>
      <c r="Q351" s="270" t="s">
        <v>571</v>
      </c>
      <c r="R351" s="271" t="str">
        <f aca="false">IF(COUNTIF('📆 Daily Schedule'!$M$5:$M$427,D351)&gt;0,"⚡ In Swap","✅ Available")</f>
        <v>✅ Available</v>
      </c>
    </row>
    <row r="352" customFormat="false" ht="15.75" hidden="false" customHeight="true" outlineLevel="0" collapsed="false">
      <c r="A352" s="32" t="n">
        <v>349</v>
      </c>
      <c r="B352" s="32" t="s">
        <v>1211</v>
      </c>
      <c r="C352" s="283" t="n">
        <v>349</v>
      </c>
      <c r="D352" s="284" t="s">
        <v>1298</v>
      </c>
      <c r="E352" s="188" t="s">
        <v>496</v>
      </c>
      <c r="F352" s="39" t="n">
        <v>1</v>
      </c>
      <c r="G352" s="40" t="n">
        <v>1.5</v>
      </c>
      <c r="H352" s="41" t="n">
        <v>2</v>
      </c>
      <c r="I352" s="285" t="n">
        <v>11</v>
      </c>
      <c r="J352" s="36" t="s">
        <v>617</v>
      </c>
      <c r="K352" s="286" t="n">
        <v>5</v>
      </c>
      <c r="L352" s="286" t="n">
        <v>1</v>
      </c>
      <c r="M352" s="188" t="s">
        <v>618</v>
      </c>
      <c r="N352" s="283" t="str">
        <f aca="false">IFERROR(IF(COUNTIF('📝 Daily Log'!$E$3:$E$600,D352)&gt;0,IF(COUNTIFS('📝 Daily Log'!$E$3:$E$600,D352,'📝 Daily Log'!$G$3:$G$600,"✅ Done")&gt;0,"✅ Done",IF(COUNTIFS('📝 Daily Log'!$E$3:$E$600,D352,'📝 Daily Log'!$G$3:$G$600,"🔄 Partial")&gt;0,"🔄 Partial","⬜ Pending")),"⬜ Pending"),"⬜ Pending")</f>
        <v>⬜ Pending</v>
      </c>
      <c r="O352" s="269"/>
      <c r="P352" s="283" t="str">
        <f aca="false">IF(O352&lt;&gt;"",O352,N352)</f>
        <v>⬜ Pending</v>
      </c>
      <c r="Q352" s="270" t="s">
        <v>1275</v>
      </c>
      <c r="R352" s="271" t="str">
        <f aca="false">IF(COUNTIF('📆 Daily Schedule'!$M$5:$M$427,D352)&gt;0,"⚡ In Swap","✅ Available")</f>
        <v>✅ Available</v>
      </c>
    </row>
    <row r="353" customFormat="false" ht="15.75" hidden="false" customHeight="true" outlineLevel="0" collapsed="false">
      <c r="A353" s="32" t="n">
        <v>350</v>
      </c>
      <c r="B353" s="32" t="s">
        <v>1211</v>
      </c>
      <c r="C353" s="76" t="n">
        <v>350</v>
      </c>
      <c r="D353" s="37" t="s">
        <v>1299</v>
      </c>
      <c r="E353" s="188" t="s">
        <v>496</v>
      </c>
      <c r="F353" s="39" t="n">
        <v>0.5</v>
      </c>
      <c r="G353" s="40" t="n">
        <v>1</v>
      </c>
      <c r="H353" s="41" t="n">
        <v>2</v>
      </c>
      <c r="I353" s="272" t="n">
        <v>7</v>
      </c>
      <c r="J353" s="183" t="s">
        <v>626</v>
      </c>
      <c r="K353" s="273" t="n">
        <v>3</v>
      </c>
      <c r="L353" s="273" t="n">
        <v>1</v>
      </c>
      <c r="M353" s="188" t="s">
        <v>618</v>
      </c>
      <c r="N353" s="76" t="str">
        <f aca="false">IFERROR(IF(COUNTIF('📝 Daily Log'!$E$3:$E$600,D353)&gt;0,IF(COUNTIFS('📝 Daily Log'!$E$3:$E$600,D353,'📝 Daily Log'!$G$3:$G$600,"✅ Done")&gt;0,"✅ Done",IF(COUNTIFS('📝 Daily Log'!$E$3:$E$600,D353,'📝 Daily Log'!$G$3:$G$600,"🔄 Partial")&gt;0,"🔄 Partial","⬜ Pending")),"⬜ Pending"),"⬜ Pending")</f>
        <v>⬜ Pending</v>
      </c>
      <c r="O353" s="269"/>
      <c r="P353" s="76" t="str">
        <f aca="false">IF(O353&lt;&gt;"",O353,N353)</f>
        <v>⬜ Pending</v>
      </c>
      <c r="Q353" s="270" t="s">
        <v>1300</v>
      </c>
      <c r="R353" s="271" t="str">
        <f aca="false">IF(COUNTIF('📆 Daily Schedule'!$M$5:$M$427,D353)&gt;0,"⚡ In Swap","✅ Available")</f>
        <v>✅ Available</v>
      </c>
    </row>
    <row r="354" customFormat="false" ht="15.75" hidden="false" customHeight="true" outlineLevel="0" collapsed="false">
      <c r="A354" s="32" t="n">
        <v>351</v>
      </c>
      <c r="B354" s="32" t="s">
        <v>1211</v>
      </c>
      <c r="C354" s="283" t="n">
        <v>351</v>
      </c>
      <c r="D354" s="284" t="s">
        <v>1301</v>
      </c>
      <c r="E354" s="188" t="s">
        <v>496</v>
      </c>
      <c r="F354" s="39" t="n">
        <v>0.5</v>
      </c>
      <c r="G354" s="40" t="n">
        <v>1.5</v>
      </c>
      <c r="H354" s="41" t="n">
        <v>3</v>
      </c>
      <c r="I354" s="285" t="n">
        <v>11</v>
      </c>
      <c r="J354" s="36" t="s">
        <v>617</v>
      </c>
      <c r="K354" s="286" t="n">
        <v>4</v>
      </c>
      <c r="L354" s="286" t="n">
        <v>3</v>
      </c>
      <c r="M354" s="188" t="s">
        <v>618</v>
      </c>
      <c r="N354" s="283" t="str">
        <f aca="false">IFERROR(IF(COUNTIF('📝 Daily Log'!$E$3:$E$600,D354)&gt;0,IF(COUNTIFS('📝 Daily Log'!$E$3:$E$600,D354,'📝 Daily Log'!$G$3:$G$600,"✅ Done")&gt;0,"✅ Done",IF(COUNTIFS('📝 Daily Log'!$E$3:$E$600,D354,'📝 Daily Log'!$G$3:$G$600,"🔄 Partial")&gt;0,"🔄 Partial","⬜ Pending")),"⬜ Pending"),"⬜ Pending")</f>
        <v>⬜ Pending</v>
      </c>
      <c r="O354" s="269"/>
      <c r="P354" s="283" t="str">
        <f aca="false">IF(O354&lt;&gt;"",O354,N354)</f>
        <v>⬜ Pending</v>
      </c>
      <c r="Q354" s="270" t="s">
        <v>1302</v>
      </c>
      <c r="R354" s="271" t="str">
        <f aca="false">IF(COUNTIF('📆 Daily Schedule'!$M$5:$M$427,D354)&gt;0,"⚡ In Swap","✅ Available")</f>
        <v>✅ Available</v>
      </c>
    </row>
    <row r="355" customFormat="false" ht="15.75" hidden="false" customHeight="true" outlineLevel="0" collapsed="false">
      <c r="A355" s="32" t="n">
        <v>352</v>
      </c>
      <c r="B355" s="32" t="s">
        <v>1211</v>
      </c>
      <c r="C355" s="76" t="n">
        <v>352</v>
      </c>
      <c r="D355" s="37" t="s">
        <v>1303</v>
      </c>
      <c r="E355" s="188" t="s">
        <v>496</v>
      </c>
      <c r="F355" s="39" t="n">
        <v>0.5</v>
      </c>
      <c r="G355" s="40" t="n">
        <v>1</v>
      </c>
      <c r="H355" s="41" t="n">
        <v>2</v>
      </c>
      <c r="I355" s="272" t="n">
        <v>9</v>
      </c>
      <c r="J355" s="36" t="s">
        <v>617</v>
      </c>
      <c r="K355" s="273" t="n">
        <v>4</v>
      </c>
      <c r="L355" s="273" t="n">
        <v>1</v>
      </c>
      <c r="M355" s="188" t="s">
        <v>618</v>
      </c>
      <c r="N355" s="76" t="str">
        <f aca="false">IFERROR(IF(COUNTIF('📝 Daily Log'!$E$3:$E$600,D355)&gt;0,IF(COUNTIFS('📝 Daily Log'!$E$3:$E$600,D355,'📝 Daily Log'!$G$3:$G$600,"✅ Done")&gt;0,"✅ Done",IF(COUNTIFS('📝 Daily Log'!$E$3:$E$600,D355,'📝 Daily Log'!$G$3:$G$600,"🔄 Partial")&gt;0,"🔄 Partial","⬜ Pending")),"⬜ Pending"),"⬜ Pending")</f>
        <v>⬜ Pending</v>
      </c>
      <c r="O355" s="269"/>
      <c r="P355" s="76" t="str">
        <f aca="false">IF(O355&lt;&gt;"",O355,N355)</f>
        <v>⬜ Pending</v>
      </c>
      <c r="Q355" s="270" t="s">
        <v>1304</v>
      </c>
      <c r="R355" s="271" t="str">
        <f aca="false">IF(COUNTIF('📆 Daily Schedule'!$M$5:$M$427,D355)&gt;0,"⚡ In Swap","✅ Available")</f>
        <v>✅ Available</v>
      </c>
    </row>
    <row r="356" customFormat="false" ht="15.75" hidden="false" customHeight="true" outlineLevel="0" collapsed="false">
      <c r="A356" s="32" t="n">
        <v>353</v>
      </c>
      <c r="B356" s="32" t="s">
        <v>1211</v>
      </c>
      <c r="C356" s="283" t="n">
        <v>353</v>
      </c>
      <c r="D356" s="284" t="s">
        <v>1305</v>
      </c>
      <c r="E356" s="188" t="s">
        <v>496</v>
      </c>
      <c r="F356" s="39" t="n">
        <v>0.5</v>
      </c>
      <c r="G356" s="40" t="n">
        <v>0.75</v>
      </c>
      <c r="H356" s="41" t="n">
        <v>1</v>
      </c>
      <c r="I356" s="285" t="n">
        <v>13</v>
      </c>
      <c r="J356" s="274" t="s">
        <v>623</v>
      </c>
      <c r="K356" s="286" t="n">
        <v>5</v>
      </c>
      <c r="L356" s="286" t="n">
        <v>3</v>
      </c>
      <c r="M356" s="188" t="s">
        <v>618</v>
      </c>
      <c r="N356" s="283" t="str">
        <f aca="false">IFERROR(IF(COUNTIF('📝 Daily Log'!$E$3:$E$600,D356)&gt;0,IF(COUNTIFS('📝 Daily Log'!$E$3:$E$600,D356,'📝 Daily Log'!$G$3:$G$600,"✅ Done")&gt;0,"✅ Done",IF(COUNTIFS('📝 Daily Log'!$E$3:$E$600,D356,'📝 Daily Log'!$G$3:$G$600,"🔄 Partial")&gt;0,"🔄 Partial","⬜ Pending")),"⬜ Pending"),"⬜ Pending")</f>
        <v>⬜ Pending</v>
      </c>
      <c r="O356" s="269"/>
      <c r="P356" s="283" t="str">
        <f aca="false">IF(O356&lt;&gt;"",O356,N356)</f>
        <v>⬜ Pending</v>
      </c>
      <c r="Q356" s="270" t="s">
        <v>1306</v>
      </c>
      <c r="R356" s="271" t="str">
        <f aca="false">IF(COUNTIF('📆 Daily Schedule'!$M$5:$M$427,D356)&gt;0,"⚡ In Swap","✅ Available")</f>
        <v>✅ Available</v>
      </c>
    </row>
    <row r="357" customFormat="false" ht="15.75" hidden="false" customHeight="true" outlineLevel="0" collapsed="false">
      <c r="A357" s="32" t="n">
        <v>354</v>
      </c>
      <c r="B357" s="32" t="s">
        <v>1211</v>
      </c>
      <c r="C357" s="76" t="n">
        <v>354</v>
      </c>
      <c r="D357" s="37" t="s">
        <v>1307</v>
      </c>
      <c r="E357" s="188" t="s">
        <v>496</v>
      </c>
      <c r="F357" s="39" t="n">
        <v>0.5</v>
      </c>
      <c r="G357" s="40" t="n">
        <v>0.75</v>
      </c>
      <c r="H357" s="41" t="n">
        <v>1</v>
      </c>
      <c r="I357" s="272" t="n">
        <v>13</v>
      </c>
      <c r="J357" s="274" t="s">
        <v>623</v>
      </c>
      <c r="K357" s="273" t="n">
        <v>5</v>
      </c>
      <c r="L357" s="273" t="n">
        <v>3</v>
      </c>
      <c r="M357" s="188" t="s">
        <v>618</v>
      </c>
      <c r="N357" s="76" t="str">
        <f aca="false">IFERROR(IF(COUNTIF('📝 Daily Log'!$E$3:$E$600,D357)&gt;0,IF(COUNTIFS('📝 Daily Log'!$E$3:$E$600,D357,'📝 Daily Log'!$G$3:$G$600,"✅ Done")&gt;0,"✅ Done",IF(COUNTIFS('📝 Daily Log'!$E$3:$E$600,D357,'📝 Daily Log'!$G$3:$G$600,"🔄 Partial")&gt;0,"🔄 Partial","⬜ Pending")),"⬜ Pending"),"⬜ Pending")</f>
        <v>⬜ Pending</v>
      </c>
      <c r="O357" s="269"/>
      <c r="P357" s="76" t="str">
        <f aca="false">IF(O357&lt;&gt;"",O357,N357)</f>
        <v>⬜ Pending</v>
      </c>
      <c r="Q357" s="270" t="s">
        <v>1308</v>
      </c>
      <c r="R357" s="271" t="str">
        <f aca="false">IF(COUNTIF('📆 Daily Schedule'!$M$5:$M$427,D357)&gt;0,"⚡ In Swap","✅ Available")</f>
        <v>✅ Available</v>
      </c>
    </row>
    <row r="358" customFormat="false" ht="15.75" hidden="false" customHeight="true" outlineLevel="0" collapsed="false">
      <c r="A358" s="32" t="n">
        <v>355</v>
      </c>
      <c r="B358" s="32" t="s">
        <v>1211</v>
      </c>
      <c r="C358" s="283" t="n">
        <v>355</v>
      </c>
      <c r="D358" s="284" t="s">
        <v>1309</v>
      </c>
      <c r="E358" s="188" t="s">
        <v>496</v>
      </c>
      <c r="F358" s="39" t="n">
        <v>0.3</v>
      </c>
      <c r="G358" s="40" t="n">
        <v>0.5</v>
      </c>
      <c r="H358" s="41" t="n">
        <v>0.75</v>
      </c>
      <c r="I358" s="285" t="n">
        <v>14</v>
      </c>
      <c r="J358" s="274" t="s">
        <v>623</v>
      </c>
      <c r="K358" s="286" t="n">
        <v>5</v>
      </c>
      <c r="L358" s="286" t="n">
        <v>4</v>
      </c>
      <c r="M358" s="188" t="s">
        <v>618</v>
      </c>
      <c r="N358" s="283" t="str">
        <f aca="false">IFERROR(IF(COUNTIF('📝 Daily Log'!$E$3:$E$600,D358)&gt;0,IF(COUNTIFS('📝 Daily Log'!$E$3:$E$600,D358,'📝 Daily Log'!$G$3:$G$600,"✅ Done")&gt;0,"✅ Done",IF(COUNTIFS('📝 Daily Log'!$E$3:$E$600,D358,'📝 Daily Log'!$G$3:$G$600,"🔄 Partial")&gt;0,"🔄 Partial","⬜ Pending")),"⬜ Pending"),"⬜ Pending")</f>
        <v>⬜ Pending</v>
      </c>
      <c r="O358" s="269"/>
      <c r="P358" s="283" t="str">
        <f aca="false">IF(O358&lt;&gt;"",O358,N358)</f>
        <v>⬜ Pending</v>
      </c>
      <c r="Q358" s="270" t="s">
        <v>571</v>
      </c>
      <c r="R358" s="271" t="str">
        <f aca="false">IF(COUNTIF('📆 Daily Schedule'!$M$5:$M$427,D358)&gt;0,"⚡ In Swap","✅ Available")</f>
        <v>✅ Available</v>
      </c>
    </row>
    <row r="359" customFormat="false" ht="15.75" hidden="false" customHeight="true" outlineLevel="0" collapsed="false">
      <c r="A359" s="32" t="n">
        <v>356</v>
      </c>
      <c r="B359" s="32" t="s">
        <v>1211</v>
      </c>
      <c r="C359" s="76" t="n">
        <v>356</v>
      </c>
      <c r="D359" s="37" t="s">
        <v>1310</v>
      </c>
      <c r="E359" s="188" t="s">
        <v>496</v>
      </c>
      <c r="F359" s="39" t="n">
        <v>1</v>
      </c>
      <c r="G359" s="40" t="n">
        <v>2</v>
      </c>
      <c r="H359" s="41" t="n">
        <v>3</v>
      </c>
      <c r="I359" s="272" t="n">
        <v>11</v>
      </c>
      <c r="J359" s="36" t="s">
        <v>617</v>
      </c>
      <c r="K359" s="273" t="n">
        <v>5</v>
      </c>
      <c r="L359" s="273" t="n">
        <v>1</v>
      </c>
      <c r="M359" s="188" t="s">
        <v>618</v>
      </c>
      <c r="N359" s="76" t="str">
        <f aca="false">IFERROR(IF(COUNTIF('📝 Daily Log'!$E$3:$E$600,D359)&gt;0,IF(COUNTIFS('📝 Daily Log'!$E$3:$E$600,D359,'📝 Daily Log'!$G$3:$G$600,"✅ Done")&gt;0,"✅ Done",IF(COUNTIFS('📝 Daily Log'!$E$3:$E$600,D359,'📝 Daily Log'!$G$3:$G$600,"🔄 Partial")&gt;0,"🔄 Partial","⬜ Pending")),"⬜ Pending"),"⬜ Pending")</f>
        <v>⬜ Pending</v>
      </c>
      <c r="O359" s="269"/>
      <c r="P359" s="76" t="str">
        <f aca="false">IF(O359&lt;&gt;"",O359,N359)</f>
        <v>⬜ Pending</v>
      </c>
      <c r="Q359" s="270" t="s">
        <v>1311</v>
      </c>
      <c r="R359" s="271" t="str">
        <f aca="false">IF(COUNTIF('📆 Daily Schedule'!$M$5:$M$427,D359)&gt;0,"⚡ In Swap","✅ Available")</f>
        <v>✅ Available</v>
      </c>
    </row>
    <row r="360" customFormat="false" ht="15.75" hidden="false" customHeight="true" outlineLevel="0" collapsed="false">
      <c r="A360" s="32" t="n">
        <v>357</v>
      </c>
      <c r="B360" s="32" t="s">
        <v>1211</v>
      </c>
      <c r="C360" s="283" t="n">
        <v>357</v>
      </c>
      <c r="D360" s="284" t="s">
        <v>1312</v>
      </c>
      <c r="E360" s="188" t="s">
        <v>496</v>
      </c>
      <c r="F360" s="39" t="n">
        <v>0.5</v>
      </c>
      <c r="G360" s="40" t="n">
        <v>1</v>
      </c>
      <c r="H360" s="41" t="n">
        <v>2</v>
      </c>
      <c r="I360" s="285" t="n">
        <v>7</v>
      </c>
      <c r="J360" s="183" t="s">
        <v>626</v>
      </c>
      <c r="K360" s="286" t="n">
        <v>3</v>
      </c>
      <c r="L360" s="286" t="n">
        <v>1</v>
      </c>
      <c r="M360" s="188" t="s">
        <v>618</v>
      </c>
      <c r="N360" s="283" t="str">
        <f aca="false">IFERROR(IF(COUNTIF('📝 Daily Log'!$E$3:$E$600,D360)&gt;0,IF(COUNTIFS('📝 Daily Log'!$E$3:$E$600,D360,'📝 Daily Log'!$G$3:$G$600,"✅ Done")&gt;0,"✅ Done",IF(COUNTIFS('📝 Daily Log'!$E$3:$E$600,D360,'📝 Daily Log'!$G$3:$G$600,"🔄 Partial")&gt;0,"🔄 Partial","⬜ Pending")),"⬜ Pending"),"⬜ Pending")</f>
        <v>⬜ Pending</v>
      </c>
      <c r="O360" s="269"/>
      <c r="P360" s="283" t="str">
        <f aca="false">IF(O360&lt;&gt;"",O360,N360)</f>
        <v>⬜ Pending</v>
      </c>
      <c r="Q360" s="270" t="s">
        <v>1290</v>
      </c>
      <c r="R360" s="271" t="str">
        <f aca="false">IF(COUNTIF('📆 Daily Schedule'!$M$5:$M$427,D360)&gt;0,"⚡ In Swap","✅ Available")</f>
        <v>✅ Available</v>
      </c>
    </row>
    <row r="361" customFormat="false" ht="15.75" hidden="false" customHeight="true" outlineLevel="0" collapsed="false">
      <c r="A361" s="32" t="n">
        <v>358</v>
      </c>
      <c r="B361" s="32" t="s">
        <v>1211</v>
      </c>
      <c r="C361" s="76" t="n">
        <v>358</v>
      </c>
      <c r="D361" s="37" t="s">
        <v>1313</v>
      </c>
      <c r="E361" s="188" t="s">
        <v>496</v>
      </c>
      <c r="F361" s="39" t="n">
        <v>0.5</v>
      </c>
      <c r="G361" s="40" t="n">
        <v>1.5</v>
      </c>
      <c r="H361" s="41" t="n">
        <v>3</v>
      </c>
      <c r="I361" s="272" t="n">
        <v>14</v>
      </c>
      <c r="J361" s="274" t="s">
        <v>623</v>
      </c>
      <c r="K361" s="273" t="n">
        <v>5</v>
      </c>
      <c r="L361" s="273" t="n">
        <v>4</v>
      </c>
      <c r="M361" s="188" t="s">
        <v>618</v>
      </c>
      <c r="N361" s="76" t="str">
        <f aca="false">IFERROR(IF(COUNTIF('📝 Daily Log'!$E$3:$E$600,D361)&gt;0,IF(COUNTIFS('📝 Daily Log'!$E$3:$E$600,D361,'📝 Daily Log'!$G$3:$G$600,"✅ Done")&gt;0,"✅ Done",IF(COUNTIFS('📝 Daily Log'!$E$3:$E$600,D361,'📝 Daily Log'!$G$3:$G$600,"🔄 Partial")&gt;0,"🔄 Partial","⬜ Pending")),"⬜ Pending"),"⬜ Pending")</f>
        <v>⬜ Pending</v>
      </c>
      <c r="O361" s="269"/>
      <c r="P361" s="76" t="str">
        <f aca="false">IF(O361&lt;&gt;"",O361,N361)</f>
        <v>⬜ Pending</v>
      </c>
      <c r="Q361" s="270" t="s">
        <v>1277</v>
      </c>
      <c r="R361" s="271" t="str">
        <f aca="false">IF(COUNTIF('📆 Daily Schedule'!$M$5:$M$427,D361)&gt;0,"⚡ In Swap","✅ Available")</f>
        <v>✅ Available</v>
      </c>
    </row>
    <row r="362" customFormat="false" ht="15.75" hidden="false" customHeight="true" outlineLevel="0" collapsed="false">
      <c r="A362" s="32" t="n">
        <v>359</v>
      </c>
      <c r="B362" s="32" t="s">
        <v>1211</v>
      </c>
      <c r="C362" s="283" t="n">
        <v>359</v>
      </c>
      <c r="D362" s="284" t="s">
        <v>1314</v>
      </c>
      <c r="E362" s="188" t="s">
        <v>496</v>
      </c>
      <c r="F362" s="39" t="n">
        <v>0.5</v>
      </c>
      <c r="G362" s="40" t="n">
        <v>0.75</v>
      </c>
      <c r="H362" s="41" t="n">
        <v>1</v>
      </c>
      <c r="I362" s="285" t="n">
        <v>11</v>
      </c>
      <c r="J362" s="36" t="s">
        <v>617</v>
      </c>
      <c r="K362" s="286" t="n">
        <v>5</v>
      </c>
      <c r="L362" s="286" t="n">
        <v>1</v>
      </c>
      <c r="M362" s="188" t="s">
        <v>618</v>
      </c>
      <c r="N362" s="283" t="str">
        <f aca="false">IFERROR(IF(COUNTIF('📝 Daily Log'!$E$3:$E$600,D362)&gt;0,IF(COUNTIFS('📝 Daily Log'!$E$3:$E$600,D362,'📝 Daily Log'!$G$3:$G$600,"✅ Done")&gt;0,"✅ Done",IF(COUNTIFS('📝 Daily Log'!$E$3:$E$600,D362,'📝 Daily Log'!$G$3:$G$600,"🔄 Partial")&gt;0,"🔄 Partial","⬜ Pending")),"⬜ Pending"),"⬜ Pending")</f>
        <v>⬜ Pending</v>
      </c>
      <c r="O362" s="269"/>
      <c r="P362" s="283" t="str">
        <f aca="false">IF(O362&lt;&gt;"",O362,N362)</f>
        <v>⬜ Pending</v>
      </c>
      <c r="Q362" s="270" t="s">
        <v>1315</v>
      </c>
      <c r="R362" s="271" t="str">
        <f aca="false">IF(COUNTIF('📆 Daily Schedule'!$M$5:$M$427,D362)&gt;0,"⚡ In Swap","✅ Available")</f>
        <v>✅ Available</v>
      </c>
    </row>
    <row r="363" customFormat="false" ht="15.75" hidden="false" customHeight="true" outlineLevel="0" collapsed="false">
      <c r="A363" s="32" t="n">
        <v>360</v>
      </c>
      <c r="B363" s="32" t="s">
        <v>1211</v>
      </c>
      <c r="C363" s="76" t="n">
        <v>360</v>
      </c>
      <c r="D363" s="37" t="s">
        <v>1316</v>
      </c>
      <c r="E363" s="188" t="s">
        <v>496</v>
      </c>
      <c r="F363" s="39" t="n">
        <v>0.5</v>
      </c>
      <c r="G363" s="40" t="n">
        <v>1</v>
      </c>
      <c r="H363" s="41" t="n">
        <v>2</v>
      </c>
      <c r="I363" s="272" t="n">
        <v>11</v>
      </c>
      <c r="J363" s="36" t="s">
        <v>617</v>
      </c>
      <c r="K363" s="273" t="n">
        <v>5</v>
      </c>
      <c r="L363" s="273" t="n">
        <v>1</v>
      </c>
      <c r="M363" s="188" t="s">
        <v>618</v>
      </c>
      <c r="N363" s="76" t="str">
        <f aca="false">IFERROR(IF(COUNTIF('📝 Daily Log'!$E$3:$E$600,D363)&gt;0,IF(COUNTIFS('📝 Daily Log'!$E$3:$E$600,D363,'📝 Daily Log'!$G$3:$G$600,"✅ Done")&gt;0,"✅ Done",IF(COUNTIFS('📝 Daily Log'!$E$3:$E$600,D363,'📝 Daily Log'!$G$3:$G$600,"🔄 Partial")&gt;0,"🔄 Partial","⬜ Pending")),"⬜ Pending"),"⬜ Pending")</f>
        <v>⬜ Pending</v>
      </c>
      <c r="O363" s="269"/>
      <c r="P363" s="76" t="str">
        <f aca="false">IF(O363&lt;&gt;"",O363,N363)</f>
        <v>⬜ Pending</v>
      </c>
      <c r="Q363" s="270" t="s">
        <v>1317</v>
      </c>
      <c r="R363" s="271" t="str">
        <f aca="false">IF(COUNTIF('📆 Daily Schedule'!$M$5:$M$427,D363)&gt;0,"⚡ In Swap","✅ Available")</f>
        <v>✅ Available</v>
      </c>
    </row>
    <row r="364" customFormat="false" ht="15.75" hidden="false" customHeight="true" outlineLevel="0" collapsed="false">
      <c r="A364" s="32" t="n">
        <v>361</v>
      </c>
      <c r="B364" s="32" t="s">
        <v>1211</v>
      </c>
      <c r="C364" s="283" t="n">
        <v>361</v>
      </c>
      <c r="D364" s="284" t="s">
        <v>1318</v>
      </c>
      <c r="E364" s="188" t="s">
        <v>496</v>
      </c>
      <c r="F364" s="39" t="n">
        <v>0.5</v>
      </c>
      <c r="G364" s="40" t="n">
        <v>1</v>
      </c>
      <c r="H364" s="41" t="n">
        <v>2</v>
      </c>
      <c r="I364" s="285" t="n">
        <v>11</v>
      </c>
      <c r="J364" s="36" t="s">
        <v>617</v>
      </c>
      <c r="K364" s="286" t="n">
        <v>5</v>
      </c>
      <c r="L364" s="286" t="n">
        <v>1</v>
      </c>
      <c r="M364" s="188" t="s">
        <v>618</v>
      </c>
      <c r="N364" s="283" t="str">
        <f aca="false">IFERROR(IF(COUNTIF('📝 Daily Log'!$E$3:$E$600,D364)&gt;0,IF(COUNTIFS('📝 Daily Log'!$E$3:$E$600,D364,'📝 Daily Log'!$G$3:$G$600,"✅ Done")&gt;0,"✅ Done",IF(COUNTIFS('📝 Daily Log'!$E$3:$E$600,D364,'📝 Daily Log'!$G$3:$G$600,"🔄 Partial")&gt;0,"🔄 Partial","⬜ Pending")),"⬜ Pending"),"⬜ Pending")</f>
        <v>⬜ Pending</v>
      </c>
      <c r="O364" s="269"/>
      <c r="P364" s="283" t="str">
        <f aca="false">IF(O364&lt;&gt;"",O364,N364)</f>
        <v>⬜ Pending</v>
      </c>
      <c r="Q364" s="270" t="s">
        <v>1319</v>
      </c>
      <c r="R364" s="271" t="str">
        <f aca="false">IF(COUNTIF('📆 Daily Schedule'!$M$5:$M$427,D364)&gt;0,"⚡ In Swap","✅ Available")</f>
        <v>✅ Available</v>
      </c>
    </row>
    <row r="365" customFormat="false" ht="15.75" hidden="false" customHeight="true" outlineLevel="0" collapsed="false">
      <c r="A365" s="32" t="n">
        <v>362</v>
      </c>
      <c r="B365" s="32" t="s">
        <v>1211</v>
      </c>
      <c r="C365" s="76" t="n">
        <v>362</v>
      </c>
      <c r="D365" s="37" t="s">
        <v>1320</v>
      </c>
      <c r="E365" s="188" t="s">
        <v>496</v>
      </c>
      <c r="F365" s="39" t="n">
        <v>0.3</v>
      </c>
      <c r="G365" s="40" t="n">
        <v>0.5</v>
      </c>
      <c r="H365" s="41" t="n">
        <v>0.75</v>
      </c>
      <c r="I365" s="272" t="n">
        <v>15</v>
      </c>
      <c r="J365" s="274" t="s">
        <v>623</v>
      </c>
      <c r="K365" s="273" t="n">
        <v>5</v>
      </c>
      <c r="L365" s="273" t="n">
        <v>5</v>
      </c>
      <c r="M365" s="188" t="s">
        <v>618</v>
      </c>
      <c r="N365" s="76" t="str">
        <f aca="false">IFERROR(IF(COUNTIF('📝 Daily Log'!$E$3:$E$600,D365)&gt;0,IF(COUNTIFS('📝 Daily Log'!$E$3:$E$600,D365,'📝 Daily Log'!$G$3:$G$600,"✅ Done")&gt;0,"✅ Done",IF(COUNTIFS('📝 Daily Log'!$E$3:$E$600,D365,'📝 Daily Log'!$G$3:$G$600,"🔄 Partial")&gt;0,"🔄 Partial","⬜ Pending")),"⬜ Pending"),"⬜ Pending")</f>
        <v>⬜ Pending</v>
      </c>
      <c r="O365" s="269"/>
      <c r="P365" s="76" t="str">
        <f aca="false">IF(O365&lt;&gt;"",O365,N365)</f>
        <v>⬜ Pending</v>
      </c>
      <c r="Q365" s="270" t="s">
        <v>571</v>
      </c>
      <c r="R365" s="271" t="str">
        <f aca="false">IF(COUNTIF('📆 Daily Schedule'!$M$5:$M$427,D365)&gt;0,"⚡ In Swap","✅ Available")</f>
        <v>✅ Available</v>
      </c>
    </row>
    <row r="366" customFormat="false" ht="15.75" hidden="false" customHeight="true" outlineLevel="0" collapsed="false">
      <c r="A366" s="32" t="n">
        <v>363</v>
      </c>
      <c r="B366" s="32" t="s">
        <v>1211</v>
      </c>
      <c r="C366" s="283" t="n">
        <v>363</v>
      </c>
      <c r="D366" s="284" t="s">
        <v>1321</v>
      </c>
      <c r="E366" s="188" t="s">
        <v>496</v>
      </c>
      <c r="F366" s="39" t="n">
        <v>0.5</v>
      </c>
      <c r="G366" s="40" t="n">
        <v>1</v>
      </c>
      <c r="H366" s="41" t="n">
        <v>2</v>
      </c>
      <c r="I366" s="285" t="n">
        <v>9</v>
      </c>
      <c r="J366" s="36" t="s">
        <v>617</v>
      </c>
      <c r="K366" s="286" t="n">
        <v>4</v>
      </c>
      <c r="L366" s="286" t="n">
        <v>1</v>
      </c>
      <c r="M366" s="188" t="s">
        <v>618</v>
      </c>
      <c r="N366" s="283" t="str">
        <f aca="false">IFERROR(IF(COUNTIF('📝 Daily Log'!$E$3:$E$600,D366)&gt;0,IF(COUNTIFS('📝 Daily Log'!$E$3:$E$600,D366,'📝 Daily Log'!$G$3:$G$600,"✅ Done")&gt;0,"✅ Done",IF(COUNTIFS('📝 Daily Log'!$E$3:$E$600,D366,'📝 Daily Log'!$G$3:$G$600,"🔄 Partial")&gt;0,"🔄 Partial","⬜ Pending")),"⬜ Pending"),"⬜ Pending")</f>
        <v>⬜ Pending</v>
      </c>
      <c r="O366" s="269"/>
      <c r="P366" s="283" t="str">
        <f aca="false">IF(O366&lt;&gt;"",O366,N366)</f>
        <v>⬜ Pending</v>
      </c>
      <c r="Q366" s="270" t="s">
        <v>1322</v>
      </c>
      <c r="R366" s="271" t="str">
        <f aca="false">IF(COUNTIF('📆 Daily Schedule'!$M$5:$M$427,D366)&gt;0,"⚡ In Swap","✅ Available")</f>
        <v>✅ Available</v>
      </c>
    </row>
    <row r="367" customFormat="false" ht="15.75" hidden="false" customHeight="true" outlineLevel="0" collapsed="false">
      <c r="A367" s="32" t="n">
        <v>364</v>
      </c>
      <c r="B367" s="32" t="s">
        <v>1211</v>
      </c>
      <c r="C367" s="76" t="n">
        <v>364</v>
      </c>
      <c r="D367" s="37" t="s">
        <v>1323</v>
      </c>
      <c r="E367" s="188" t="s">
        <v>496</v>
      </c>
      <c r="F367" s="39" t="n">
        <v>0.5</v>
      </c>
      <c r="G367" s="40" t="n">
        <v>1</v>
      </c>
      <c r="H367" s="41" t="n">
        <v>2</v>
      </c>
      <c r="I367" s="272" t="n">
        <v>7</v>
      </c>
      <c r="J367" s="183" t="s">
        <v>626</v>
      </c>
      <c r="K367" s="273" t="n">
        <v>3</v>
      </c>
      <c r="L367" s="273" t="n">
        <v>1</v>
      </c>
      <c r="M367" s="188" t="s">
        <v>618</v>
      </c>
      <c r="N367" s="76" t="str">
        <f aca="false">IFERROR(IF(COUNTIF('📝 Daily Log'!$E$3:$E$600,D367)&gt;0,IF(COUNTIFS('📝 Daily Log'!$E$3:$E$600,D367,'📝 Daily Log'!$G$3:$G$600,"✅ Done")&gt;0,"✅ Done",IF(COUNTIFS('📝 Daily Log'!$E$3:$E$600,D367,'📝 Daily Log'!$G$3:$G$600,"🔄 Partial")&gt;0,"🔄 Partial","⬜ Pending")),"⬜ Pending"),"⬜ Pending")</f>
        <v>⬜ Pending</v>
      </c>
      <c r="O367" s="269"/>
      <c r="P367" s="76" t="str">
        <f aca="false">IF(O367&lt;&gt;"",O367,N367)</f>
        <v>⬜ Pending</v>
      </c>
      <c r="Q367" s="270" t="s">
        <v>1324</v>
      </c>
      <c r="R367" s="271" t="str">
        <f aca="false">IF(COUNTIF('📆 Daily Schedule'!$M$5:$M$427,D367)&gt;0,"⚡ In Swap","✅ Available")</f>
        <v>✅ Available</v>
      </c>
    </row>
    <row r="368" customFormat="false" ht="15.75" hidden="false" customHeight="true" outlineLevel="0" collapsed="false">
      <c r="A368" s="32" t="n">
        <v>365</v>
      </c>
      <c r="B368" s="32" t="s">
        <v>1211</v>
      </c>
      <c r="C368" s="283" t="n">
        <v>365</v>
      </c>
      <c r="D368" s="284" t="s">
        <v>1325</v>
      </c>
      <c r="E368" s="188" t="s">
        <v>496</v>
      </c>
      <c r="F368" s="39" t="n">
        <v>0.5</v>
      </c>
      <c r="G368" s="40" t="n">
        <v>1</v>
      </c>
      <c r="H368" s="41" t="n">
        <v>2</v>
      </c>
      <c r="I368" s="285" t="n">
        <v>12</v>
      </c>
      <c r="J368" s="274" t="s">
        <v>623</v>
      </c>
      <c r="K368" s="286" t="n">
        <v>5</v>
      </c>
      <c r="L368" s="286" t="n">
        <v>2</v>
      </c>
      <c r="M368" s="188" t="s">
        <v>618</v>
      </c>
      <c r="N368" s="283" t="str">
        <f aca="false">IFERROR(IF(COUNTIF('📝 Daily Log'!$E$3:$E$600,D368)&gt;0,IF(COUNTIFS('📝 Daily Log'!$E$3:$E$600,D368,'📝 Daily Log'!$G$3:$G$600,"✅ Done")&gt;0,"✅ Done",IF(COUNTIFS('📝 Daily Log'!$E$3:$E$600,D368,'📝 Daily Log'!$G$3:$G$600,"🔄 Partial")&gt;0,"🔄 Partial","⬜ Pending")),"⬜ Pending"),"⬜ Pending")</f>
        <v>⬜ Pending</v>
      </c>
      <c r="O368" s="269"/>
      <c r="P368" s="283" t="str">
        <f aca="false">IF(O368&lt;&gt;"",O368,N368)</f>
        <v>⬜ Pending</v>
      </c>
      <c r="Q368" s="270" t="s">
        <v>1326</v>
      </c>
      <c r="R368" s="271" t="str">
        <f aca="false">IF(COUNTIF('📆 Daily Schedule'!$M$5:$M$427,D368)&gt;0,"⚡ In Swap","✅ Available")</f>
        <v>✅ Available</v>
      </c>
    </row>
    <row r="369" customFormat="false" ht="15.75" hidden="false" customHeight="true" outlineLevel="0" collapsed="false">
      <c r="A369" s="32" t="n">
        <v>366</v>
      </c>
      <c r="B369" s="32" t="s">
        <v>1211</v>
      </c>
      <c r="C369" s="76" t="n">
        <v>366</v>
      </c>
      <c r="D369" s="37" t="s">
        <v>1327</v>
      </c>
      <c r="E369" s="188" t="s">
        <v>496</v>
      </c>
      <c r="F369" s="39" t="n">
        <v>0.5</v>
      </c>
      <c r="G369" s="40" t="n">
        <v>1</v>
      </c>
      <c r="H369" s="41" t="n">
        <v>2</v>
      </c>
      <c r="I369" s="272" t="n">
        <v>11</v>
      </c>
      <c r="J369" s="36" t="s">
        <v>617</v>
      </c>
      <c r="K369" s="273" t="n">
        <v>4</v>
      </c>
      <c r="L369" s="273" t="n">
        <v>3</v>
      </c>
      <c r="M369" s="188" t="s">
        <v>618</v>
      </c>
      <c r="N369" s="76" t="str">
        <f aca="false">IFERROR(IF(COUNTIF('📝 Daily Log'!$E$3:$E$600,D369)&gt;0,IF(COUNTIFS('📝 Daily Log'!$E$3:$E$600,D369,'📝 Daily Log'!$G$3:$G$600,"✅ Done")&gt;0,"✅ Done",IF(COUNTIFS('📝 Daily Log'!$E$3:$E$600,D369,'📝 Daily Log'!$G$3:$G$600,"🔄 Partial")&gt;0,"🔄 Partial","⬜ Pending")),"⬜ Pending"),"⬜ Pending")</f>
        <v>⬜ Pending</v>
      </c>
      <c r="O369" s="269"/>
      <c r="P369" s="76" t="str">
        <f aca="false">IF(O369&lt;&gt;"",O369,N369)</f>
        <v>⬜ Pending</v>
      </c>
      <c r="Q369" s="270" t="s">
        <v>1328</v>
      </c>
      <c r="R369" s="271" t="str">
        <f aca="false">IF(COUNTIF('📆 Daily Schedule'!$M$5:$M$427,D369)&gt;0,"⚡ In Swap","✅ Available")</f>
        <v>✅ Available</v>
      </c>
    </row>
    <row r="370" customFormat="false" ht="15.75" hidden="false" customHeight="true" outlineLevel="0" collapsed="false">
      <c r="A370" s="32" t="n">
        <v>367</v>
      </c>
      <c r="B370" s="32" t="s">
        <v>1211</v>
      </c>
      <c r="C370" s="283" t="n">
        <v>367</v>
      </c>
      <c r="D370" s="284" t="s">
        <v>1329</v>
      </c>
      <c r="E370" s="188" t="s">
        <v>496</v>
      </c>
      <c r="F370" s="39" t="n">
        <v>0.5</v>
      </c>
      <c r="G370" s="40" t="n">
        <v>1</v>
      </c>
      <c r="H370" s="41" t="n">
        <v>2</v>
      </c>
      <c r="I370" s="285" t="n">
        <v>8</v>
      </c>
      <c r="J370" s="36" t="s">
        <v>617</v>
      </c>
      <c r="K370" s="286" t="n">
        <v>3</v>
      </c>
      <c r="L370" s="286" t="n">
        <v>2</v>
      </c>
      <c r="M370" s="188" t="s">
        <v>618</v>
      </c>
      <c r="N370" s="283" t="str">
        <f aca="false">IFERROR(IF(COUNTIF('📝 Daily Log'!$E$3:$E$600,D370)&gt;0,IF(COUNTIFS('📝 Daily Log'!$E$3:$E$600,D370,'📝 Daily Log'!$G$3:$G$600,"✅ Done")&gt;0,"✅ Done",IF(COUNTIFS('📝 Daily Log'!$E$3:$E$600,D370,'📝 Daily Log'!$G$3:$G$600,"🔄 Partial")&gt;0,"🔄 Partial","⬜ Pending")),"⬜ Pending"),"⬜ Pending")</f>
        <v>⬜ Pending</v>
      </c>
      <c r="O370" s="269"/>
      <c r="P370" s="283" t="str">
        <f aca="false">IF(O370&lt;&gt;"",O370,N370)</f>
        <v>⬜ Pending</v>
      </c>
      <c r="Q370" s="270" t="s">
        <v>1330</v>
      </c>
      <c r="R370" s="271" t="str">
        <f aca="false">IF(COUNTIF('📆 Daily Schedule'!$M$5:$M$427,D370)&gt;0,"⚡ In Swap","✅ Available")</f>
        <v>✅ Available</v>
      </c>
    </row>
    <row r="371" customFormat="false" ht="15.75" hidden="false" customHeight="true" outlineLevel="0" collapsed="false">
      <c r="A371" s="32" t="n">
        <v>368</v>
      </c>
      <c r="B371" s="32" t="s">
        <v>1211</v>
      </c>
      <c r="C371" s="76" t="n">
        <v>368</v>
      </c>
      <c r="D371" s="37" t="s">
        <v>1331</v>
      </c>
      <c r="E371" s="188" t="s">
        <v>496</v>
      </c>
      <c r="F371" s="39" t="n">
        <v>0.5</v>
      </c>
      <c r="G371" s="40" t="n">
        <v>1</v>
      </c>
      <c r="H371" s="41" t="n">
        <v>1.5</v>
      </c>
      <c r="I371" s="272" t="n">
        <v>7</v>
      </c>
      <c r="J371" s="183" t="s">
        <v>626</v>
      </c>
      <c r="K371" s="273" t="n">
        <v>3</v>
      </c>
      <c r="L371" s="273" t="n">
        <v>1</v>
      </c>
      <c r="M371" s="188" t="s">
        <v>618</v>
      </c>
      <c r="N371" s="76" t="str">
        <f aca="false">IFERROR(IF(COUNTIF('📝 Daily Log'!$E$3:$E$600,D371)&gt;0,IF(COUNTIFS('📝 Daily Log'!$E$3:$E$600,D371,'📝 Daily Log'!$G$3:$G$600,"✅ Done")&gt;0,"✅ Done",IF(COUNTIFS('📝 Daily Log'!$E$3:$E$600,D371,'📝 Daily Log'!$G$3:$G$600,"🔄 Partial")&gt;0,"🔄 Partial","⬜ Pending")),"⬜ Pending"),"⬜ Pending")</f>
        <v>⬜ Pending</v>
      </c>
      <c r="O371" s="269"/>
      <c r="P371" s="76" t="str">
        <f aca="false">IF(O371&lt;&gt;"",O371,N371)</f>
        <v>⬜ Pending</v>
      </c>
      <c r="Q371" s="270" t="s">
        <v>1332</v>
      </c>
      <c r="R371" s="271" t="str">
        <f aca="false">IF(COUNTIF('📆 Daily Schedule'!$M$5:$M$427,D371)&gt;0,"⚡ In Swap","✅ Available")</f>
        <v>✅ Available</v>
      </c>
    </row>
    <row r="372" customFormat="false" ht="15.75" hidden="false" customHeight="true" outlineLevel="0" collapsed="false">
      <c r="A372" s="32" t="n">
        <v>369</v>
      </c>
      <c r="B372" s="32" t="s">
        <v>1211</v>
      </c>
      <c r="C372" s="283" t="n">
        <v>369</v>
      </c>
      <c r="D372" s="284" t="s">
        <v>1333</v>
      </c>
      <c r="E372" s="188" t="s">
        <v>496</v>
      </c>
      <c r="F372" s="39" t="n">
        <v>0.3</v>
      </c>
      <c r="G372" s="40" t="n">
        <v>0.5</v>
      </c>
      <c r="H372" s="41" t="n">
        <v>0.75</v>
      </c>
      <c r="I372" s="285" t="n">
        <v>11</v>
      </c>
      <c r="J372" s="36" t="s">
        <v>617</v>
      </c>
      <c r="K372" s="286" t="n">
        <v>4</v>
      </c>
      <c r="L372" s="286" t="n">
        <v>3</v>
      </c>
      <c r="M372" s="188" t="s">
        <v>618</v>
      </c>
      <c r="N372" s="283" t="str">
        <f aca="false">IFERROR(IF(COUNTIF('📝 Daily Log'!$E$3:$E$600,D372)&gt;0,IF(COUNTIFS('📝 Daily Log'!$E$3:$E$600,D372,'📝 Daily Log'!$G$3:$G$600,"✅ Done")&gt;0,"✅ Done",IF(COUNTIFS('📝 Daily Log'!$E$3:$E$600,D372,'📝 Daily Log'!$G$3:$G$600,"🔄 Partial")&gt;0,"🔄 Partial","⬜ Pending")),"⬜ Pending"),"⬜ Pending")</f>
        <v>⬜ Pending</v>
      </c>
      <c r="O372" s="269"/>
      <c r="P372" s="283" t="str">
        <f aca="false">IF(O372&lt;&gt;"",O372,N372)</f>
        <v>⬜ Pending</v>
      </c>
      <c r="Q372" s="270" t="s">
        <v>571</v>
      </c>
      <c r="R372" s="271" t="str">
        <f aca="false">IF(COUNTIF('📆 Daily Schedule'!$M$5:$M$427,D372)&gt;0,"⚡ In Swap","✅ Available")</f>
        <v>✅ Available</v>
      </c>
    </row>
    <row r="373" customFormat="false" ht="15.75" hidden="false" customHeight="true" outlineLevel="0" collapsed="false">
      <c r="A373" s="32" t="n">
        <v>370</v>
      </c>
      <c r="B373" s="32" t="s">
        <v>1211</v>
      </c>
      <c r="C373" s="76" t="n">
        <v>370</v>
      </c>
      <c r="D373" s="37" t="s">
        <v>1334</v>
      </c>
      <c r="E373" s="188" t="s">
        <v>496</v>
      </c>
      <c r="F373" s="39" t="n">
        <v>0.5</v>
      </c>
      <c r="G373" s="40" t="n">
        <v>1</v>
      </c>
      <c r="H373" s="41" t="n">
        <v>2</v>
      </c>
      <c r="I373" s="272" t="n">
        <v>11</v>
      </c>
      <c r="J373" s="36" t="s">
        <v>617</v>
      </c>
      <c r="K373" s="273" t="n">
        <v>5</v>
      </c>
      <c r="L373" s="273" t="n">
        <v>1</v>
      </c>
      <c r="M373" s="188" t="s">
        <v>618</v>
      </c>
      <c r="N373" s="76" t="str">
        <f aca="false">IFERROR(IF(COUNTIF('📝 Daily Log'!$E$3:$E$600,D373)&gt;0,IF(COUNTIFS('📝 Daily Log'!$E$3:$E$600,D373,'📝 Daily Log'!$G$3:$G$600,"✅ Done")&gt;0,"✅ Done",IF(COUNTIFS('📝 Daily Log'!$E$3:$E$600,D373,'📝 Daily Log'!$G$3:$G$600,"🔄 Partial")&gt;0,"🔄 Partial","⬜ Pending")),"⬜ Pending"),"⬜ Pending")</f>
        <v>⬜ Pending</v>
      </c>
      <c r="O373" s="269"/>
      <c r="P373" s="76" t="str">
        <f aca="false">IF(O373&lt;&gt;"",O373,N373)</f>
        <v>⬜ Pending</v>
      </c>
      <c r="Q373" s="270" t="s">
        <v>1335</v>
      </c>
      <c r="R373" s="271" t="str">
        <f aca="false">IF(COUNTIF('📆 Daily Schedule'!$M$5:$M$427,D373)&gt;0,"⚡ In Swap","✅ Available")</f>
        <v>✅ Available</v>
      </c>
    </row>
    <row r="374" customFormat="false" ht="15.75" hidden="false" customHeight="true" outlineLevel="0" collapsed="false">
      <c r="A374" s="32" t="n">
        <v>371</v>
      </c>
      <c r="B374" s="32" t="s">
        <v>1211</v>
      </c>
      <c r="C374" s="283" t="n">
        <v>371</v>
      </c>
      <c r="D374" s="284" t="s">
        <v>1336</v>
      </c>
      <c r="E374" s="188" t="s">
        <v>496</v>
      </c>
      <c r="F374" s="39" t="n">
        <v>0.5</v>
      </c>
      <c r="G374" s="40" t="n">
        <v>1</v>
      </c>
      <c r="H374" s="41" t="n">
        <v>2</v>
      </c>
      <c r="I374" s="285" t="n">
        <v>7</v>
      </c>
      <c r="J374" s="183" t="s">
        <v>626</v>
      </c>
      <c r="K374" s="286" t="n">
        <v>3</v>
      </c>
      <c r="L374" s="286" t="n">
        <v>1</v>
      </c>
      <c r="M374" s="188" t="s">
        <v>618</v>
      </c>
      <c r="N374" s="283" t="str">
        <f aca="false">IFERROR(IF(COUNTIF('📝 Daily Log'!$E$3:$E$600,D374)&gt;0,IF(COUNTIFS('📝 Daily Log'!$E$3:$E$600,D374,'📝 Daily Log'!$G$3:$G$600,"✅ Done")&gt;0,"✅ Done",IF(COUNTIFS('📝 Daily Log'!$E$3:$E$600,D374,'📝 Daily Log'!$G$3:$G$600,"🔄 Partial")&gt;0,"🔄 Partial","⬜ Pending")),"⬜ Pending"),"⬜ Pending")</f>
        <v>⬜ Pending</v>
      </c>
      <c r="O374" s="269"/>
      <c r="P374" s="283" t="str">
        <f aca="false">IF(O374&lt;&gt;"",O374,N374)</f>
        <v>⬜ Pending</v>
      </c>
      <c r="Q374" s="270" t="s">
        <v>1337</v>
      </c>
      <c r="R374" s="271" t="str">
        <f aca="false">IF(COUNTIF('📆 Daily Schedule'!$M$5:$M$427,D374)&gt;0,"⚡ In Swap","✅ Available")</f>
        <v>✅ Available</v>
      </c>
    </row>
  </sheetData>
  <autoFilter ref="A3:Q374"/>
  <mergeCells count="2">
    <mergeCell ref="A1:Q1"/>
    <mergeCell ref="A2:Q2"/>
  </mergeCells>
  <dataValidations count="1">
    <dataValidation allowBlank="true" errorStyle="stop" operator="between" showDropDown="false" showErrorMessage="false" showInputMessage="false" sqref="O4:O374" type="list">
      <formula1>"✅ Done,🔄 Partial,❌ Missed,⬜ 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3483"/>
    <pageSetUpPr fitToPage="false"/>
  </sheetPr>
  <dimension ref="A1:Q4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5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42"/>
    <col collapsed="false" customWidth="true" hidden="false" outlineLevel="0" max="7" min="7" style="0" width="14"/>
    <col collapsed="false" customWidth="true" hidden="false" outlineLevel="0" max="10" min="8" style="0" width="7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28"/>
    <col collapsed="false" customWidth="true" hidden="false" outlineLevel="0" max="14" min="14" style="0" width="8"/>
    <col collapsed="false" customWidth="true" hidden="false" outlineLevel="0" max="15" min="15" style="0" width="22"/>
    <col collapsed="false" customWidth="true" hidden="false" outlineLevel="0" max="16" min="16" style="0" width="11"/>
    <col collapsed="false" customWidth="true" hidden="false" outlineLevel="0" max="17" min="17" style="0" width="26"/>
  </cols>
  <sheetData>
    <row r="1" customFormat="false" ht="19.5" hidden="false" customHeight="true" outlineLevel="0" collapsed="false">
      <c r="A1" s="310" t="s">
        <v>1338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</row>
    <row r="2" customFormat="false" ht="12.75" hidden="false" customHeight="true" outlineLevel="0" collapsed="false">
      <c r="A2" s="3" t="s">
        <v>1339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25.5" hidden="false" customHeight="true" outlineLevel="0" collapsed="false">
      <c r="B3" s="311" t="s">
        <v>66</v>
      </c>
      <c r="C3" s="311" t="s">
        <v>68</v>
      </c>
      <c r="D3" s="311" t="s">
        <v>65</v>
      </c>
      <c r="E3" s="311" t="s">
        <v>42</v>
      </c>
      <c r="F3" s="311" t="s">
        <v>1340</v>
      </c>
      <c r="G3" s="311" t="s">
        <v>216</v>
      </c>
      <c r="H3" s="311" t="s">
        <v>604</v>
      </c>
      <c r="I3" s="311" t="s">
        <v>605</v>
      </c>
      <c r="J3" s="311" t="s">
        <v>606</v>
      </c>
      <c r="K3" s="311" t="s">
        <v>1341</v>
      </c>
      <c r="L3" s="311" t="s">
        <v>1342</v>
      </c>
      <c r="M3" s="311" t="s">
        <v>1343</v>
      </c>
      <c r="N3" s="311" t="s">
        <v>1344</v>
      </c>
      <c r="O3" s="311" t="s">
        <v>69</v>
      </c>
      <c r="P3" s="311" t="s">
        <v>1345</v>
      </c>
      <c r="Q3" s="311" t="s">
        <v>1346</v>
      </c>
    </row>
    <row r="4" customFormat="false" ht="12" hidden="false" customHeight="true" outlineLevel="0" collapsed="false">
      <c r="B4" s="312" t="s">
        <v>1347</v>
      </c>
      <c r="C4" s="312"/>
      <c r="D4" s="312"/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</row>
    <row r="5" customFormat="false" ht="19.5" hidden="false" customHeight="true" outlineLevel="0" collapsed="false">
      <c r="B5" s="313" t="s">
        <v>145</v>
      </c>
      <c r="C5" s="273" t="s">
        <v>118</v>
      </c>
      <c r="D5" s="244" t="n">
        <v>46111</v>
      </c>
      <c r="E5" s="36" t="s">
        <v>617</v>
      </c>
      <c r="F5" s="37" t="str">
        <f aca="false">IF(AND(L5="🔄 SWAP ME",M5&lt;&gt;""),M5,IFERROR(INDEX($O$5:$O$375,MATCH(O5,$M$5:$M$375,0)),O5))</f>
        <v>What is Data Engineering? Roles, lifecycle vs Data Scientist/Analyst</v>
      </c>
      <c r="G5" s="175" t="s">
        <v>226</v>
      </c>
      <c r="H5" s="39" t="n">
        <v>0.5</v>
      </c>
      <c r="I5" s="40" t="n">
        <v>1</v>
      </c>
      <c r="J5" s="41" t="n">
        <v>1.5</v>
      </c>
      <c r="K5" s="76" t="s">
        <v>1348</v>
      </c>
      <c r="L5" s="76" t="s">
        <v>1349</v>
      </c>
      <c r="M5" s="245"/>
      <c r="N5" s="63" t="str">
        <f aca="false">IF(AND(L5="🔄 SWAP ME",M5&lt;&gt;""),"⚡ SWAPPED","")</f>
        <v/>
      </c>
      <c r="O5" s="9" t="s">
        <v>616</v>
      </c>
      <c r="P5" s="314" t="str">
        <f aca="true">IF(AND(L5="🔄 SWAP ME",M5&lt;&gt;""),TODAY(),"")</f>
        <v/>
      </c>
      <c r="Q5" s="315" t="s">
        <v>1350</v>
      </c>
    </row>
    <row r="6" customFormat="false" ht="19.5" hidden="false" customHeight="true" outlineLevel="0" collapsed="false">
      <c r="B6" s="313" t="s">
        <v>145</v>
      </c>
      <c r="C6" s="273" t="s">
        <v>123</v>
      </c>
      <c r="D6" s="244" t="n">
        <v>46112</v>
      </c>
      <c r="E6" s="36" t="s">
        <v>617</v>
      </c>
      <c r="F6" s="37" t="str">
        <f aca="false">IF(AND(L6="🔄 SWAP ME",M6&lt;&gt;""),M6,IFERROR(INDEX($O$5:$O$375,MATCH(O6,$M$5:$M$375,0)),O6))</f>
        <v>Modern Data Stack: source→ingest→store→transform→serve — draw Swiggy's stack</v>
      </c>
      <c r="G6" s="175" t="s">
        <v>226</v>
      </c>
      <c r="H6" s="39" t="n">
        <v>0.5</v>
      </c>
      <c r="I6" s="40" t="n">
        <v>1</v>
      </c>
      <c r="J6" s="41" t="n">
        <v>1.5</v>
      </c>
      <c r="K6" s="76" t="s">
        <v>1348</v>
      </c>
      <c r="L6" s="76" t="s">
        <v>1349</v>
      </c>
      <c r="M6" s="245"/>
      <c r="N6" s="63" t="str">
        <f aca="false">IF(AND(L6="🔄 SWAP ME",M6&lt;&gt;""),"⚡ SWAPPED","")</f>
        <v/>
      </c>
      <c r="O6" s="9" t="s">
        <v>620</v>
      </c>
      <c r="P6" s="314" t="str">
        <f aca="true">IF(AND(L6="🔄 SWAP ME",M6&lt;&gt;""),TODAY(),"")</f>
        <v/>
      </c>
      <c r="Q6" s="315" t="s">
        <v>621</v>
      </c>
    </row>
    <row r="7" customFormat="false" ht="19.5" hidden="false" customHeight="true" outlineLevel="0" collapsed="false">
      <c r="B7" s="313" t="s">
        <v>145</v>
      </c>
      <c r="C7" s="273" t="s">
        <v>126</v>
      </c>
      <c r="D7" s="244" t="n">
        <v>46113</v>
      </c>
      <c r="E7" s="274" t="s">
        <v>623</v>
      </c>
      <c r="F7" s="37" t="str">
        <f aca="false">IF(AND(L7="🔄 SWAP ME",M7&lt;&gt;""),M7,IFERROR(INDEX($O$5:$O$375,MATCH(O7,$M$5:$M$375,0)),O7))</f>
        <v>Batch vs Streaming vs Micro-batch vs Lambda vs Kappa — when each is used</v>
      </c>
      <c r="G7" s="175" t="s">
        <v>226</v>
      </c>
      <c r="H7" s="39" t="n">
        <v>0.5</v>
      </c>
      <c r="I7" s="40" t="n">
        <v>1</v>
      </c>
      <c r="J7" s="41" t="n">
        <v>1.5</v>
      </c>
      <c r="K7" s="76" t="s">
        <v>1348</v>
      </c>
      <c r="L7" s="76" t="s">
        <v>1349</v>
      </c>
      <c r="M7" s="245"/>
      <c r="N7" s="63" t="str">
        <f aca="false">IF(AND(L7="🔄 SWAP ME",M7&lt;&gt;""),"⚡ SWAPPED","")</f>
        <v/>
      </c>
      <c r="O7" s="9" t="s">
        <v>622</v>
      </c>
      <c r="P7" s="314" t="str">
        <f aca="true">IF(AND(L7="🔄 SWAP ME",M7&lt;&gt;""),TODAY(),"")</f>
        <v/>
      </c>
      <c r="Q7" s="315" t="s">
        <v>624</v>
      </c>
    </row>
    <row r="8" customFormat="false" ht="19.5" hidden="false" customHeight="true" outlineLevel="0" collapsed="false">
      <c r="B8" s="313" t="s">
        <v>145</v>
      </c>
      <c r="C8" s="273" t="s">
        <v>130</v>
      </c>
      <c r="D8" s="244" t="n">
        <v>46114</v>
      </c>
      <c r="E8" s="183" t="s">
        <v>626</v>
      </c>
      <c r="F8" s="37" t="str">
        <f aca="false">IF(AND(L8="🔄 SWAP ME",M8&lt;&gt;""),M8,IFERROR(INDEX($O$5:$O$375,MATCH(O8,$M$5:$M$375,0)),O8))</f>
        <v>Dev environment: VS Code, Docker, Git, Python venv, GitHub account setup</v>
      </c>
      <c r="G8" s="175" t="s">
        <v>226</v>
      </c>
      <c r="H8" s="39" t="n">
        <v>0.5</v>
      </c>
      <c r="I8" s="40" t="n">
        <v>1</v>
      </c>
      <c r="J8" s="41" t="n">
        <v>1.5</v>
      </c>
      <c r="K8" s="76" t="s">
        <v>1348</v>
      </c>
      <c r="L8" s="76" t="s">
        <v>1349</v>
      </c>
      <c r="M8" s="245"/>
      <c r="N8" s="63" t="str">
        <f aca="false">IF(AND(L8="🔄 SWAP ME",M8&lt;&gt;""),"⚡ SWAPPED","")</f>
        <v/>
      </c>
      <c r="O8" s="9" t="s">
        <v>625</v>
      </c>
      <c r="P8" s="314" t="str">
        <f aca="true">IF(AND(L8="🔄 SWAP ME",M8&lt;&gt;""),TODAY(),"")</f>
        <v/>
      </c>
      <c r="Q8" s="315" t="s">
        <v>627</v>
      </c>
    </row>
    <row r="9" customFormat="false" ht="19.5" hidden="false" customHeight="true" outlineLevel="0" collapsed="false">
      <c r="B9" s="313" t="s">
        <v>145</v>
      </c>
      <c r="C9" s="273" t="s">
        <v>133</v>
      </c>
      <c r="D9" s="244" t="n">
        <v>46115</v>
      </c>
      <c r="E9" s="274" t="s">
        <v>623</v>
      </c>
      <c r="F9" s="37" t="str">
        <f aca="false">IF(AND(L9="🔄 SWAP ME",M9&lt;&gt;""),M9,IFERROR(INDEX($O$5:$O$375,MATCH(O9,$M$5:$M$375,0)),O9))</f>
        <v>DSA Day 1: Arrays — Two Sum, Contains Duplicate, Valid Anagram</v>
      </c>
      <c r="G9" s="175" t="s">
        <v>226</v>
      </c>
      <c r="H9" s="39" t="n">
        <v>0.3</v>
      </c>
      <c r="I9" s="40" t="n">
        <v>0.5</v>
      </c>
      <c r="J9" s="41" t="n">
        <v>0.75</v>
      </c>
      <c r="K9" s="76" t="s">
        <v>1348</v>
      </c>
      <c r="L9" s="76" t="s">
        <v>1349</v>
      </c>
      <c r="M9" s="245"/>
      <c r="N9" s="63" t="str">
        <f aca="false">IF(AND(L9="🔄 SWAP ME",M9&lt;&gt;""),"⚡ SWAPPED","")</f>
        <v/>
      </c>
      <c r="O9" s="9" t="s">
        <v>628</v>
      </c>
      <c r="P9" s="314" t="str">
        <f aca="true">IF(AND(L9="🔄 SWAP ME",M9&lt;&gt;""),TODAY(),"")</f>
        <v/>
      </c>
      <c r="Q9" s="315" t="s">
        <v>629</v>
      </c>
    </row>
    <row r="10" customFormat="false" ht="19.5" hidden="false" customHeight="true" outlineLevel="0" collapsed="false">
      <c r="B10" s="313" t="s">
        <v>145</v>
      </c>
      <c r="C10" s="309" t="s">
        <v>516</v>
      </c>
      <c r="D10" s="240" t="n">
        <v>46116</v>
      </c>
      <c r="E10" s="36" t="s">
        <v>617</v>
      </c>
      <c r="F10" s="178" t="str">
        <f aca="false">IF(AND(L10="🔄 SWAP ME",M10&lt;&gt;""),M10,IFERROR(INDEX($O$5:$O$375,MATCH(O10,$M$5:$M$375,0)),O10))</f>
        <v>Data Engineer skill matrix: Junior vs Mid vs Senior vs Staff DE</v>
      </c>
      <c r="G10" s="175" t="s">
        <v>226</v>
      </c>
      <c r="H10" s="39" t="n">
        <v>1</v>
      </c>
      <c r="I10" s="40" t="n">
        <v>2</v>
      </c>
      <c r="J10" s="41" t="n">
        <v>3</v>
      </c>
      <c r="K10" s="179" t="s">
        <v>1351</v>
      </c>
      <c r="L10" s="179" t="s">
        <v>1349</v>
      </c>
      <c r="M10" s="241"/>
      <c r="N10" s="316" t="str">
        <f aca="false">IF(AND(L10="🔄 SWAP ME",M10&lt;&gt;""),"⚡ SWAPPED","")</f>
        <v/>
      </c>
      <c r="O10" s="9" t="s">
        <v>630</v>
      </c>
      <c r="P10" s="317" t="str">
        <f aca="true">IF(AND(L10="🔄 SWAP ME",M10&lt;&gt;""),TODAY(),"")</f>
        <v/>
      </c>
      <c r="Q10" s="315" t="s">
        <v>631</v>
      </c>
    </row>
    <row r="11" customFormat="false" ht="19.5" hidden="false" customHeight="true" outlineLevel="0" collapsed="false">
      <c r="B11" s="313" t="s">
        <v>145</v>
      </c>
      <c r="C11" s="309" t="s">
        <v>517</v>
      </c>
      <c r="D11" s="240" t="n">
        <v>46117</v>
      </c>
      <c r="E11" s="36" t="s">
        <v>617</v>
      </c>
      <c r="F11" s="178" t="str">
        <f aca="false">IF(AND(L11="🔄 SWAP ME",M11&lt;&gt;""),M11,IFERROR(INDEX($O$5:$O$375,MATCH(O11,$M$5:$M$375,0)),O11))</f>
        <v>P0: Draw Swiggy data flow diagram + set up GitHub learning repo structure</v>
      </c>
      <c r="G11" s="175" t="s">
        <v>226</v>
      </c>
      <c r="H11" s="39" t="n">
        <v>1.5</v>
      </c>
      <c r="I11" s="40" t="n">
        <v>3</v>
      </c>
      <c r="J11" s="41" t="n">
        <v>4</v>
      </c>
      <c r="K11" s="179" t="s">
        <v>1352</v>
      </c>
      <c r="L11" s="179" t="s">
        <v>1349</v>
      </c>
      <c r="M11" s="241"/>
      <c r="N11" s="316" t="str">
        <f aca="false">IF(AND(L11="🔄 SWAP ME",M11&lt;&gt;""),"⚡ SWAPPED","")</f>
        <v/>
      </c>
      <c r="O11" s="9" t="s">
        <v>632</v>
      </c>
      <c r="P11" s="317" t="str">
        <f aca="true">IF(AND(L11="🔄 SWAP ME",M11&lt;&gt;""),TODAY(),"")</f>
        <v/>
      </c>
      <c r="Q11" s="315" t="s">
        <v>633</v>
      </c>
    </row>
    <row r="12" customFormat="false" ht="12" hidden="false" customHeight="true" outlineLevel="0" collapsed="false">
      <c r="B12" s="318" t="s">
        <v>1353</v>
      </c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8"/>
      <c r="N12" s="318"/>
      <c r="O12" s="318"/>
      <c r="P12" s="318"/>
      <c r="Q12" s="318"/>
    </row>
    <row r="13" customFormat="false" ht="19.5" hidden="false" customHeight="true" outlineLevel="0" collapsed="false">
      <c r="B13" s="319" t="s">
        <v>146</v>
      </c>
      <c r="C13" s="273" t="s">
        <v>118</v>
      </c>
      <c r="D13" s="244" t="n">
        <v>46118</v>
      </c>
      <c r="E13" s="274" t="s">
        <v>623</v>
      </c>
      <c r="F13" s="37" t="str">
        <f aca="false">IF(AND(L13="🔄 SWAP ME",M13&lt;&gt;""),M13,IFERROR(INDEX($O$5:$O$375,MATCH(O13,$M$5:$M$375,0)),O13))</f>
        <v>SQL: What is Database? RDBMS vs NoSQL, ACID, transactions, DDL/DML/DQL/DCL</v>
      </c>
      <c r="G13" s="182" t="s">
        <v>246</v>
      </c>
      <c r="H13" s="39" t="n">
        <v>0.5</v>
      </c>
      <c r="I13" s="40" t="n">
        <v>1</v>
      </c>
      <c r="J13" s="41" t="n">
        <v>1.5</v>
      </c>
      <c r="K13" s="76" t="s">
        <v>1348</v>
      </c>
      <c r="L13" s="76" t="s">
        <v>1349</v>
      </c>
      <c r="M13" s="245"/>
      <c r="N13" s="63" t="str">
        <f aca="false">IF(AND(L13="🔄 SWAP ME",M13&lt;&gt;""),"⚡ SWAPPED","")</f>
        <v/>
      </c>
      <c r="O13" s="9" t="s">
        <v>635</v>
      </c>
      <c r="P13" s="314" t="str">
        <f aca="true">IF(AND(L13="🔄 SWAP ME",M13&lt;&gt;""),TODAY(),"")</f>
        <v/>
      </c>
      <c r="Q13" s="270" t="s">
        <v>637</v>
      </c>
    </row>
    <row r="14" customFormat="false" ht="19.5" hidden="false" customHeight="true" outlineLevel="0" collapsed="false">
      <c r="B14" s="319" t="s">
        <v>146</v>
      </c>
      <c r="C14" s="273" t="s">
        <v>123</v>
      </c>
      <c r="D14" s="244" t="n">
        <v>46119</v>
      </c>
      <c r="E14" s="274" t="s">
        <v>623</v>
      </c>
      <c r="F14" s="37" t="str">
        <f aca="false">IF(AND(L14="🔄 SWAP ME",M14&lt;&gt;""),M14,IFERROR(INDEX($O$5:$O$375,MATCH(O14,$M$5:$M$375,0)),O14))</f>
        <v>SQL: CREATE, ALTER, DROP, TRUNCATE, INSERT, UPDATE, DELETE — syntax + differences</v>
      </c>
      <c r="G14" s="182" t="s">
        <v>246</v>
      </c>
      <c r="H14" s="39" t="n">
        <v>0.5</v>
      </c>
      <c r="I14" s="40" t="n">
        <v>1</v>
      </c>
      <c r="J14" s="41" t="n">
        <v>1.5</v>
      </c>
      <c r="K14" s="76" t="s">
        <v>1348</v>
      </c>
      <c r="L14" s="76" t="s">
        <v>1349</v>
      </c>
      <c r="M14" s="245"/>
      <c r="N14" s="63" t="str">
        <f aca="false">IF(AND(L14="🔄 SWAP ME",M14&lt;&gt;""),"⚡ SWAPPED","")</f>
        <v/>
      </c>
      <c r="O14" s="9" t="s">
        <v>638</v>
      </c>
      <c r="P14" s="314" t="str">
        <f aca="true">IF(AND(L14="🔄 SWAP ME",M14&lt;&gt;""),TODAY(),"")</f>
        <v/>
      </c>
      <c r="Q14" s="270" t="s">
        <v>639</v>
      </c>
    </row>
    <row r="15" customFormat="false" ht="19.5" hidden="false" customHeight="true" outlineLevel="0" collapsed="false">
      <c r="B15" s="319" t="s">
        <v>146</v>
      </c>
      <c r="C15" s="273" t="s">
        <v>126</v>
      </c>
      <c r="D15" s="244" t="n">
        <v>46120</v>
      </c>
      <c r="E15" s="274" t="s">
        <v>623</v>
      </c>
      <c r="F15" s="37" t="str">
        <f aca="false">IF(AND(L15="🔄 SWAP ME",M15&lt;&gt;""),M15,IFERROR(INDEX($O$5:$O$375,MATCH(O15,$M$5:$M$375,0)),O15))</f>
        <v>SQL: SELECT, WHERE, ORDER BY, LIMIT, IN/NOT IN, EXISTS/NOT EXISTS, LIKE, IS NULL</v>
      </c>
      <c r="G15" s="182" t="s">
        <v>246</v>
      </c>
      <c r="H15" s="39" t="n">
        <v>0.5</v>
      </c>
      <c r="I15" s="40" t="n">
        <v>1</v>
      </c>
      <c r="J15" s="41" t="n">
        <v>1.5</v>
      </c>
      <c r="K15" s="76" t="s">
        <v>1348</v>
      </c>
      <c r="L15" s="76" t="s">
        <v>1349</v>
      </c>
      <c r="M15" s="245"/>
      <c r="N15" s="63" t="str">
        <f aca="false">IF(AND(L15="🔄 SWAP ME",M15&lt;&gt;""),"⚡ SWAPPED","")</f>
        <v/>
      </c>
      <c r="O15" s="9" t="s">
        <v>640</v>
      </c>
      <c r="P15" s="314" t="str">
        <f aca="true">IF(AND(L15="🔄 SWAP ME",M15&lt;&gt;""),TODAY(),"")</f>
        <v/>
      </c>
      <c r="Q15" s="270" t="s">
        <v>641</v>
      </c>
    </row>
    <row r="16" customFormat="false" ht="19.5" hidden="false" customHeight="true" outlineLevel="0" collapsed="false">
      <c r="B16" s="319" t="s">
        <v>146</v>
      </c>
      <c r="C16" s="273" t="s">
        <v>130</v>
      </c>
      <c r="D16" s="244" t="n">
        <v>46121</v>
      </c>
      <c r="E16" s="274" t="s">
        <v>623</v>
      </c>
      <c r="F16" s="37" t="str">
        <f aca="false">IF(AND(L16="🔄 SWAP ME",M16&lt;&gt;""),M16,IFERROR(INDEX($O$5:$O$375,MATCH(O16,$M$5:$M$375,0)),O16))</f>
        <v>SQL: Joins — INNER, LEFT, RIGHT, FULL OUTER, CROSS, SELF — NULL behaviour</v>
      </c>
      <c r="G16" s="182" t="s">
        <v>246</v>
      </c>
      <c r="H16" s="39" t="n">
        <v>0.5</v>
      </c>
      <c r="I16" s="40" t="n">
        <v>1</v>
      </c>
      <c r="J16" s="41" t="n">
        <v>1.5</v>
      </c>
      <c r="K16" s="76" t="s">
        <v>1348</v>
      </c>
      <c r="L16" s="76" t="s">
        <v>1349</v>
      </c>
      <c r="M16" s="245"/>
      <c r="N16" s="63" t="str">
        <f aca="false">IF(AND(L16="🔄 SWAP ME",M16&lt;&gt;""),"⚡ SWAPPED","")</f>
        <v/>
      </c>
      <c r="O16" s="9" t="s">
        <v>642</v>
      </c>
      <c r="P16" s="314" t="str">
        <f aca="true">IF(AND(L16="🔄 SWAP ME",M16&lt;&gt;""),TODAY(),"")</f>
        <v/>
      </c>
      <c r="Q16" s="270" t="s">
        <v>643</v>
      </c>
    </row>
    <row r="17" customFormat="false" ht="19.5" hidden="false" customHeight="true" outlineLevel="0" collapsed="false">
      <c r="B17" s="319" t="s">
        <v>146</v>
      </c>
      <c r="C17" s="273" t="s">
        <v>133</v>
      </c>
      <c r="D17" s="244" t="n">
        <v>46122</v>
      </c>
      <c r="E17" s="274" t="s">
        <v>623</v>
      </c>
      <c r="F17" s="37" t="str">
        <f aca="false">IF(AND(L17="🔄 SWAP ME",M17&lt;&gt;""),M17,IFERROR(INDEX($O$5:$O$375,MATCH(O17,$M$5:$M$375,0)),O17))</f>
        <v>DSA: Arrays+Hashing — Product Except Self, Top K Frequent, Longest Consecutive</v>
      </c>
      <c r="G17" s="182" t="s">
        <v>246</v>
      </c>
      <c r="H17" s="39" t="n">
        <v>0.3</v>
      </c>
      <c r="I17" s="40" t="n">
        <v>0.5</v>
      </c>
      <c r="J17" s="41" t="n">
        <v>0.75</v>
      </c>
      <c r="K17" s="76" t="s">
        <v>1348</v>
      </c>
      <c r="L17" s="76" t="s">
        <v>1349</v>
      </c>
      <c r="M17" s="245"/>
      <c r="N17" s="63" t="str">
        <f aca="false">IF(AND(L17="🔄 SWAP ME",M17&lt;&gt;""),"⚡ SWAPPED","")</f>
        <v/>
      </c>
      <c r="O17" s="9" t="s">
        <v>644</v>
      </c>
      <c r="P17" s="314" t="str">
        <f aca="true">IF(AND(L17="🔄 SWAP ME",M17&lt;&gt;""),TODAY(),"")</f>
        <v/>
      </c>
      <c r="Q17" s="315" t="s">
        <v>645</v>
      </c>
    </row>
    <row r="18" customFormat="false" ht="19.5" hidden="false" customHeight="true" outlineLevel="0" collapsed="false">
      <c r="B18" s="319" t="s">
        <v>146</v>
      </c>
      <c r="C18" s="309" t="s">
        <v>516</v>
      </c>
      <c r="D18" s="240" t="n">
        <v>46123</v>
      </c>
      <c r="E18" s="274" t="s">
        <v>623</v>
      </c>
      <c r="F18" s="178" t="str">
        <f aca="false">IF(AND(L18="🔄 SWAP ME",M18&lt;&gt;""),M18,IFERROR(INDEX($O$5:$O$375,MATCH(O18,$M$5:$M$375,0)),O18))</f>
        <v>SQL: GROUP BY, HAVING, ROLLUP, CUBE, aggregate functions, CASE WHEN</v>
      </c>
      <c r="G18" s="182" t="s">
        <v>246</v>
      </c>
      <c r="H18" s="39" t="n">
        <v>1</v>
      </c>
      <c r="I18" s="40" t="n">
        <v>2</v>
      </c>
      <c r="J18" s="41" t="n">
        <v>3</v>
      </c>
      <c r="K18" s="179" t="s">
        <v>1351</v>
      </c>
      <c r="L18" s="179" t="s">
        <v>1349</v>
      </c>
      <c r="M18" s="241"/>
      <c r="N18" s="316" t="str">
        <f aca="false">IF(AND(L18="🔄 SWAP ME",M18&lt;&gt;""),"⚡ SWAPPED","")</f>
        <v/>
      </c>
      <c r="O18" s="9" t="s">
        <v>646</v>
      </c>
      <c r="P18" s="317" t="str">
        <f aca="true">IF(AND(L18="🔄 SWAP ME",M18&lt;&gt;""),TODAY(),"")</f>
        <v/>
      </c>
      <c r="Q18" s="270" t="s">
        <v>643</v>
      </c>
    </row>
    <row r="19" customFormat="false" ht="19.5" hidden="false" customHeight="true" outlineLevel="0" collapsed="false">
      <c r="B19" s="319" t="s">
        <v>146</v>
      </c>
      <c r="C19" s="309" t="s">
        <v>517</v>
      </c>
      <c r="D19" s="240" t="n">
        <v>46124</v>
      </c>
      <c r="E19" s="274" t="s">
        <v>623</v>
      </c>
      <c r="F19" s="178" t="str">
        <f aca="false">IF(AND(L19="🔄 SWAP ME",M19&lt;&gt;""),M19,IFERROR(INDEX($O$5:$O$375,MATCH(O19,$M$5:$M$375,0)),O19))</f>
        <v>P1: Build e-commerce database schema from scratch + 10 analytical SQL queries</v>
      </c>
      <c r="G19" s="182" t="s">
        <v>246</v>
      </c>
      <c r="H19" s="39" t="n">
        <v>1.5</v>
      </c>
      <c r="I19" s="40" t="n">
        <v>3</v>
      </c>
      <c r="J19" s="41" t="n">
        <v>4</v>
      </c>
      <c r="K19" s="179" t="s">
        <v>1352</v>
      </c>
      <c r="L19" s="179" t="s">
        <v>1349</v>
      </c>
      <c r="M19" s="241"/>
      <c r="N19" s="316" t="str">
        <f aca="false">IF(AND(L19="🔄 SWAP ME",M19&lt;&gt;""),"⚡ SWAPPED","")</f>
        <v/>
      </c>
      <c r="O19" s="9" t="s">
        <v>647</v>
      </c>
      <c r="P19" s="317" t="str">
        <f aca="true">IF(AND(L19="🔄 SWAP ME",M19&lt;&gt;""),TODAY(),"")</f>
        <v/>
      </c>
      <c r="Q19" s="315" t="s">
        <v>648</v>
      </c>
    </row>
    <row r="20" customFormat="false" ht="12" hidden="false" customHeight="true" outlineLevel="0" collapsed="false">
      <c r="B20" s="318" t="s">
        <v>1354</v>
      </c>
      <c r="C20" s="318"/>
      <c r="D20" s="318"/>
      <c r="E20" s="318"/>
      <c r="F20" s="318"/>
      <c r="G20" s="318"/>
      <c r="H20" s="318"/>
      <c r="I20" s="318"/>
      <c r="J20" s="318"/>
      <c r="K20" s="318"/>
      <c r="L20" s="318"/>
      <c r="M20" s="318"/>
      <c r="N20" s="318"/>
      <c r="O20" s="318"/>
      <c r="P20" s="318"/>
      <c r="Q20" s="318"/>
    </row>
    <row r="21" customFormat="false" ht="19.5" hidden="false" customHeight="true" outlineLevel="0" collapsed="false">
      <c r="B21" s="319" t="s">
        <v>147</v>
      </c>
      <c r="C21" s="273" t="s">
        <v>118</v>
      </c>
      <c r="D21" s="244" t="n">
        <v>46125</v>
      </c>
      <c r="E21" s="274" t="s">
        <v>623</v>
      </c>
      <c r="F21" s="37" t="str">
        <f aca="false">IF(AND(L21="🔄 SWAP ME",M21&lt;&gt;""),M21,IFERROR(INDEX($O$5:$O$375,MATCH(O21,$M$5:$M$375,0)),O21))</f>
        <v>SQL Advanced: Window functions — ROW_NUMBER, RANK, DENSE_RANK, NTILE, PERCENT_RANK</v>
      </c>
      <c r="G21" s="182" t="s">
        <v>246</v>
      </c>
      <c r="H21" s="39" t="n">
        <v>0.5</v>
      </c>
      <c r="I21" s="40" t="n">
        <v>1</v>
      </c>
      <c r="J21" s="41" t="n">
        <v>1.5</v>
      </c>
      <c r="K21" s="76" t="s">
        <v>1348</v>
      </c>
      <c r="L21" s="76" t="s">
        <v>1349</v>
      </c>
      <c r="M21" s="245"/>
      <c r="N21" s="63" t="str">
        <f aca="false">IF(AND(L21="🔄 SWAP ME",M21&lt;&gt;""),"⚡ SWAPPED","")</f>
        <v/>
      </c>
      <c r="O21" s="9" t="s">
        <v>649</v>
      </c>
      <c r="P21" s="314" t="str">
        <f aca="true">IF(AND(L21="🔄 SWAP ME",M21&lt;&gt;""),TODAY(),"")</f>
        <v/>
      </c>
      <c r="Q21" s="270" t="s">
        <v>650</v>
      </c>
    </row>
    <row r="22" customFormat="false" ht="19.5" hidden="false" customHeight="true" outlineLevel="0" collapsed="false">
      <c r="B22" s="319" t="s">
        <v>147</v>
      </c>
      <c r="C22" s="273" t="s">
        <v>123</v>
      </c>
      <c r="D22" s="244" t="n">
        <v>46126</v>
      </c>
      <c r="E22" s="274" t="s">
        <v>623</v>
      </c>
      <c r="F22" s="37" t="str">
        <f aca="false">IF(AND(L22="🔄 SWAP ME",M22&lt;&gt;""),M22,IFERROR(INDEX($O$5:$O$375,MATCH(O22,$M$5:$M$375,0)),O22))</f>
        <v>SQL Advanced: LAG, LEAD, FIRST_VALUE, LAST_VALUE, NTH_VALUE — analytical functions</v>
      </c>
      <c r="G22" s="182" t="s">
        <v>246</v>
      </c>
      <c r="H22" s="39" t="n">
        <v>0.5</v>
      </c>
      <c r="I22" s="40" t="n">
        <v>1</v>
      </c>
      <c r="J22" s="41" t="n">
        <v>1.5</v>
      </c>
      <c r="K22" s="76" t="s">
        <v>1348</v>
      </c>
      <c r="L22" s="76" t="s">
        <v>1349</v>
      </c>
      <c r="M22" s="245"/>
      <c r="N22" s="63" t="str">
        <f aca="false">IF(AND(L22="🔄 SWAP ME",M22&lt;&gt;""),"⚡ SWAPPED","")</f>
        <v/>
      </c>
      <c r="O22" s="9" t="s">
        <v>651</v>
      </c>
      <c r="P22" s="314" t="str">
        <f aca="true">IF(AND(L22="🔄 SWAP ME",M22&lt;&gt;""),TODAY(),"")</f>
        <v/>
      </c>
      <c r="Q22" s="270" t="s">
        <v>650</v>
      </c>
    </row>
    <row r="23" customFormat="false" ht="19.5" hidden="false" customHeight="true" outlineLevel="0" collapsed="false">
      <c r="B23" s="319" t="s">
        <v>147</v>
      </c>
      <c r="C23" s="273" t="s">
        <v>126</v>
      </c>
      <c r="D23" s="244" t="n">
        <v>46127</v>
      </c>
      <c r="E23" s="274" t="s">
        <v>623</v>
      </c>
      <c r="F23" s="37" t="str">
        <f aca="false">IF(AND(L23="🔄 SWAP ME",M23&lt;&gt;""),M23,IFERROR(INDEX($O$5:$O$375,MATCH(O23,$M$5:$M$375,0)),O23))</f>
        <v>SQL Advanced: ROWS BETWEEN vs RANGE BETWEEN frames — critical difference with examples</v>
      </c>
      <c r="G23" s="182" t="s">
        <v>246</v>
      </c>
      <c r="H23" s="39" t="n">
        <v>0.5</v>
      </c>
      <c r="I23" s="40" t="n">
        <v>1</v>
      </c>
      <c r="J23" s="41" t="n">
        <v>1.5</v>
      </c>
      <c r="K23" s="76" t="s">
        <v>1348</v>
      </c>
      <c r="L23" s="76" t="s">
        <v>1349</v>
      </c>
      <c r="M23" s="245"/>
      <c r="N23" s="63" t="str">
        <f aca="false">IF(AND(L23="🔄 SWAP ME",M23&lt;&gt;""),"⚡ SWAPPED","")</f>
        <v/>
      </c>
      <c r="O23" s="9" t="s">
        <v>652</v>
      </c>
      <c r="P23" s="314" t="str">
        <f aca="true">IF(AND(L23="🔄 SWAP ME",M23&lt;&gt;""),TODAY(),"")</f>
        <v/>
      </c>
      <c r="Q23" s="315" t="s">
        <v>653</v>
      </c>
    </row>
    <row r="24" customFormat="false" ht="19.5" hidden="false" customHeight="true" outlineLevel="0" collapsed="false">
      <c r="B24" s="319" t="s">
        <v>147</v>
      </c>
      <c r="C24" s="273" t="s">
        <v>130</v>
      </c>
      <c r="D24" s="244" t="n">
        <v>46128</v>
      </c>
      <c r="E24" s="274" t="s">
        <v>623</v>
      </c>
      <c r="F24" s="37" t="str">
        <f aca="false">IF(AND(L24="🔄 SWAP ME",M24&lt;&gt;""),M24,IFERROR(INDEX($O$5:$O$375,MATCH(O24,$M$5:$M$375,0)),O24))</f>
        <v>SQL Advanced: CTEs (simple/multiple/chained), Recursive CTEs (hierarchy traversal)</v>
      </c>
      <c r="G24" s="182" t="s">
        <v>246</v>
      </c>
      <c r="H24" s="39" t="n">
        <v>0.5</v>
      </c>
      <c r="I24" s="40" t="n">
        <v>1</v>
      </c>
      <c r="J24" s="41" t="n">
        <v>1.5</v>
      </c>
      <c r="K24" s="76" t="s">
        <v>1348</v>
      </c>
      <c r="L24" s="76" t="s">
        <v>1349</v>
      </c>
      <c r="M24" s="245"/>
      <c r="N24" s="63" t="str">
        <f aca="false">IF(AND(L24="🔄 SWAP ME",M24&lt;&gt;""),"⚡ SWAPPED","")</f>
        <v/>
      </c>
      <c r="O24" s="9" t="s">
        <v>654</v>
      </c>
      <c r="P24" s="314" t="str">
        <f aca="true">IF(AND(L24="🔄 SWAP ME",M24&lt;&gt;""),TODAY(),"")</f>
        <v/>
      </c>
      <c r="Q24" s="270" t="s">
        <v>650</v>
      </c>
    </row>
    <row r="25" customFormat="false" ht="19.5" hidden="false" customHeight="true" outlineLevel="0" collapsed="false">
      <c r="B25" s="319" t="s">
        <v>147</v>
      </c>
      <c r="C25" s="273" t="s">
        <v>133</v>
      </c>
      <c r="D25" s="244" t="n">
        <v>46129</v>
      </c>
      <c r="E25" s="274" t="s">
        <v>623</v>
      </c>
      <c r="F25" s="37" t="str">
        <f aca="false">IF(AND(L25="🔄 SWAP ME",M25&lt;&gt;""),M25,IFERROR(INDEX($O$5:$O$375,MATCH(O25,$M$5:$M$375,0)),O25))</f>
        <v>DSA: Two Pointers — Valid Palindrome II, 3Sum, Container with Most Water</v>
      </c>
      <c r="G25" s="182" t="s">
        <v>246</v>
      </c>
      <c r="H25" s="39" t="n">
        <v>0.3</v>
      </c>
      <c r="I25" s="40" t="n">
        <v>0.5</v>
      </c>
      <c r="J25" s="41" t="n">
        <v>0.75</v>
      </c>
      <c r="K25" s="76" t="s">
        <v>1348</v>
      </c>
      <c r="L25" s="76" t="s">
        <v>1349</v>
      </c>
      <c r="M25" s="245"/>
      <c r="N25" s="63" t="str">
        <f aca="false">IF(AND(L25="🔄 SWAP ME",M25&lt;&gt;""),"⚡ SWAPPED","")</f>
        <v/>
      </c>
      <c r="O25" s="9" t="s">
        <v>655</v>
      </c>
      <c r="P25" s="314" t="str">
        <f aca="true">IF(AND(L25="🔄 SWAP ME",M25&lt;&gt;""),TODAY(),"")</f>
        <v/>
      </c>
      <c r="Q25" s="315" t="s">
        <v>656</v>
      </c>
    </row>
    <row r="26" customFormat="false" ht="19.5" hidden="false" customHeight="true" outlineLevel="0" collapsed="false">
      <c r="B26" s="319" t="s">
        <v>147</v>
      </c>
      <c r="C26" s="309" t="s">
        <v>516</v>
      </c>
      <c r="D26" s="240" t="n">
        <v>46130</v>
      </c>
      <c r="E26" s="274" t="s">
        <v>623</v>
      </c>
      <c r="F26" s="178" t="str">
        <f aca="false">IF(AND(L26="🔄 SWAP ME",M26&lt;&gt;""),M26,IFERROR(INDEX($O$5:$O$375,MATCH(O26,$M$5:$M$375,0)),O26))</f>
        <v>SQL Advanced: MERGE (upsert/CDC), SCD Type 1/2/3 implementation in pure SQL</v>
      </c>
      <c r="G26" s="182" t="s">
        <v>246</v>
      </c>
      <c r="H26" s="39" t="n">
        <v>1</v>
      </c>
      <c r="I26" s="40" t="n">
        <v>2</v>
      </c>
      <c r="J26" s="41" t="n">
        <v>3</v>
      </c>
      <c r="K26" s="179" t="s">
        <v>1351</v>
      </c>
      <c r="L26" s="179" t="s">
        <v>1349</v>
      </c>
      <c r="M26" s="241"/>
      <c r="N26" s="316" t="str">
        <f aca="false">IF(AND(L26="🔄 SWAP ME",M26&lt;&gt;""),"⚡ SWAPPED","")</f>
        <v/>
      </c>
      <c r="O26" s="9" t="s">
        <v>657</v>
      </c>
      <c r="P26" s="317" t="str">
        <f aca="true">IF(AND(L26="🔄 SWAP ME",M26&lt;&gt;""),TODAY(),"")</f>
        <v/>
      </c>
      <c r="Q26" s="315" t="s">
        <v>658</v>
      </c>
    </row>
    <row r="27" customFormat="false" ht="19.5" hidden="false" customHeight="true" outlineLevel="0" collapsed="false">
      <c r="B27" s="319" t="s">
        <v>147</v>
      </c>
      <c r="C27" s="309" t="s">
        <v>517</v>
      </c>
      <c r="D27" s="240" t="n">
        <v>46131</v>
      </c>
      <c r="E27" s="274" t="s">
        <v>623</v>
      </c>
      <c r="F27" s="178" t="str">
        <f aca="false">IF(AND(L27="🔄 SWAP ME",M27&lt;&gt;""),M27,IFERROR(INDEX($O$5:$O$375,MATCH(O27,$M$5:$M$375,0)),O27))</f>
        <v>P1 cont: SCD2 customer dimension with MERGE + 10 window function queries</v>
      </c>
      <c r="G27" s="182" t="s">
        <v>246</v>
      </c>
      <c r="H27" s="39" t="n">
        <v>1.5</v>
      </c>
      <c r="I27" s="40" t="n">
        <v>3</v>
      </c>
      <c r="J27" s="41" t="n">
        <v>5</v>
      </c>
      <c r="K27" s="179" t="s">
        <v>1352</v>
      </c>
      <c r="L27" s="179" t="s">
        <v>1349</v>
      </c>
      <c r="M27" s="241"/>
      <c r="N27" s="316" t="str">
        <f aca="false">IF(AND(L27="🔄 SWAP ME",M27&lt;&gt;""),"⚡ SWAPPED","")</f>
        <v/>
      </c>
      <c r="O27" s="9" t="s">
        <v>659</v>
      </c>
      <c r="P27" s="317" t="str">
        <f aca="true">IF(AND(L27="🔄 SWAP ME",M27&lt;&gt;""),TODAY(),"")</f>
        <v/>
      </c>
      <c r="Q27" s="315" t="s">
        <v>660</v>
      </c>
    </row>
    <row r="28" customFormat="false" ht="12" hidden="false" customHeight="true" outlineLevel="0" collapsed="false">
      <c r="B28" s="318" t="s">
        <v>1355</v>
      </c>
      <c r="C28" s="318"/>
      <c r="D28" s="318"/>
      <c r="E28" s="318"/>
      <c r="F28" s="318"/>
      <c r="G28" s="318"/>
      <c r="H28" s="318"/>
      <c r="I28" s="318"/>
      <c r="J28" s="318"/>
      <c r="K28" s="318"/>
      <c r="L28" s="318"/>
      <c r="M28" s="318"/>
      <c r="N28" s="318"/>
      <c r="O28" s="318"/>
      <c r="P28" s="318"/>
      <c r="Q28" s="318"/>
    </row>
    <row r="29" customFormat="false" ht="19.5" hidden="false" customHeight="true" outlineLevel="0" collapsed="false">
      <c r="B29" s="319" t="s">
        <v>148</v>
      </c>
      <c r="C29" s="273" t="s">
        <v>118</v>
      </c>
      <c r="D29" s="244" t="n">
        <v>46132</v>
      </c>
      <c r="E29" s="36" t="s">
        <v>617</v>
      </c>
      <c r="F29" s="37" t="str">
        <f aca="false">IF(AND(L29="🔄 SWAP ME",M29&lt;&gt;""),M29,IFERROR(INDEX($O$5:$O$375,MATCH(O29,$M$5:$M$375,0)),O29))</f>
        <v>SQL Advanced: Pivot/Unpivot, conditional aggregation (SUM CASE WHEN pattern)</v>
      </c>
      <c r="G29" s="182" t="s">
        <v>246</v>
      </c>
      <c r="H29" s="39" t="n">
        <v>0.5</v>
      </c>
      <c r="I29" s="40" t="n">
        <v>0.75</v>
      </c>
      <c r="J29" s="41" t="n">
        <v>1</v>
      </c>
      <c r="K29" s="76" t="s">
        <v>1348</v>
      </c>
      <c r="L29" s="76" t="s">
        <v>1349</v>
      </c>
      <c r="M29" s="245"/>
      <c r="N29" s="63" t="str">
        <f aca="false">IF(AND(L29="🔄 SWAP ME",M29&lt;&gt;""),"⚡ SWAPPED","")</f>
        <v/>
      </c>
      <c r="O29" s="9" t="s">
        <v>661</v>
      </c>
      <c r="P29" s="314" t="str">
        <f aca="true">IF(AND(L29="🔄 SWAP ME",M29&lt;&gt;""),TODAY(),"")</f>
        <v/>
      </c>
      <c r="Q29" s="315" t="s">
        <v>662</v>
      </c>
    </row>
    <row r="30" customFormat="false" ht="19.5" hidden="false" customHeight="true" outlineLevel="0" collapsed="false">
      <c r="B30" s="319" t="s">
        <v>148</v>
      </c>
      <c r="C30" s="273" t="s">
        <v>123</v>
      </c>
      <c r="D30" s="244" t="n">
        <v>46133</v>
      </c>
      <c r="E30" s="36" t="s">
        <v>617</v>
      </c>
      <c r="F30" s="37" t="str">
        <f aca="false">IF(AND(L30="🔄 SWAP ME",M30&lt;&gt;""),M30,IFERROR(INDEX($O$5:$O$375,MATCH(O30,$M$5:$M$375,0)),O30))</f>
        <v>SQL Advanced: JSON in SQL — JSON_VALUE, JSON_QUERY, OPENJSON, FLATTEN</v>
      </c>
      <c r="G30" s="182" t="s">
        <v>246</v>
      </c>
      <c r="H30" s="39" t="n">
        <v>0.5</v>
      </c>
      <c r="I30" s="40" t="n">
        <v>0.75</v>
      </c>
      <c r="J30" s="41" t="n">
        <v>1</v>
      </c>
      <c r="K30" s="76" t="s">
        <v>1348</v>
      </c>
      <c r="L30" s="76" t="s">
        <v>1349</v>
      </c>
      <c r="M30" s="245"/>
      <c r="N30" s="63" t="str">
        <f aca="false">IF(AND(L30="🔄 SWAP ME",M30&lt;&gt;""),"⚡ SWAPPED","")</f>
        <v/>
      </c>
      <c r="O30" s="9" t="s">
        <v>663</v>
      </c>
      <c r="P30" s="314" t="str">
        <f aca="true">IF(AND(L30="🔄 SWAP ME",M30&lt;&gt;""),TODAY(),"")</f>
        <v/>
      </c>
      <c r="Q30" s="315" t="s">
        <v>664</v>
      </c>
    </row>
    <row r="31" customFormat="false" ht="19.5" hidden="false" customHeight="true" outlineLevel="0" collapsed="false">
      <c r="B31" s="319" t="s">
        <v>148</v>
      </c>
      <c r="C31" s="273" t="s">
        <v>126</v>
      </c>
      <c r="D31" s="244" t="n">
        <v>46134</v>
      </c>
      <c r="E31" s="274" t="s">
        <v>623</v>
      </c>
      <c r="F31" s="37" t="str">
        <f aca="false">IF(AND(L31="🔄 SWAP ME",M31&lt;&gt;""),M31,IFERROR(INDEX($O$5:$O$375,MATCH(O31,$M$5:$M$375,0)),O31))</f>
        <v>SQL Advanced: Query optimization — EXPLAIN plans, B-tree vs hash index types</v>
      </c>
      <c r="G31" s="182" t="s">
        <v>246</v>
      </c>
      <c r="H31" s="39" t="n">
        <v>0.5</v>
      </c>
      <c r="I31" s="40" t="n">
        <v>1</v>
      </c>
      <c r="J31" s="41" t="n">
        <v>1.5</v>
      </c>
      <c r="K31" s="76" t="s">
        <v>1348</v>
      </c>
      <c r="L31" s="76" t="s">
        <v>1349</v>
      </c>
      <c r="M31" s="245"/>
      <c r="N31" s="63" t="str">
        <f aca="false">IF(AND(L31="🔄 SWAP ME",M31&lt;&gt;""),"⚡ SWAPPED","")</f>
        <v/>
      </c>
      <c r="O31" s="9" t="s">
        <v>665</v>
      </c>
      <c r="P31" s="314" t="str">
        <f aca="true">IF(AND(L31="🔄 SWAP ME",M31&lt;&gt;""),TODAY(),"")</f>
        <v/>
      </c>
      <c r="Q31" s="315" t="s">
        <v>666</v>
      </c>
    </row>
    <row r="32" customFormat="false" ht="19.5" hidden="false" customHeight="true" outlineLevel="0" collapsed="false">
      <c r="B32" s="319" t="s">
        <v>148</v>
      </c>
      <c r="C32" s="273" t="s">
        <v>130</v>
      </c>
      <c r="D32" s="244" t="n">
        <v>46135</v>
      </c>
      <c r="E32" s="36" t="s">
        <v>617</v>
      </c>
      <c r="F32" s="37" t="str">
        <f aca="false">IF(AND(L32="🔄 SWAP ME",M32&lt;&gt;""),M32,IFERROR(INDEX($O$5:$O$375,MATCH(O32,$M$5:$M$375,0)),O32))</f>
        <v>SQL Advanced: Partitioning — range/hash/list, partition pruning in queries</v>
      </c>
      <c r="G32" s="182" t="s">
        <v>246</v>
      </c>
      <c r="H32" s="39" t="n">
        <v>0.5</v>
      </c>
      <c r="I32" s="40" t="n">
        <v>0.75</v>
      </c>
      <c r="J32" s="41" t="n">
        <v>1</v>
      </c>
      <c r="K32" s="76" t="s">
        <v>1348</v>
      </c>
      <c r="L32" s="76" t="s">
        <v>1349</v>
      </c>
      <c r="M32" s="245"/>
      <c r="N32" s="63" t="str">
        <f aca="false">IF(AND(L32="🔄 SWAP ME",M32&lt;&gt;""),"⚡ SWAPPED","")</f>
        <v/>
      </c>
      <c r="O32" s="9" t="s">
        <v>667</v>
      </c>
      <c r="P32" s="314" t="str">
        <f aca="true">IF(AND(L32="🔄 SWAP ME",M32&lt;&gt;""),TODAY(),"")</f>
        <v/>
      </c>
      <c r="Q32" s="315" t="s">
        <v>668</v>
      </c>
    </row>
    <row r="33" customFormat="false" ht="19.5" hidden="false" customHeight="true" outlineLevel="0" collapsed="false">
      <c r="B33" s="319" t="s">
        <v>148</v>
      </c>
      <c r="C33" s="273" t="s">
        <v>133</v>
      </c>
      <c r="D33" s="244" t="n">
        <v>46136</v>
      </c>
      <c r="E33" s="274" t="s">
        <v>623</v>
      </c>
      <c r="F33" s="37" t="str">
        <f aca="false">IF(AND(L33="🔄 SWAP ME",M33&lt;&gt;""),M33,IFERROR(INDEX($O$5:$O$375,MATCH(O33,$M$5:$M$375,0)),O33))</f>
        <v>DSA: Sliding Window — Min Window Substring, Permutation in String</v>
      </c>
      <c r="G33" s="182" t="s">
        <v>246</v>
      </c>
      <c r="H33" s="39" t="n">
        <v>0.3</v>
      </c>
      <c r="I33" s="40" t="n">
        <v>0.5</v>
      </c>
      <c r="J33" s="41" t="n">
        <v>0.75</v>
      </c>
      <c r="K33" s="76" t="s">
        <v>1348</v>
      </c>
      <c r="L33" s="76" t="s">
        <v>1349</v>
      </c>
      <c r="M33" s="245"/>
      <c r="N33" s="63" t="str">
        <f aca="false">IF(AND(L33="🔄 SWAP ME",M33&lt;&gt;""),"⚡ SWAPPED","")</f>
        <v/>
      </c>
      <c r="O33" s="9" t="s">
        <v>669</v>
      </c>
      <c r="P33" s="314" t="str">
        <f aca="true">IF(AND(L33="🔄 SWAP ME",M33&lt;&gt;""),TODAY(),"")</f>
        <v/>
      </c>
      <c r="Q33" s="315" t="s">
        <v>670</v>
      </c>
    </row>
    <row r="34" customFormat="false" ht="19.5" hidden="false" customHeight="true" outlineLevel="0" collapsed="false">
      <c r="B34" s="319" t="s">
        <v>148</v>
      </c>
      <c r="C34" s="309" t="s">
        <v>516</v>
      </c>
      <c r="D34" s="240" t="n">
        <v>46137</v>
      </c>
      <c r="E34" s="274" t="s">
        <v>623</v>
      </c>
      <c r="F34" s="178" t="str">
        <f aca="false">IF(AND(L34="🔄 SWAP ME",M34&lt;&gt;""),M34,IFERROR(INDEX($O$5:$O$375,MATCH(O34,$M$5:$M$375,0)),O34))</f>
        <v>SQL Exam Practice: HackerRank SQL Advanced Certification (timed)</v>
      </c>
      <c r="G34" s="182" t="s">
        <v>246</v>
      </c>
      <c r="H34" s="39" t="n">
        <v>1</v>
      </c>
      <c r="I34" s="40" t="n">
        <v>2</v>
      </c>
      <c r="J34" s="41" t="n">
        <v>3</v>
      </c>
      <c r="K34" s="179" t="s">
        <v>1351</v>
      </c>
      <c r="L34" s="179" t="s">
        <v>1349</v>
      </c>
      <c r="M34" s="241"/>
      <c r="N34" s="316" t="str">
        <f aca="false">IF(AND(L34="🔄 SWAP ME",M34&lt;&gt;""),"⚡ SWAPPED","")</f>
        <v/>
      </c>
      <c r="O34" s="9" t="s">
        <v>671</v>
      </c>
      <c r="P34" s="317" t="str">
        <f aca="true">IF(AND(L34="🔄 SWAP ME",M34&lt;&gt;""),TODAY(),"")</f>
        <v/>
      </c>
      <c r="Q34" s="315" t="s">
        <v>266</v>
      </c>
    </row>
    <row r="35" customFormat="false" ht="19.5" hidden="false" customHeight="true" outlineLevel="0" collapsed="false">
      <c r="B35" s="319" t="s">
        <v>148</v>
      </c>
      <c r="C35" s="309" t="s">
        <v>517</v>
      </c>
      <c r="D35" s="240" t="n">
        <v>46138</v>
      </c>
      <c r="E35" s="274" t="s">
        <v>623</v>
      </c>
      <c r="F35" s="178" t="str">
        <f aca="false">IF(AND(L35="🔄 SWAP ME",M35&lt;&gt;""),M35,IFERROR(INDEX($O$5:$O$375,MATCH(O35,$M$5:$M$375,0)),O35))</f>
        <v>P2: Implement Expedia+Swiggy star schemas in SQL + KPI queries (from course case studies)</v>
      </c>
      <c r="G35" s="182" t="s">
        <v>246</v>
      </c>
      <c r="H35" s="39" t="n">
        <v>1.5</v>
      </c>
      <c r="I35" s="40" t="n">
        <v>3</v>
      </c>
      <c r="J35" s="41" t="n">
        <v>5</v>
      </c>
      <c r="K35" s="179" t="s">
        <v>1352</v>
      </c>
      <c r="L35" s="179" t="s">
        <v>1349</v>
      </c>
      <c r="M35" s="241"/>
      <c r="N35" s="316" t="str">
        <f aca="false">IF(AND(L35="🔄 SWAP ME",M35&lt;&gt;""),"⚡ SWAPPED","")</f>
        <v/>
      </c>
      <c r="O35" s="9" t="s">
        <v>672</v>
      </c>
      <c r="P35" s="317" t="str">
        <f aca="true">IF(AND(L35="🔄 SWAP ME",M35&lt;&gt;""),TODAY(),"")</f>
        <v/>
      </c>
      <c r="Q35" s="270" t="s">
        <v>673</v>
      </c>
    </row>
    <row r="36" customFormat="false" ht="12" hidden="false" customHeight="true" outlineLevel="0" collapsed="false">
      <c r="B36" s="320" t="s">
        <v>1356</v>
      </c>
      <c r="C36" s="320"/>
      <c r="D36" s="320"/>
      <c r="E36" s="320"/>
      <c r="F36" s="320"/>
      <c r="G36" s="320"/>
      <c r="H36" s="320"/>
      <c r="I36" s="320"/>
      <c r="J36" s="320"/>
      <c r="K36" s="320"/>
      <c r="L36" s="320"/>
      <c r="M36" s="320"/>
      <c r="N36" s="320"/>
      <c r="O36" s="320"/>
      <c r="P36" s="320"/>
      <c r="Q36" s="320"/>
    </row>
    <row r="37" customFormat="false" ht="19.5" hidden="false" customHeight="true" outlineLevel="0" collapsed="false">
      <c r="B37" s="25" t="s">
        <v>149</v>
      </c>
      <c r="C37" s="273" t="s">
        <v>118</v>
      </c>
      <c r="D37" s="244" t="n">
        <v>46139</v>
      </c>
      <c r="E37" s="274" t="s">
        <v>623</v>
      </c>
      <c r="F37" s="37" t="str">
        <f aca="false">IF(AND(L37="🔄 SWAP ME",M37&lt;&gt;""),M37,IFERROR(INDEX($O$5:$O$375,MATCH(O37,$M$5:$M$375,0)),O37))</f>
        <v>Python Basics: data types, control flow, list/dict/set comprehensions, functions</v>
      </c>
      <c r="G37" s="185" t="s">
        <v>270</v>
      </c>
      <c r="H37" s="39" t="n">
        <v>0.5</v>
      </c>
      <c r="I37" s="40" t="n">
        <v>1</v>
      </c>
      <c r="J37" s="41" t="n">
        <v>1.5</v>
      </c>
      <c r="K37" s="76" t="s">
        <v>1348</v>
      </c>
      <c r="L37" s="76" t="s">
        <v>1349</v>
      </c>
      <c r="M37" s="245"/>
      <c r="N37" s="63" t="str">
        <f aca="false">IF(AND(L37="🔄 SWAP ME",M37&lt;&gt;""),"⚡ SWAPPED","")</f>
        <v/>
      </c>
      <c r="O37" s="9" t="s">
        <v>675</v>
      </c>
      <c r="P37" s="314" t="str">
        <f aca="true">IF(AND(L37="🔄 SWAP ME",M37&lt;&gt;""),TODAY(),"")</f>
        <v/>
      </c>
      <c r="Q37" s="315" t="s">
        <v>676</v>
      </c>
    </row>
    <row r="38" customFormat="false" ht="19.5" hidden="false" customHeight="true" outlineLevel="0" collapsed="false">
      <c r="B38" s="25" t="s">
        <v>149</v>
      </c>
      <c r="C38" s="273" t="s">
        <v>123</v>
      </c>
      <c r="D38" s="244" t="n">
        <v>46140</v>
      </c>
      <c r="E38" s="274" t="s">
        <v>623</v>
      </c>
      <c r="F38" s="37" t="str">
        <f aca="false">IF(AND(L38="🔄 SWAP ME",M38&lt;&gt;""),M38,IFERROR(INDEX($O$5:$O$375,MATCH(O38,$M$5:$M$375,0)),O38))</f>
        <v>Python OOP: Classes, dunder methods — __init__ __str__ __repr__ __eq__ __hash__</v>
      </c>
      <c r="G38" s="185" t="s">
        <v>270</v>
      </c>
      <c r="H38" s="39" t="n">
        <v>0.5</v>
      </c>
      <c r="I38" s="40" t="n">
        <v>1</v>
      </c>
      <c r="J38" s="41" t="n">
        <v>1.5</v>
      </c>
      <c r="K38" s="76" t="s">
        <v>1348</v>
      </c>
      <c r="L38" s="76" t="s">
        <v>1349</v>
      </c>
      <c r="M38" s="245"/>
      <c r="N38" s="63" t="str">
        <f aca="false">IF(AND(L38="🔄 SWAP ME",M38&lt;&gt;""),"⚡ SWAPPED","")</f>
        <v/>
      </c>
      <c r="O38" s="9" t="s">
        <v>677</v>
      </c>
      <c r="P38" s="314" t="str">
        <f aca="true">IF(AND(L38="🔄 SWAP ME",M38&lt;&gt;""),TODAY(),"")</f>
        <v/>
      </c>
      <c r="Q38" s="315" t="s">
        <v>678</v>
      </c>
    </row>
    <row r="39" customFormat="false" ht="19.5" hidden="false" customHeight="true" outlineLevel="0" collapsed="false">
      <c r="B39" s="25" t="s">
        <v>149</v>
      </c>
      <c r="C39" s="273" t="s">
        <v>126</v>
      </c>
      <c r="D39" s="244" t="n">
        <v>46141</v>
      </c>
      <c r="E39" s="36" t="s">
        <v>617</v>
      </c>
      <c r="F39" s="37" t="str">
        <f aca="false">IF(AND(L39="🔄 SWAP ME",M39&lt;&gt;""),M39,IFERROR(INDEX($O$5:$O$375,MATCH(O39,$M$5:$M$375,0)),O39))</f>
        <v>Python OOP: Inheritance, MRO, super(), abstract classes (ABC), Mixins</v>
      </c>
      <c r="G39" s="185" t="s">
        <v>270</v>
      </c>
      <c r="H39" s="39" t="n">
        <v>0.5</v>
      </c>
      <c r="I39" s="40" t="n">
        <v>1</v>
      </c>
      <c r="J39" s="41" t="n">
        <v>1.5</v>
      </c>
      <c r="K39" s="76" t="s">
        <v>1348</v>
      </c>
      <c r="L39" s="76" t="s">
        <v>1349</v>
      </c>
      <c r="M39" s="245"/>
      <c r="N39" s="63" t="str">
        <f aca="false">IF(AND(L39="🔄 SWAP ME",M39&lt;&gt;""),"⚡ SWAPPED","")</f>
        <v/>
      </c>
      <c r="O39" s="9" t="s">
        <v>679</v>
      </c>
      <c r="P39" s="314" t="str">
        <f aca="true">IF(AND(L39="🔄 SWAP ME",M39&lt;&gt;""),TODAY(),"")</f>
        <v/>
      </c>
      <c r="Q39" s="315" t="s">
        <v>680</v>
      </c>
    </row>
    <row r="40" customFormat="false" ht="19.5" hidden="false" customHeight="true" outlineLevel="0" collapsed="false">
      <c r="B40" s="25" t="s">
        <v>149</v>
      </c>
      <c r="C40" s="273" t="s">
        <v>130</v>
      </c>
      <c r="D40" s="244" t="n">
        <v>46142</v>
      </c>
      <c r="E40" s="36" t="s">
        <v>617</v>
      </c>
      <c r="F40" s="37" t="str">
        <f aca="false">IF(AND(L40="🔄 SWAP ME",M40&lt;&gt;""),M40,IFERROR(INDEX($O$5:$O$375,MATCH(O40,$M$5:$M$375,0)),O40))</f>
        <v>Python OOP: @property, @staticmethod, @classmethod, composition over inheritance</v>
      </c>
      <c r="G40" s="185" t="s">
        <v>270</v>
      </c>
      <c r="H40" s="39" t="n">
        <v>0.5</v>
      </c>
      <c r="I40" s="40" t="n">
        <v>0.75</v>
      </c>
      <c r="J40" s="41" t="n">
        <v>1</v>
      </c>
      <c r="K40" s="76" t="s">
        <v>1348</v>
      </c>
      <c r="L40" s="76" t="s">
        <v>1349</v>
      </c>
      <c r="M40" s="245"/>
      <c r="N40" s="63" t="str">
        <f aca="false">IF(AND(L40="🔄 SWAP ME",M40&lt;&gt;""),"⚡ SWAPPED","")</f>
        <v/>
      </c>
      <c r="O40" s="9" t="s">
        <v>681</v>
      </c>
      <c r="P40" s="314" t="str">
        <f aca="true">IF(AND(L40="🔄 SWAP ME",M40&lt;&gt;""),TODAY(),"")</f>
        <v/>
      </c>
      <c r="Q40" s="315" t="s">
        <v>682</v>
      </c>
    </row>
    <row r="41" customFormat="false" ht="19.5" hidden="false" customHeight="true" outlineLevel="0" collapsed="false">
      <c r="B41" s="25" t="s">
        <v>149</v>
      </c>
      <c r="C41" s="273" t="s">
        <v>133</v>
      </c>
      <c r="D41" s="244" t="n">
        <v>46143</v>
      </c>
      <c r="E41" s="274" t="s">
        <v>623</v>
      </c>
      <c r="F41" s="37" t="str">
        <f aca="false">IF(AND(L41="🔄 SWAP ME",M41&lt;&gt;""),M41,IFERROR(INDEX($O$5:$O$375,MATCH(O41,$M$5:$M$375,0)),O41))</f>
        <v>DSA: Stack — Valid Parentheses, Min Stack, Daily Temperatures, Largest Rectangle</v>
      </c>
      <c r="G41" s="185" t="s">
        <v>270</v>
      </c>
      <c r="H41" s="39" t="n">
        <v>0.3</v>
      </c>
      <c r="I41" s="40" t="n">
        <v>0.5</v>
      </c>
      <c r="J41" s="41" t="n">
        <v>0.75</v>
      </c>
      <c r="K41" s="76" t="s">
        <v>1348</v>
      </c>
      <c r="L41" s="76" t="s">
        <v>1349</v>
      </c>
      <c r="M41" s="245"/>
      <c r="N41" s="63" t="str">
        <f aca="false">IF(AND(L41="🔄 SWAP ME",M41&lt;&gt;""),"⚡ SWAPPED","")</f>
        <v/>
      </c>
      <c r="O41" s="9" t="s">
        <v>683</v>
      </c>
      <c r="P41" s="314" t="str">
        <f aca="true">IF(AND(L41="🔄 SWAP ME",M41&lt;&gt;""),TODAY(),"")</f>
        <v/>
      </c>
      <c r="Q41" s="315" t="s">
        <v>684</v>
      </c>
    </row>
    <row r="42" customFormat="false" ht="19.5" hidden="false" customHeight="true" outlineLevel="0" collapsed="false">
      <c r="B42" s="25" t="s">
        <v>149</v>
      </c>
      <c r="C42" s="309" t="s">
        <v>516</v>
      </c>
      <c r="D42" s="240" t="n">
        <v>46144</v>
      </c>
      <c r="E42" s="36" t="s">
        <v>617</v>
      </c>
      <c r="F42" s="178" t="str">
        <f aca="false">IF(AND(L42="🔄 SWAP ME",M42&lt;&gt;""),M42,IFERROR(INDEX($O$5:$O$375,MATCH(O42,$M$5:$M$375,0)),O42))</f>
        <v>Python: Dataclasses, Pydantic v2 — BaseModel, validators, computed fields, settings</v>
      </c>
      <c r="G42" s="185" t="s">
        <v>270</v>
      </c>
      <c r="H42" s="39" t="n">
        <v>1</v>
      </c>
      <c r="I42" s="40" t="n">
        <v>1.5</v>
      </c>
      <c r="J42" s="41" t="n">
        <v>2</v>
      </c>
      <c r="K42" s="179" t="s">
        <v>1351</v>
      </c>
      <c r="L42" s="179" t="s">
        <v>1349</v>
      </c>
      <c r="M42" s="241"/>
      <c r="N42" s="316" t="str">
        <f aca="false">IF(AND(L42="🔄 SWAP ME",M42&lt;&gt;""),"⚡ SWAPPED","")</f>
        <v/>
      </c>
      <c r="O42" s="9" t="s">
        <v>685</v>
      </c>
      <c r="P42" s="317" t="str">
        <f aca="true">IF(AND(L42="🔄 SWAP ME",M42&lt;&gt;""),TODAY(),"")</f>
        <v/>
      </c>
      <c r="Q42" s="315" t="s">
        <v>686</v>
      </c>
    </row>
    <row r="43" customFormat="false" ht="19.5" hidden="false" customHeight="true" outlineLevel="0" collapsed="false">
      <c r="B43" s="25" t="s">
        <v>149</v>
      </c>
      <c r="C43" s="309" t="s">
        <v>517</v>
      </c>
      <c r="D43" s="240" t="n">
        <v>46145</v>
      </c>
      <c r="E43" s="274" t="s">
        <v>623</v>
      </c>
      <c r="F43" s="178" t="str">
        <f aca="false">IF(AND(L43="🔄 SWAP ME",M43&lt;&gt;""),M43,IFERROR(INDEX($O$5:$O$375,MATCH(O43,$M$5:$M$375,0)),O43))</f>
        <v>P3: Build ETL base class + 3 subclasses (CSV/JSON/API) with pytest unit tests</v>
      </c>
      <c r="G43" s="185" t="s">
        <v>270</v>
      </c>
      <c r="H43" s="39" t="n">
        <v>1.5</v>
      </c>
      <c r="I43" s="40" t="n">
        <v>3</v>
      </c>
      <c r="J43" s="41" t="n">
        <v>5</v>
      </c>
      <c r="K43" s="179" t="s">
        <v>1352</v>
      </c>
      <c r="L43" s="179" t="s">
        <v>1349</v>
      </c>
      <c r="M43" s="241"/>
      <c r="N43" s="316" t="str">
        <f aca="false">IF(AND(L43="🔄 SWAP ME",M43&lt;&gt;""),"⚡ SWAPPED","")</f>
        <v/>
      </c>
      <c r="O43" s="9" t="s">
        <v>687</v>
      </c>
      <c r="P43" s="317" t="str">
        <f aca="true">IF(AND(L43="🔄 SWAP ME",M43&lt;&gt;""),TODAY(),"")</f>
        <v/>
      </c>
      <c r="Q43" s="315" t="s">
        <v>688</v>
      </c>
    </row>
    <row r="44" customFormat="false" ht="12" hidden="false" customHeight="true" outlineLevel="0" collapsed="false">
      <c r="B44" s="320" t="s">
        <v>1357</v>
      </c>
      <c r="C44" s="320"/>
      <c r="D44" s="320"/>
      <c r="E44" s="320"/>
      <c r="F44" s="320"/>
      <c r="G44" s="320"/>
      <c r="H44" s="320"/>
      <c r="I44" s="320"/>
      <c r="J44" s="320"/>
      <c r="K44" s="320"/>
      <c r="L44" s="320"/>
      <c r="M44" s="320"/>
      <c r="N44" s="320"/>
      <c r="O44" s="320"/>
      <c r="P44" s="320"/>
      <c r="Q44" s="320"/>
    </row>
    <row r="45" customFormat="false" ht="19.5" hidden="false" customHeight="true" outlineLevel="0" collapsed="false">
      <c r="B45" s="25" t="s">
        <v>150</v>
      </c>
      <c r="C45" s="273" t="s">
        <v>118</v>
      </c>
      <c r="D45" s="244" t="n">
        <v>46146</v>
      </c>
      <c r="E45" s="36" t="s">
        <v>617</v>
      </c>
      <c r="F45" s="37" t="str">
        <f aca="false">IF(AND(L45="🔄 SWAP ME",M45&lt;&gt;""),M45,IFERROR(INDEX($O$5:$O$375,MATCH(O45,$M$5:$M$375,0)),O45))</f>
        <v>Python: Generators, iterators, yield, send(), generator expressions, itertools</v>
      </c>
      <c r="G45" s="185" t="s">
        <v>270</v>
      </c>
      <c r="H45" s="39" t="n">
        <v>0.5</v>
      </c>
      <c r="I45" s="40" t="n">
        <v>1</v>
      </c>
      <c r="J45" s="41" t="n">
        <v>1.5</v>
      </c>
      <c r="K45" s="76" t="s">
        <v>1348</v>
      </c>
      <c r="L45" s="76" t="s">
        <v>1349</v>
      </c>
      <c r="M45" s="245"/>
      <c r="N45" s="63" t="str">
        <f aca="false">IF(AND(L45="🔄 SWAP ME",M45&lt;&gt;""),"⚡ SWAPPED","")</f>
        <v/>
      </c>
      <c r="O45" s="9" t="s">
        <v>689</v>
      </c>
      <c r="P45" s="314" t="str">
        <f aca="true">IF(AND(L45="🔄 SWAP ME",M45&lt;&gt;""),TODAY(),"")</f>
        <v/>
      </c>
      <c r="Q45" s="315" t="s">
        <v>690</v>
      </c>
    </row>
    <row r="46" customFormat="false" ht="19.5" hidden="false" customHeight="true" outlineLevel="0" collapsed="false">
      <c r="B46" s="25" t="s">
        <v>150</v>
      </c>
      <c r="C46" s="273" t="s">
        <v>123</v>
      </c>
      <c r="D46" s="244" t="n">
        <v>46147</v>
      </c>
      <c r="E46" s="36" t="s">
        <v>617</v>
      </c>
      <c r="F46" s="37" t="str">
        <f aca="false">IF(AND(L46="🔄 SWAP ME",M46&lt;&gt;""),M46,IFERROR(INDEX($O$5:$O$375,MATCH(O46,$M$5:$M$375,0)),O46))</f>
        <v>Python: Decorators — functools.wraps, parameterized, class-based, stacking</v>
      </c>
      <c r="G46" s="185" t="s">
        <v>270</v>
      </c>
      <c r="H46" s="39" t="n">
        <v>0.5</v>
      </c>
      <c r="I46" s="40" t="n">
        <v>1</v>
      </c>
      <c r="J46" s="41" t="n">
        <v>1.5</v>
      </c>
      <c r="K46" s="76" t="s">
        <v>1348</v>
      </c>
      <c r="L46" s="76" t="s">
        <v>1349</v>
      </c>
      <c r="M46" s="245"/>
      <c r="N46" s="63" t="str">
        <f aca="false">IF(AND(L46="🔄 SWAP ME",M46&lt;&gt;""),"⚡ SWAPPED","")</f>
        <v/>
      </c>
      <c r="O46" s="9" t="s">
        <v>691</v>
      </c>
      <c r="P46" s="314" t="str">
        <f aca="true">IF(AND(L46="🔄 SWAP ME",M46&lt;&gt;""),TODAY(),"")</f>
        <v/>
      </c>
      <c r="Q46" s="315" t="s">
        <v>692</v>
      </c>
    </row>
    <row r="47" customFormat="false" ht="19.5" hidden="false" customHeight="true" outlineLevel="0" collapsed="false">
      <c r="B47" s="25" t="s">
        <v>150</v>
      </c>
      <c r="C47" s="273" t="s">
        <v>126</v>
      </c>
      <c r="D47" s="244" t="n">
        <v>46148</v>
      </c>
      <c r="E47" s="36" t="s">
        <v>617</v>
      </c>
      <c r="F47" s="37" t="str">
        <f aca="false">IF(AND(L47="🔄 SWAP ME",M47&lt;&gt;""),M47,IFERROR(INDEX($O$5:$O$375,MATCH(O47,$M$5:$M$375,0)),O47))</f>
        <v>Python: Context managers — __enter__/__exit__, contextlib.contextmanager</v>
      </c>
      <c r="G47" s="185" t="s">
        <v>270</v>
      </c>
      <c r="H47" s="39" t="n">
        <v>0.5</v>
      </c>
      <c r="I47" s="40" t="n">
        <v>0.75</v>
      </c>
      <c r="J47" s="41" t="n">
        <v>1</v>
      </c>
      <c r="K47" s="76" t="s">
        <v>1348</v>
      </c>
      <c r="L47" s="76" t="s">
        <v>1349</v>
      </c>
      <c r="M47" s="245"/>
      <c r="N47" s="63" t="str">
        <f aca="false">IF(AND(L47="🔄 SWAP ME",M47&lt;&gt;""),"⚡ SWAPPED","")</f>
        <v/>
      </c>
      <c r="O47" s="9" t="s">
        <v>693</v>
      </c>
      <c r="P47" s="314" t="str">
        <f aca="true">IF(AND(L47="🔄 SWAP ME",M47&lt;&gt;""),TODAY(),"")</f>
        <v/>
      </c>
      <c r="Q47" s="315" t="s">
        <v>694</v>
      </c>
    </row>
    <row r="48" customFormat="false" ht="19.5" hidden="false" customHeight="true" outlineLevel="0" collapsed="false">
      <c r="B48" s="25" t="s">
        <v>150</v>
      </c>
      <c r="C48" s="273" t="s">
        <v>130</v>
      </c>
      <c r="D48" s="244" t="n">
        <v>46149</v>
      </c>
      <c r="E48" s="274" t="s">
        <v>623</v>
      </c>
      <c r="F48" s="37" t="str">
        <f aca="false">IF(AND(L48="🔄 SWAP ME",M48&lt;&gt;""),M48,IFERROR(INDEX($O$5:$O$375,MATCH(O48,$M$5:$M$375,0)),O48))</f>
        <v>Python: async/await, event loop, asyncio.gather(), Semaphore, aiohttp basics</v>
      </c>
      <c r="G48" s="185" t="s">
        <v>270</v>
      </c>
      <c r="H48" s="39" t="n">
        <v>0.5</v>
      </c>
      <c r="I48" s="40" t="n">
        <v>1</v>
      </c>
      <c r="J48" s="41" t="n">
        <v>1.5</v>
      </c>
      <c r="K48" s="76" t="s">
        <v>1348</v>
      </c>
      <c r="L48" s="76" t="s">
        <v>1349</v>
      </c>
      <c r="M48" s="245"/>
      <c r="N48" s="63" t="str">
        <f aca="false">IF(AND(L48="🔄 SWAP ME",M48&lt;&gt;""),"⚡ SWAPPED","")</f>
        <v/>
      </c>
      <c r="O48" s="9" t="s">
        <v>695</v>
      </c>
      <c r="P48" s="314" t="str">
        <f aca="true">IF(AND(L48="🔄 SWAP ME",M48&lt;&gt;""),TODAY(),"")</f>
        <v/>
      </c>
      <c r="Q48" s="315" t="s">
        <v>696</v>
      </c>
    </row>
    <row r="49" customFormat="false" ht="19.5" hidden="false" customHeight="true" outlineLevel="0" collapsed="false">
      <c r="B49" s="25" t="s">
        <v>150</v>
      </c>
      <c r="C49" s="273" t="s">
        <v>133</v>
      </c>
      <c r="D49" s="244" t="n">
        <v>46150</v>
      </c>
      <c r="E49" s="274" t="s">
        <v>623</v>
      </c>
      <c r="F49" s="37" t="str">
        <f aca="false">IF(AND(L49="🔄 SWAP ME",M49&lt;&gt;""),M49,IFERROR(INDEX($O$5:$O$375,MATCH(O49,$M$5:$M$375,0)),O49))</f>
        <v>DSA: Binary Search — Search Rotated Array, Find Minimum, Koko Eating Bananas</v>
      </c>
      <c r="G49" s="185" t="s">
        <v>270</v>
      </c>
      <c r="H49" s="39" t="n">
        <v>0.3</v>
      </c>
      <c r="I49" s="40" t="n">
        <v>0.5</v>
      </c>
      <c r="J49" s="41" t="n">
        <v>0.75</v>
      </c>
      <c r="K49" s="76" t="s">
        <v>1348</v>
      </c>
      <c r="L49" s="76" t="s">
        <v>1349</v>
      </c>
      <c r="M49" s="245"/>
      <c r="N49" s="63" t="str">
        <f aca="false">IF(AND(L49="🔄 SWAP ME",M49&lt;&gt;""),"⚡ SWAPPED","")</f>
        <v/>
      </c>
      <c r="O49" s="9" t="s">
        <v>697</v>
      </c>
      <c r="P49" s="314" t="str">
        <f aca="true">IF(AND(L49="🔄 SWAP ME",M49&lt;&gt;""),TODAY(),"")</f>
        <v/>
      </c>
      <c r="Q49" s="315" t="s">
        <v>698</v>
      </c>
    </row>
    <row r="50" customFormat="false" ht="19.5" hidden="false" customHeight="true" outlineLevel="0" collapsed="false">
      <c r="B50" s="25" t="s">
        <v>150</v>
      </c>
      <c r="C50" s="309" t="s">
        <v>516</v>
      </c>
      <c r="D50" s="240" t="n">
        <v>46151</v>
      </c>
      <c r="E50" s="36" t="s">
        <v>617</v>
      </c>
      <c r="F50" s="178" t="str">
        <f aca="false">IF(AND(L50="🔄 SWAP ME",M50&lt;&gt;""),M50,IFERROR(INDEX($O$5:$O$375,MATCH(O50,$M$5:$M$375,0)),O50))</f>
        <v>Python: Type hints — TypeVar, Generic, Protocol, Literal, TypedDict, Union, Optional</v>
      </c>
      <c r="G50" s="185" t="s">
        <v>270</v>
      </c>
      <c r="H50" s="39" t="n">
        <v>1</v>
      </c>
      <c r="I50" s="40" t="n">
        <v>1.5</v>
      </c>
      <c r="J50" s="41" t="n">
        <v>2</v>
      </c>
      <c r="K50" s="179" t="s">
        <v>1351</v>
      </c>
      <c r="L50" s="179" t="s">
        <v>1349</v>
      </c>
      <c r="M50" s="241"/>
      <c r="N50" s="316" t="str">
        <f aca="false">IF(AND(L50="🔄 SWAP ME",M50&lt;&gt;""),"⚡ SWAPPED","")</f>
        <v/>
      </c>
      <c r="O50" s="9" t="s">
        <v>699</v>
      </c>
      <c r="P50" s="317" t="str">
        <f aca="true">IF(AND(L50="🔄 SWAP ME",M50&lt;&gt;""),TODAY(),"")</f>
        <v/>
      </c>
      <c r="Q50" s="315" t="s">
        <v>700</v>
      </c>
    </row>
    <row r="51" customFormat="false" ht="19.5" hidden="false" customHeight="true" outlineLevel="0" collapsed="false">
      <c r="B51" s="25" t="s">
        <v>150</v>
      </c>
      <c r="C51" s="309" t="s">
        <v>517</v>
      </c>
      <c r="D51" s="240" t="n">
        <v>46152</v>
      </c>
      <c r="E51" s="36" t="s">
        <v>617</v>
      </c>
      <c r="F51" s="178" t="str">
        <f aca="false">IF(AND(L51="🔄 SWAP ME",M51&lt;&gt;""),M51,IFERROR(INDEX($O$5:$O$375,MATCH(O51,$M$5:$M$375,0)),O51))</f>
        <v>P4: Async API pipeline — call 10 REST APIs concurrently with asyncio.gather()</v>
      </c>
      <c r="G51" s="185" t="s">
        <v>270</v>
      </c>
      <c r="H51" s="39" t="n">
        <v>1.5</v>
      </c>
      <c r="I51" s="40" t="n">
        <v>3</v>
      </c>
      <c r="J51" s="41" t="n">
        <v>5</v>
      </c>
      <c r="K51" s="179" t="s">
        <v>1352</v>
      </c>
      <c r="L51" s="179" t="s">
        <v>1349</v>
      </c>
      <c r="M51" s="241"/>
      <c r="N51" s="316" t="str">
        <f aca="false">IF(AND(L51="🔄 SWAP ME",M51&lt;&gt;""),"⚡ SWAPPED","")</f>
        <v/>
      </c>
      <c r="O51" s="9" t="s">
        <v>701</v>
      </c>
      <c r="P51" s="317" t="str">
        <f aca="true">IF(AND(L51="🔄 SWAP ME",M51&lt;&gt;""),TODAY(),"")</f>
        <v/>
      </c>
      <c r="Q51" s="315" t="s">
        <v>702</v>
      </c>
    </row>
    <row r="52" customFormat="false" ht="12" hidden="false" customHeight="true" outlineLevel="0" collapsed="false">
      <c r="B52" s="320" t="s">
        <v>1358</v>
      </c>
      <c r="C52" s="320"/>
      <c r="D52" s="320"/>
      <c r="E52" s="320"/>
      <c r="F52" s="320"/>
      <c r="G52" s="320"/>
      <c r="H52" s="320"/>
      <c r="I52" s="320"/>
      <c r="J52" s="320"/>
      <c r="K52" s="320"/>
      <c r="L52" s="320"/>
      <c r="M52" s="320"/>
      <c r="N52" s="320"/>
      <c r="O52" s="320"/>
      <c r="P52" s="320"/>
      <c r="Q52" s="320"/>
    </row>
    <row r="53" customFormat="false" ht="19.5" hidden="false" customHeight="true" outlineLevel="0" collapsed="false">
      <c r="B53" s="25" t="s">
        <v>151</v>
      </c>
      <c r="C53" s="273" t="s">
        <v>118</v>
      </c>
      <c r="D53" s="244" t="n">
        <v>46153</v>
      </c>
      <c r="E53" s="36" t="s">
        <v>617</v>
      </c>
      <c r="F53" s="37" t="str">
        <f aca="false">IF(AND(L53="🔄 SWAP ME",M53&lt;&gt;""),M53,IFERROR(INDEX($O$5:$O$375,MATCH(O53,$M$5:$M$375,0)),O53))</f>
        <v>Python Testing: pytest fixtures, parametrize, conftest.py, markers, setup/teardown</v>
      </c>
      <c r="G53" s="185" t="s">
        <v>270</v>
      </c>
      <c r="H53" s="39" t="n">
        <v>0.5</v>
      </c>
      <c r="I53" s="40" t="n">
        <v>1</v>
      </c>
      <c r="J53" s="41" t="n">
        <v>1.5</v>
      </c>
      <c r="K53" s="76" t="s">
        <v>1348</v>
      </c>
      <c r="L53" s="76" t="s">
        <v>1349</v>
      </c>
      <c r="M53" s="245"/>
      <c r="N53" s="63" t="str">
        <f aca="false">IF(AND(L53="🔄 SWAP ME",M53&lt;&gt;""),"⚡ SWAPPED","")</f>
        <v/>
      </c>
      <c r="O53" s="9" t="s">
        <v>703</v>
      </c>
      <c r="P53" s="314" t="str">
        <f aca="true">IF(AND(L53="🔄 SWAP ME",M53&lt;&gt;""),TODAY(),"")</f>
        <v/>
      </c>
      <c r="Q53" s="315" t="s">
        <v>704</v>
      </c>
    </row>
    <row r="54" customFormat="false" ht="19.5" hidden="false" customHeight="true" outlineLevel="0" collapsed="false">
      <c r="B54" s="25" t="s">
        <v>151</v>
      </c>
      <c r="C54" s="273" t="s">
        <v>123</v>
      </c>
      <c r="D54" s="244" t="n">
        <v>46154</v>
      </c>
      <c r="E54" s="36" t="s">
        <v>617</v>
      </c>
      <c r="F54" s="37" t="str">
        <f aca="false">IF(AND(L54="🔄 SWAP ME",M54&lt;&gt;""),M54,IFERROR(INDEX($O$5:$O$375,MATCH(O54,$M$5:$M$375,0)),O54))</f>
        <v>Python Testing: unittest.mock — patch, MagicMock, side_effect, assert_called_with</v>
      </c>
      <c r="G54" s="185" t="s">
        <v>270</v>
      </c>
      <c r="H54" s="39" t="n">
        <v>0.5</v>
      </c>
      <c r="I54" s="40" t="n">
        <v>1</v>
      </c>
      <c r="J54" s="41" t="n">
        <v>1.5</v>
      </c>
      <c r="K54" s="76" t="s">
        <v>1348</v>
      </c>
      <c r="L54" s="76" t="s">
        <v>1349</v>
      </c>
      <c r="M54" s="245"/>
      <c r="N54" s="63" t="str">
        <f aca="false">IF(AND(L54="🔄 SWAP ME",M54&lt;&gt;""),"⚡ SWAPPED","")</f>
        <v/>
      </c>
      <c r="O54" s="9" t="s">
        <v>705</v>
      </c>
      <c r="P54" s="314" t="str">
        <f aca="true">IF(AND(L54="🔄 SWAP ME",M54&lt;&gt;""),TODAY(),"")</f>
        <v/>
      </c>
      <c r="Q54" s="315" t="s">
        <v>706</v>
      </c>
    </row>
    <row r="55" customFormat="false" ht="19.5" hidden="false" customHeight="true" outlineLevel="0" collapsed="false">
      <c r="B55" s="25" t="s">
        <v>151</v>
      </c>
      <c r="C55" s="273" t="s">
        <v>126</v>
      </c>
      <c r="D55" s="244" t="n">
        <v>46155</v>
      </c>
      <c r="E55" s="36" t="s">
        <v>617</v>
      </c>
      <c r="F55" s="37" t="str">
        <f aca="false">IF(AND(L55="🔄 SWAP ME",M55&lt;&gt;""),M55,IFERROR(INDEX($O$5:$O$375,MATCH(O55,$M$5:$M$375,0)),O55))</f>
        <v>Python Testing: pytest-cov coverage, testing Spark jobs with SparkSession fixture</v>
      </c>
      <c r="G55" s="185" t="s">
        <v>270</v>
      </c>
      <c r="H55" s="39" t="n">
        <v>0.5</v>
      </c>
      <c r="I55" s="40" t="n">
        <v>0.75</v>
      </c>
      <c r="J55" s="41" t="n">
        <v>1</v>
      </c>
      <c r="K55" s="76" t="s">
        <v>1348</v>
      </c>
      <c r="L55" s="76" t="s">
        <v>1349</v>
      </c>
      <c r="M55" s="245"/>
      <c r="N55" s="63" t="str">
        <f aca="false">IF(AND(L55="🔄 SWAP ME",M55&lt;&gt;""),"⚡ SWAPPED","")</f>
        <v/>
      </c>
      <c r="O55" s="9" t="s">
        <v>707</v>
      </c>
      <c r="P55" s="314" t="str">
        <f aca="true">IF(AND(L55="🔄 SWAP ME",M55&lt;&gt;""),TODAY(),"")</f>
        <v/>
      </c>
      <c r="Q55" s="315" t="s">
        <v>708</v>
      </c>
    </row>
    <row r="56" customFormat="false" ht="19.5" hidden="false" customHeight="true" outlineLevel="0" collapsed="false">
      <c r="B56" s="25" t="s">
        <v>151</v>
      </c>
      <c r="C56" s="273" t="s">
        <v>130</v>
      </c>
      <c r="D56" s="244" t="n">
        <v>46156</v>
      </c>
      <c r="E56" s="36" t="s">
        <v>617</v>
      </c>
      <c r="F56" s="37" t="str">
        <f aca="false">IF(AND(L56="🔄 SWAP ME",M56&lt;&gt;""),M56,IFERROR(INDEX($O$5:$O$375,MATCH(O56,$M$5:$M$375,0)),O56))</f>
        <v>Python Design Patterns: Strategy, Factory, Observer, Builder, Template Method</v>
      </c>
      <c r="G56" s="185" t="s">
        <v>270</v>
      </c>
      <c r="H56" s="39" t="n">
        <v>0.5</v>
      </c>
      <c r="I56" s="40" t="n">
        <v>1</v>
      </c>
      <c r="J56" s="41" t="n">
        <v>1.5</v>
      </c>
      <c r="K56" s="76" t="s">
        <v>1348</v>
      </c>
      <c r="L56" s="76" t="s">
        <v>1349</v>
      </c>
      <c r="M56" s="245"/>
      <c r="N56" s="63" t="str">
        <f aca="false">IF(AND(L56="🔄 SWAP ME",M56&lt;&gt;""),"⚡ SWAPPED","")</f>
        <v/>
      </c>
      <c r="O56" s="9" t="s">
        <v>709</v>
      </c>
      <c r="P56" s="314" t="str">
        <f aca="true">IF(AND(L56="🔄 SWAP ME",M56&lt;&gt;""),TODAY(),"")</f>
        <v/>
      </c>
      <c r="Q56" s="315" t="s">
        <v>1359</v>
      </c>
    </row>
    <row r="57" customFormat="false" ht="19.5" hidden="false" customHeight="true" outlineLevel="0" collapsed="false">
      <c r="B57" s="25" t="s">
        <v>151</v>
      </c>
      <c r="C57" s="273" t="s">
        <v>133</v>
      </c>
      <c r="D57" s="244" t="n">
        <v>46157</v>
      </c>
      <c r="E57" s="274" t="s">
        <v>623</v>
      </c>
      <c r="F57" s="37" t="str">
        <f aca="false">IF(AND(L57="🔄 SWAP ME",M57&lt;&gt;""),M57,IFERROR(INDEX($O$5:$O$375,MATCH(O57,$M$5:$M$375,0)),O57))</f>
        <v>DSA: Linked Lists — Reverse, Merge Sorted, Detect Cycle, LRU Cache O(1)</v>
      </c>
      <c r="G57" s="185" t="s">
        <v>270</v>
      </c>
      <c r="H57" s="39" t="n">
        <v>0.3</v>
      </c>
      <c r="I57" s="40" t="n">
        <v>0.5</v>
      </c>
      <c r="J57" s="41" t="n">
        <v>0.75</v>
      </c>
      <c r="K57" s="76" t="s">
        <v>1348</v>
      </c>
      <c r="L57" s="76" t="s">
        <v>1349</v>
      </c>
      <c r="M57" s="245"/>
      <c r="N57" s="63" t="str">
        <f aca="false">IF(AND(L57="🔄 SWAP ME",M57&lt;&gt;""),"⚡ SWAPPED","")</f>
        <v/>
      </c>
      <c r="O57" s="9" t="s">
        <v>711</v>
      </c>
      <c r="P57" s="314" t="str">
        <f aca="true">IF(AND(L57="🔄 SWAP ME",M57&lt;&gt;""),TODAY(),"")</f>
        <v/>
      </c>
      <c r="Q57" s="315" t="s">
        <v>712</v>
      </c>
    </row>
    <row r="58" customFormat="false" ht="19.5" hidden="false" customHeight="true" outlineLevel="0" collapsed="false">
      <c r="B58" s="25" t="s">
        <v>151</v>
      </c>
      <c r="C58" s="309" t="s">
        <v>516</v>
      </c>
      <c r="D58" s="240" t="n">
        <v>46158</v>
      </c>
      <c r="E58" s="36" t="s">
        <v>617</v>
      </c>
      <c r="F58" s="178" t="str">
        <f aca="false">IF(AND(L58="🔄 SWAP ME",M58&lt;&gt;""),M58,IFERROR(INDEX($O$5:$O$375,MATCH(O58,$M$5:$M$375,0)),O58))</f>
        <v>Python Design Patterns: Singleton (SparkSession), Decorator pattern for @retry @log</v>
      </c>
      <c r="G58" s="185" t="s">
        <v>270</v>
      </c>
      <c r="H58" s="39" t="n">
        <v>1</v>
      </c>
      <c r="I58" s="40" t="n">
        <v>1.5</v>
      </c>
      <c r="J58" s="41" t="n">
        <v>2</v>
      </c>
      <c r="K58" s="179" t="s">
        <v>1351</v>
      </c>
      <c r="L58" s="179" t="s">
        <v>1349</v>
      </c>
      <c r="M58" s="241"/>
      <c r="N58" s="316" t="str">
        <f aca="false">IF(AND(L58="🔄 SWAP ME",M58&lt;&gt;""),"⚡ SWAPPED","")</f>
        <v/>
      </c>
      <c r="O58" s="9" t="s">
        <v>713</v>
      </c>
      <c r="P58" s="317" t="str">
        <f aca="true">IF(AND(L58="🔄 SWAP ME",M58&lt;&gt;""),TODAY(),"")</f>
        <v/>
      </c>
      <c r="Q58" s="315" t="s">
        <v>714</v>
      </c>
    </row>
    <row r="59" customFormat="false" ht="19.5" hidden="false" customHeight="true" outlineLevel="0" collapsed="false">
      <c r="B59" s="25" t="s">
        <v>151</v>
      </c>
      <c r="C59" s="309" t="s">
        <v>517</v>
      </c>
      <c r="D59" s="240" t="n">
        <v>46159</v>
      </c>
      <c r="E59" s="36" t="s">
        <v>617</v>
      </c>
      <c r="F59" s="178" t="str">
        <f aca="false">IF(AND(L59="🔄 SWAP ME",M59&lt;&gt;""),M59,IFERROR(INDEX($O$5:$O$375,MATCH(O59,$M$5:$M$375,0)),O59))</f>
        <v>P3 cont: Add @retry, @log_execution, @track_metrics decorators to ETL framework</v>
      </c>
      <c r="G59" s="185" t="s">
        <v>270</v>
      </c>
      <c r="H59" s="39" t="n">
        <v>1.5</v>
      </c>
      <c r="I59" s="40" t="n">
        <v>3</v>
      </c>
      <c r="J59" s="41" t="n">
        <v>5</v>
      </c>
      <c r="K59" s="179" t="s">
        <v>1352</v>
      </c>
      <c r="L59" s="179" t="s">
        <v>1349</v>
      </c>
      <c r="M59" s="241"/>
      <c r="N59" s="316" t="str">
        <f aca="false">IF(AND(L59="🔄 SWAP ME",M59&lt;&gt;""),"⚡ SWAPPED","")</f>
        <v/>
      </c>
      <c r="O59" s="9" t="s">
        <v>715</v>
      </c>
      <c r="P59" s="317" t="str">
        <f aca="true">IF(AND(L59="🔄 SWAP ME",M59&lt;&gt;""),TODAY(),"")</f>
        <v/>
      </c>
      <c r="Q59" s="315" t="s">
        <v>716</v>
      </c>
    </row>
    <row r="60" customFormat="false" ht="12" hidden="false" customHeight="true" outlineLevel="0" collapsed="false">
      <c r="B60" s="321" t="s">
        <v>1360</v>
      </c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</row>
    <row r="61" customFormat="false" ht="19.5" hidden="false" customHeight="true" outlineLevel="0" collapsed="false">
      <c r="B61" s="50" t="s">
        <v>152</v>
      </c>
      <c r="C61" s="273" t="s">
        <v>118</v>
      </c>
      <c r="D61" s="244" t="n">
        <v>46160</v>
      </c>
      <c r="E61" s="36" t="s">
        <v>617</v>
      </c>
      <c r="F61" s="37" t="str">
        <f aca="false">IF(AND(L61="🔄 SWAP ME",M61&lt;&gt;""),M61,IFERROR(INDEX($O$5:$O$375,MATCH(O61,$M$5:$M$375,0)),O61))</f>
        <v>BigData: 5Vs, distributed computation, HDFS (NameNode/DataNode/replication)</v>
      </c>
      <c r="G61" s="188" t="s">
        <v>292</v>
      </c>
      <c r="H61" s="39" t="n">
        <v>0.5</v>
      </c>
      <c r="I61" s="40" t="n">
        <v>1</v>
      </c>
      <c r="J61" s="41" t="n">
        <v>1.5</v>
      </c>
      <c r="K61" s="76" t="s">
        <v>1348</v>
      </c>
      <c r="L61" s="76" t="s">
        <v>1349</v>
      </c>
      <c r="M61" s="245"/>
      <c r="N61" s="63" t="str">
        <f aca="false">IF(AND(L61="🔄 SWAP ME",M61&lt;&gt;""),"⚡ SWAPPED","")</f>
        <v/>
      </c>
      <c r="O61" s="9" t="s">
        <v>718</v>
      </c>
      <c r="P61" s="314" t="str">
        <f aca="true">IF(AND(L61="🔄 SWAP ME",M61&lt;&gt;""),TODAY(),"")</f>
        <v/>
      </c>
      <c r="Q61" s="270" t="s">
        <v>719</v>
      </c>
    </row>
    <row r="62" customFormat="false" ht="19.5" hidden="false" customHeight="true" outlineLevel="0" collapsed="false">
      <c r="B62" s="50" t="s">
        <v>152</v>
      </c>
      <c r="C62" s="273" t="s">
        <v>123</v>
      </c>
      <c r="D62" s="244" t="n">
        <v>46161</v>
      </c>
      <c r="E62" s="36" t="s">
        <v>617</v>
      </c>
      <c r="F62" s="37" t="str">
        <f aca="false">IF(AND(L62="🔄 SWAP ME",M62&lt;&gt;""),M62,IFERROR(INDEX($O$5:$O$375,MATCH(O62,$M$5:$M$375,0)),O62))</f>
        <v>MapReduce: mapper→shuffle+sort→reducer paradigm, YARN (ResourceManager/NodeManager)</v>
      </c>
      <c r="G62" s="188" t="s">
        <v>292</v>
      </c>
      <c r="H62" s="39" t="n">
        <v>0.5</v>
      </c>
      <c r="I62" s="40" t="n">
        <v>1</v>
      </c>
      <c r="J62" s="41" t="n">
        <v>1.5</v>
      </c>
      <c r="K62" s="76" t="s">
        <v>1348</v>
      </c>
      <c r="L62" s="76" t="s">
        <v>1349</v>
      </c>
      <c r="M62" s="245"/>
      <c r="N62" s="63" t="str">
        <f aca="false">IF(AND(L62="🔄 SWAP ME",M62&lt;&gt;""),"⚡ SWAPPED","")</f>
        <v/>
      </c>
      <c r="O62" s="9" t="s">
        <v>720</v>
      </c>
      <c r="P62" s="314" t="str">
        <f aca="true">IF(AND(L62="🔄 SWAP ME",M62&lt;&gt;""),TODAY(),"")</f>
        <v/>
      </c>
      <c r="Q62" s="270" t="s">
        <v>721</v>
      </c>
    </row>
    <row r="63" customFormat="false" ht="19.5" hidden="false" customHeight="true" outlineLevel="0" collapsed="false">
      <c r="B63" s="50" t="s">
        <v>152</v>
      </c>
      <c r="C63" s="273" t="s">
        <v>126</v>
      </c>
      <c r="D63" s="244" t="n">
        <v>46162</v>
      </c>
      <c r="E63" s="36" t="s">
        <v>617</v>
      </c>
      <c r="F63" s="37" t="str">
        <f aca="false">IF(AND(L63="🔄 SWAP ME",M63&lt;&gt;""),M63,IFERROR(INDEX($O$5:$O$375,MATCH(O63,$M$5:$M$375,0)),O63))</f>
        <v>Hive: architecture, internal vs external tables, partitioning, bucketing, SerDe</v>
      </c>
      <c r="G63" s="188" t="s">
        <v>292</v>
      </c>
      <c r="H63" s="39" t="n">
        <v>0.5</v>
      </c>
      <c r="I63" s="40" t="n">
        <v>1</v>
      </c>
      <c r="J63" s="41" t="n">
        <v>1.5</v>
      </c>
      <c r="K63" s="76" t="s">
        <v>1348</v>
      </c>
      <c r="L63" s="76" t="s">
        <v>1349</v>
      </c>
      <c r="M63" s="245"/>
      <c r="N63" s="63" t="str">
        <f aca="false">IF(AND(L63="🔄 SWAP ME",M63&lt;&gt;""),"⚡ SWAPPED","")</f>
        <v/>
      </c>
      <c r="O63" s="9" t="s">
        <v>722</v>
      </c>
      <c r="P63" s="314" t="str">
        <f aca="true">IF(AND(L63="🔄 SWAP ME",M63&lt;&gt;""),TODAY(),"")</f>
        <v/>
      </c>
      <c r="Q63" s="270" t="s">
        <v>723</v>
      </c>
    </row>
    <row r="64" customFormat="false" ht="19.5" hidden="false" customHeight="true" outlineLevel="0" collapsed="false">
      <c r="B64" s="50" t="s">
        <v>152</v>
      </c>
      <c r="C64" s="273" t="s">
        <v>130</v>
      </c>
      <c r="D64" s="244" t="n">
        <v>46163</v>
      </c>
      <c r="E64" s="36" t="s">
        <v>617</v>
      </c>
      <c r="F64" s="37" t="str">
        <f aca="false">IF(AND(L64="🔄 SWAP ME",M64&lt;&gt;""),M64,IFERROR(INDEX($O$5:$O$375,MATCH(O64,$M$5:$M$375,0)),O64))</f>
        <v>Hive: joins (map-side/bucket-map/sorted-merge/skew), HiveQL window functions</v>
      </c>
      <c r="G64" s="188" t="s">
        <v>292</v>
      </c>
      <c r="H64" s="39" t="n">
        <v>0.5</v>
      </c>
      <c r="I64" s="40" t="n">
        <v>1</v>
      </c>
      <c r="J64" s="41" t="n">
        <v>1.5</v>
      </c>
      <c r="K64" s="76" t="s">
        <v>1348</v>
      </c>
      <c r="L64" s="76" t="s">
        <v>1349</v>
      </c>
      <c r="M64" s="245"/>
      <c r="N64" s="63" t="str">
        <f aca="false">IF(AND(L64="🔄 SWAP ME",M64&lt;&gt;""),"⚡ SWAPPED","")</f>
        <v/>
      </c>
      <c r="O64" s="9" t="s">
        <v>724</v>
      </c>
      <c r="P64" s="314" t="str">
        <f aca="true">IF(AND(L64="🔄 SWAP ME",M64&lt;&gt;""),TODAY(),"")</f>
        <v/>
      </c>
      <c r="Q64" s="270" t="s">
        <v>725</v>
      </c>
    </row>
    <row r="65" customFormat="false" ht="19.5" hidden="false" customHeight="true" outlineLevel="0" collapsed="false">
      <c r="B65" s="50" t="s">
        <v>152</v>
      </c>
      <c r="C65" s="273" t="s">
        <v>133</v>
      </c>
      <c r="D65" s="244" t="n">
        <v>46164</v>
      </c>
      <c r="E65" s="274" t="s">
        <v>623</v>
      </c>
      <c r="F65" s="37" t="str">
        <f aca="false">IF(AND(L65="🔄 SWAP ME",M65&lt;&gt;""),M65,IFERROR(INDEX($O$5:$O$375,MATCH(O65,$M$5:$M$375,0)),O65))</f>
        <v>DSA: Trees — Max Depth, Invert, Same Tree, LCA, Validate BST, Kth Smallest</v>
      </c>
      <c r="G65" s="188" t="s">
        <v>292</v>
      </c>
      <c r="H65" s="39" t="n">
        <v>0.3</v>
      </c>
      <c r="I65" s="40" t="n">
        <v>0.5</v>
      </c>
      <c r="J65" s="41" t="n">
        <v>0.75</v>
      </c>
      <c r="K65" s="76" t="s">
        <v>1348</v>
      </c>
      <c r="L65" s="76" t="s">
        <v>1349</v>
      </c>
      <c r="M65" s="245"/>
      <c r="N65" s="63" t="str">
        <f aca="false">IF(AND(L65="🔄 SWAP ME",M65&lt;&gt;""),"⚡ SWAPPED","")</f>
        <v/>
      </c>
      <c r="O65" s="9" t="s">
        <v>726</v>
      </c>
      <c r="P65" s="314" t="str">
        <f aca="true">IF(AND(L65="🔄 SWAP ME",M65&lt;&gt;""),TODAY(),"")</f>
        <v/>
      </c>
      <c r="Q65" s="315" t="s">
        <v>727</v>
      </c>
    </row>
    <row r="66" customFormat="false" ht="19.5" hidden="false" customHeight="true" outlineLevel="0" collapsed="false">
      <c r="B66" s="50" t="s">
        <v>152</v>
      </c>
      <c r="C66" s="309" t="s">
        <v>516</v>
      </c>
      <c r="D66" s="240" t="n">
        <v>46165</v>
      </c>
      <c r="E66" s="36" t="s">
        <v>617</v>
      </c>
      <c r="F66" s="178" t="str">
        <f aca="false">IF(AND(L66="🔄 SWAP ME",M66&lt;&gt;""),M66,IFERROR(INDEX($O$5:$O$375,MATCH(O66,$M$5:$M$375,0)),O66))</f>
        <v>Hive: file formats (Parquet/ORC/Avro) — when to use each with practical examples</v>
      </c>
      <c r="G66" s="188" t="s">
        <v>292</v>
      </c>
      <c r="H66" s="39" t="n">
        <v>1</v>
      </c>
      <c r="I66" s="40" t="n">
        <v>1.5</v>
      </c>
      <c r="J66" s="41" t="n">
        <v>2</v>
      </c>
      <c r="K66" s="179" t="s">
        <v>1351</v>
      </c>
      <c r="L66" s="179" t="s">
        <v>1349</v>
      </c>
      <c r="M66" s="241"/>
      <c r="N66" s="316" t="str">
        <f aca="false">IF(AND(L66="🔄 SWAP ME",M66&lt;&gt;""),"⚡ SWAPPED","")</f>
        <v/>
      </c>
      <c r="O66" s="9" t="s">
        <v>728</v>
      </c>
      <c r="P66" s="317" t="str">
        <f aca="true">IF(AND(L66="🔄 SWAP ME",M66&lt;&gt;""),TODAY(),"")</f>
        <v/>
      </c>
      <c r="Q66" s="270" t="s">
        <v>1361</v>
      </c>
    </row>
    <row r="67" customFormat="false" ht="19.5" hidden="false" customHeight="true" outlineLevel="0" collapsed="false">
      <c r="B67" s="50" t="s">
        <v>152</v>
      </c>
      <c r="C67" s="309" t="s">
        <v>517</v>
      </c>
      <c r="D67" s="240" t="n">
        <v>46166</v>
      </c>
      <c r="E67" s="36" t="s">
        <v>617</v>
      </c>
      <c r="F67" s="178" t="str">
        <f aca="false">IF(AND(L67="🔄 SWAP ME",M67&lt;&gt;""),M67,IFERROR(INDEX($O$5:$O$375,MATCH(O67,$M$5:$M$375,0)),O67))</f>
        <v>P5: Set up Hive on GCP Dataproc (course) — compare no-partition vs partition vs ORC</v>
      </c>
      <c r="G67" s="188" t="s">
        <v>292</v>
      </c>
      <c r="H67" s="39" t="n">
        <v>1.5</v>
      </c>
      <c r="I67" s="40" t="n">
        <v>3</v>
      </c>
      <c r="J67" s="41" t="n">
        <v>5</v>
      </c>
      <c r="K67" s="179" t="s">
        <v>1352</v>
      </c>
      <c r="L67" s="179" t="s">
        <v>1349</v>
      </c>
      <c r="M67" s="241"/>
      <c r="N67" s="316" t="str">
        <f aca="false">IF(AND(L67="🔄 SWAP ME",M67&lt;&gt;""),"⚡ SWAPPED","")</f>
        <v/>
      </c>
      <c r="O67" s="9" t="s">
        <v>730</v>
      </c>
      <c r="P67" s="317" t="str">
        <f aca="true">IF(AND(L67="🔄 SWAP ME",M67&lt;&gt;""),TODAY(),"")</f>
        <v/>
      </c>
      <c r="Q67" s="270" t="s">
        <v>731</v>
      </c>
    </row>
    <row r="68" customFormat="false" ht="12" hidden="false" customHeight="true" outlineLevel="0" collapsed="false">
      <c r="B68" s="321" t="s">
        <v>1362</v>
      </c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</row>
    <row r="69" customFormat="false" ht="19.5" hidden="false" customHeight="true" outlineLevel="0" collapsed="false">
      <c r="B69" s="50" t="s">
        <v>153</v>
      </c>
      <c r="C69" s="273" t="s">
        <v>118</v>
      </c>
      <c r="D69" s="244" t="n">
        <v>46167</v>
      </c>
      <c r="E69" s="274" t="s">
        <v>623</v>
      </c>
      <c r="F69" s="37" t="str">
        <f aca="false">IF(AND(L69="🔄 SWAP ME",M69&lt;&gt;""),M69,IFERROR(INDEX($O$5:$O$375,MATCH(O69,$M$5:$M$375,0)),O69))</f>
        <v>File Formats Deep: Parquet — columnar, row groups, predicate pushdown, nested types</v>
      </c>
      <c r="G69" s="188" t="s">
        <v>292</v>
      </c>
      <c r="H69" s="39" t="n">
        <v>0.5</v>
      </c>
      <c r="I69" s="40" t="n">
        <v>1</v>
      </c>
      <c r="J69" s="41" t="n">
        <v>1.5</v>
      </c>
      <c r="K69" s="76" t="s">
        <v>1348</v>
      </c>
      <c r="L69" s="76" t="s">
        <v>1349</v>
      </c>
      <c r="M69" s="245"/>
      <c r="N69" s="63" t="str">
        <f aca="false">IF(AND(L69="🔄 SWAP ME",M69&lt;&gt;""),"⚡ SWAPPED","")</f>
        <v/>
      </c>
      <c r="O69" s="9" t="s">
        <v>732</v>
      </c>
      <c r="P69" s="314" t="str">
        <f aca="true">IF(AND(L69="🔄 SWAP ME",M69&lt;&gt;""),TODAY(),"")</f>
        <v/>
      </c>
      <c r="Q69" s="315" t="s">
        <v>733</v>
      </c>
    </row>
    <row r="70" customFormat="false" ht="19.5" hidden="false" customHeight="true" outlineLevel="0" collapsed="false">
      <c r="B70" s="50" t="s">
        <v>153</v>
      </c>
      <c r="C70" s="273" t="s">
        <v>123</v>
      </c>
      <c r="D70" s="244" t="n">
        <v>46168</v>
      </c>
      <c r="E70" s="36" t="s">
        <v>617</v>
      </c>
      <c r="F70" s="37" t="str">
        <f aca="false">IF(AND(L70="🔄 SWAP ME",M70&lt;&gt;""),M70,IFERROR(INDEX($O$5:$O$375,MATCH(O70,$M$5:$M$375,0)),O70))</f>
        <v>File Formats: ORC (stripe/bloom filter), Avro (row-based/schema evolution), Delta</v>
      </c>
      <c r="G70" s="188" t="s">
        <v>292</v>
      </c>
      <c r="H70" s="39" t="n">
        <v>0.5</v>
      </c>
      <c r="I70" s="40" t="n">
        <v>1</v>
      </c>
      <c r="J70" s="41" t="n">
        <v>1.5</v>
      </c>
      <c r="K70" s="76" t="s">
        <v>1348</v>
      </c>
      <c r="L70" s="76" t="s">
        <v>1349</v>
      </c>
      <c r="M70" s="245"/>
      <c r="N70" s="63" t="str">
        <f aca="false">IF(AND(L70="🔄 SWAP ME",M70&lt;&gt;""),"⚡ SWAPPED","")</f>
        <v/>
      </c>
      <c r="O70" s="9" t="s">
        <v>734</v>
      </c>
      <c r="P70" s="314" t="str">
        <f aca="true">IF(AND(L70="🔄 SWAP ME",M70&lt;&gt;""),TODAY(),"")</f>
        <v/>
      </c>
      <c r="Q70" s="315" t="s">
        <v>735</v>
      </c>
    </row>
    <row r="71" customFormat="false" ht="19.5" hidden="false" customHeight="true" outlineLevel="0" collapsed="false">
      <c r="B71" s="50" t="s">
        <v>153</v>
      </c>
      <c r="C71" s="273" t="s">
        <v>126</v>
      </c>
      <c r="D71" s="244" t="n">
        <v>46169</v>
      </c>
      <c r="E71" s="36" t="s">
        <v>617</v>
      </c>
      <c r="F71" s="37" t="str">
        <f aca="false">IF(AND(L71="🔄 SWAP ME",M71&lt;&gt;""),M71,IFERROR(INDEX($O$5:$O$375,MATCH(O71,$M$5:$M$375,0)),O71))</f>
        <v>Compression: Snappy vs GZIP vs ZSTD — size/speed tradeoffs, when to use each</v>
      </c>
      <c r="G71" s="188" t="s">
        <v>292</v>
      </c>
      <c r="H71" s="39" t="n">
        <v>0.5</v>
      </c>
      <c r="I71" s="40" t="n">
        <v>0.75</v>
      </c>
      <c r="J71" s="41" t="n">
        <v>1</v>
      </c>
      <c r="K71" s="76" t="s">
        <v>1348</v>
      </c>
      <c r="L71" s="76" t="s">
        <v>1349</v>
      </c>
      <c r="M71" s="245"/>
      <c r="N71" s="63" t="str">
        <f aca="false">IF(AND(L71="🔄 SWAP ME",M71&lt;&gt;""),"⚡ SWAPPED","")</f>
        <v/>
      </c>
      <c r="O71" s="9" t="s">
        <v>736</v>
      </c>
      <c r="P71" s="314" t="str">
        <f aca="true">IF(AND(L71="🔄 SWAP ME",M71&lt;&gt;""),TODAY(),"")</f>
        <v/>
      </c>
      <c r="Q71" s="315" t="s">
        <v>737</v>
      </c>
    </row>
    <row r="72" customFormat="false" ht="19.5" hidden="false" customHeight="true" outlineLevel="0" collapsed="false">
      <c r="B72" s="50" t="s">
        <v>153</v>
      </c>
      <c r="C72" s="273" t="s">
        <v>130</v>
      </c>
      <c r="D72" s="244" t="n">
        <v>46170</v>
      </c>
      <c r="E72" s="274" t="s">
        <v>623</v>
      </c>
      <c r="F72" s="37" t="str">
        <f aca="false">IF(AND(L72="🔄 SWAP ME",M72&lt;&gt;""),M72,IFERROR(INDEX($O$5:$O$375,MATCH(O72,$M$5:$M$375,0)),O72))</f>
        <v>File format decision guide + hands-on: Parquet vs ORC vs Avro performance comparison</v>
      </c>
      <c r="G72" s="188" t="s">
        <v>292</v>
      </c>
      <c r="H72" s="39" t="n">
        <v>0.5</v>
      </c>
      <c r="I72" s="40" t="n">
        <v>1</v>
      </c>
      <c r="J72" s="41" t="n">
        <v>1.5</v>
      </c>
      <c r="K72" s="76" t="s">
        <v>1348</v>
      </c>
      <c r="L72" s="76" t="s">
        <v>1349</v>
      </c>
      <c r="M72" s="245"/>
      <c r="N72" s="63" t="str">
        <f aca="false">IF(AND(L72="🔄 SWAP ME",M72&lt;&gt;""),"⚡ SWAPPED","")</f>
        <v/>
      </c>
      <c r="O72" s="9" t="s">
        <v>738</v>
      </c>
      <c r="P72" s="314" t="str">
        <f aca="true">IF(AND(L72="🔄 SWAP ME",M72&lt;&gt;""),TODAY(),"")</f>
        <v/>
      </c>
      <c r="Q72" s="315" t="s">
        <v>739</v>
      </c>
    </row>
    <row r="73" customFormat="false" ht="19.5" hidden="false" customHeight="true" outlineLevel="0" collapsed="false">
      <c r="B73" s="50" t="s">
        <v>153</v>
      </c>
      <c r="C73" s="273" t="s">
        <v>133</v>
      </c>
      <c r="D73" s="244" t="n">
        <v>46171</v>
      </c>
      <c r="E73" s="274" t="s">
        <v>623</v>
      </c>
      <c r="F73" s="37" t="str">
        <f aca="false">IF(AND(L73="🔄 SWAP ME",M73&lt;&gt;""),M73,IFERROR(INDEX($O$5:$O$375,MATCH(O73,$M$5:$M$375,0)),O73))</f>
        <v>DSA: Trees BFS — Level Order, Right Side View, Binary Tree Zigzag Traversal</v>
      </c>
      <c r="G73" s="188" t="s">
        <v>292</v>
      </c>
      <c r="H73" s="39" t="n">
        <v>0.3</v>
      </c>
      <c r="I73" s="40" t="n">
        <v>0.5</v>
      </c>
      <c r="J73" s="41" t="n">
        <v>0.75</v>
      </c>
      <c r="K73" s="76" t="s">
        <v>1348</v>
      </c>
      <c r="L73" s="76" t="s">
        <v>1349</v>
      </c>
      <c r="M73" s="245"/>
      <c r="N73" s="63" t="str">
        <f aca="false">IF(AND(L73="🔄 SWAP ME",M73&lt;&gt;""),"⚡ SWAPPED","")</f>
        <v/>
      </c>
      <c r="O73" s="9" t="s">
        <v>740</v>
      </c>
      <c r="P73" s="314" t="str">
        <f aca="true">IF(AND(L73="🔄 SWAP ME",M73&lt;&gt;""),TODAY(),"")</f>
        <v/>
      </c>
      <c r="Q73" s="315" t="s">
        <v>741</v>
      </c>
    </row>
    <row r="74" customFormat="false" ht="19.5" hidden="false" customHeight="true" outlineLevel="0" collapsed="false">
      <c r="B74" s="50" t="s">
        <v>153</v>
      </c>
      <c r="C74" s="309" t="s">
        <v>516</v>
      </c>
      <c r="D74" s="240" t="n">
        <v>46172</v>
      </c>
      <c r="E74" s="274" t="s">
        <v>623</v>
      </c>
      <c r="F74" s="178" t="str">
        <f aca="false">IF(AND(L74="🔄 SWAP ME",M74&lt;&gt;""),M74,IFERROR(INDEX($O$5:$O$375,MATCH(O74,$M$5:$M$375,0)),O74))</f>
        <v>Practice: Explain step-by-step what happens when Spark reads 500GB Parquet from HDFS</v>
      </c>
      <c r="G74" s="188" t="s">
        <v>292</v>
      </c>
      <c r="H74" s="39" t="n">
        <v>1</v>
      </c>
      <c r="I74" s="40" t="n">
        <v>1.5</v>
      </c>
      <c r="J74" s="41" t="n">
        <v>2</v>
      </c>
      <c r="K74" s="179" t="s">
        <v>1351</v>
      </c>
      <c r="L74" s="179" t="s">
        <v>1349</v>
      </c>
      <c r="M74" s="241"/>
      <c r="N74" s="316" t="str">
        <f aca="false">IF(AND(L74="🔄 SWAP ME",M74&lt;&gt;""),"⚡ SWAPPED","")</f>
        <v/>
      </c>
      <c r="O74" s="9" t="s">
        <v>742</v>
      </c>
      <c r="P74" s="317" t="str">
        <f aca="true">IF(AND(L74="🔄 SWAP ME",M74&lt;&gt;""),TODAY(),"")</f>
        <v/>
      </c>
      <c r="Q74" s="315" t="s">
        <v>743</v>
      </c>
    </row>
    <row r="75" customFormat="false" ht="19.5" hidden="false" customHeight="true" outlineLevel="0" collapsed="false">
      <c r="B75" s="50" t="s">
        <v>153</v>
      </c>
      <c r="C75" s="309" t="s">
        <v>517</v>
      </c>
      <c r="D75" s="240" t="n">
        <v>46173</v>
      </c>
      <c r="E75" s="36" t="s">
        <v>617</v>
      </c>
      <c r="F75" s="178" t="str">
        <f aca="false">IF(AND(L75="🔄 SWAP ME",M75&lt;&gt;""),M75,IFERROR(INDEX($O$5:$O$375,MATCH(O75,$M$5:$M$375,0)),O75))</f>
        <v>Hadoop HDFS HA: NameNode high availability, JournalNode, failover controller</v>
      </c>
      <c r="G75" s="188" t="s">
        <v>292</v>
      </c>
      <c r="H75" s="39" t="n">
        <v>1.5</v>
      </c>
      <c r="I75" s="40" t="n">
        <v>2</v>
      </c>
      <c r="J75" s="41" t="n">
        <v>3</v>
      </c>
      <c r="K75" s="179" t="s">
        <v>1351</v>
      </c>
      <c r="L75" s="179" t="s">
        <v>1349</v>
      </c>
      <c r="M75" s="241"/>
      <c r="N75" s="316" t="str">
        <f aca="false">IF(AND(L75="🔄 SWAP ME",M75&lt;&gt;""),"⚡ SWAPPED","")</f>
        <v/>
      </c>
      <c r="O75" s="9" t="s">
        <v>744</v>
      </c>
      <c r="P75" s="317" t="str">
        <f aca="true">IF(AND(L75="🔄 SWAP ME",M75&lt;&gt;""),TODAY(),"")</f>
        <v/>
      </c>
      <c r="Q75" s="315" t="s">
        <v>302</v>
      </c>
    </row>
    <row r="76" customFormat="false" ht="12" hidden="false" customHeight="true" outlineLevel="0" collapsed="false">
      <c r="B76" s="322" t="s">
        <v>1363</v>
      </c>
      <c r="C76" s="322"/>
      <c r="D76" s="322"/>
      <c r="E76" s="322"/>
      <c r="F76" s="322"/>
      <c r="G76" s="322"/>
      <c r="H76" s="322"/>
      <c r="I76" s="322"/>
      <c r="J76" s="322"/>
      <c r="K76" s="322"/>
      <c r="L76" s="322"/>
      <c r="M76" s="322"/>
      <c r="N76" s="322"/>
      <c r="O76" s="322"/>
      <c r="P76" s="322"/>
      <c r="Q76" s="322"/>
    </row>
    <row r="77" customFormat="false" ht="19.5" hidden="false" customHeight="true" outlineLevel="0" collapsed="false">
      <c r="B77" s="323" t="s">
        <v>154</v>
      </c>
      <c r="C77" s="273" t="s">
        <v>118</v>
      </c>
      <c r="D77" s="244" t="n">
        <v>46174</v>
      </c>
      <c r="E77" s="274" t="s">
        <v>623</v>
      </c>
      <c r="F77" s="37" t="str">
        <f aca="false">IF(AND(L77="🔄 SWAP ME",M77&lt;&gt;""),M77,IFERROR(INDEX($O$5:$O$375,MATCH(O77,$M$5:$M$375,0)),O77))</f>
        <v>Kafka: brokers, topics, partitions, replicas, leaders, ISR, KRaft vs ZooKeeper</v>
      </c>
      <c r="G77" s="190" t="s">
        <v>308</v>
      </c>
      <c r="H77" s="39" t="n">
        <v>0.5</v>
      </c>
      <c r="I77" s="40" t="n">
        <v>1</v>
      </c>
      <c r="J77" s="41" t="n">
        <v>1.5</v>
      </c>
      <c r="K77" s="76" t="s">
        <v>1348</v>
      </c>
      <c r="L77" s="76" t="s">
        <v>1349</v>
      </c>
      <c r="M77" s="245"/>
      <c r="N77" s="63" t="str">
        <f aca="false">IF(AND(L77="🔄 SWAP ME",M77&lt;&gt;""),"⚡ SWAPPED","")</f>
        <v/>
      </c>
      <c r="O77" s="9" t="s">
        <v>746</v>
      </c>
      <c r="P77" s="314" t="str">
        <f aca="true">IF(AND(L77="🔄 SWAP ME",M77&lt;&gt;""),TODAY(),"")</f>
        <v/>
      </c>
      <c r="Q77" s="270" t="s">
        <v>747</v>
      </c>
    </row>
    <row r="78" customFormat="false" ht="19.5" hidden="false" customHeight="true" outlineLevel="0" collapsed="false">
      <c r="B78" s="323" t="s">
        <v>154</v>
      </c>
      <c r="C78" s="273" t="s">
        <v>123</v>
      </c>
      <c r="D78" s="244" t="n">
        <v>46175</v>
      </c>
      <c r="E78" s="274" t="s">
        <v>623</v>
      </c>
      <c r="F78" s="37" t="str">
        <f aca="false">IF(AND(L78="🔄 SWAP ME",M78&lt;&gt;""),M78,IFERROR(INDEX($O$5:$O$375,MATCH(O78,$M$5:$M$375,0)),O78))</f>
        <v>Kafka Producers: acks (0/1/all), retries, idempotent producer, compression codecs</v>
      </c>
      <c r="G78" s="190" t="s">
        <v>308</v>
      </c>
      <c r="H78" s="39" t="n">
        <v>0.5</v>
      </c>
      <c r="I78" s="40" t="n">
        <v>1</v>
      </c>
      <c r="J78" s="41" t="n">
        <v>1.5</v>
      </c>
      <c r="K78" s="76" t="s">
        <v>1348</v>
      </c>
      <c r="L78" s="76" t="s">
        <v>1349</v>
      </c>
      <c r="M78" s="245"/>
      <c r="N78" s="63" t="str">
        <f aca="false">IF(AND(L78="🔄 SWAP ME",M78&lt;&gt;""),"⚡ SWAPPED","")</f>
        <v/>
      </c>
      <c r="O78" s="9" t="s">
        <v>748</v>
      </c>
      <c r="P78" s="314" t="str">
        <f aca="true">IF(AND(L78="🔄 SWAP ME",M78&lt;&gt;""),TODAY(),"")</f>
        <v/>
      </c>
      <c r="Q78" s="270" t="s">
        <v>1364</v>
      </c>
    </row>
    <row r="79" customFormat="false" ht="19.5" hidden="false" customHeight="true" outlineLevel="0" collapsed="false">
      <c r="B79" s="323" t="s">
        <v>154</v>
      </c>
      <c r="C79" s="273" t="s">
        <v>126</v>
      </c>
      <c r="D79" s="244" t="n">
        <v>46176</v>
      </c>
      <c r="E79" s="274" t="s">
        <v>623</v>
      </c>
      <c r="F79" s="37" t="str">
        <f aca="false">IF(AND(L79="🔄 SWAP ME",M79&lt;&gt;""),M79,IFERROR(INDEX($O$5:$O$375,MATCH(O79,$M$5:$M$375,0)),O79))</f>
        <v>Kafka Consumers: consumer groups, partition assignment strategies, offset management</v>
      </c>
      <c r="G79" s="190" t="s">
        <v>308</v>
      </c>
      <c r="H79" s="39" t="n">
        <v>0.5</v>
      </c>
      <c r="I79" s="40" t="n">
        <v>1</v>
      </c>
      <c r="J79" s="41" t="n">
        <v>1.5</v>
      </c>
      <c r="K79" s="76" t="s">
        <v>1348</v>
      </c>
      <c r="L79" s="76" t="s">
        <v>1349</v>
      </c>
      <c r="M79" s="245"/>
      <c r="N79" s="63" t="str">
        <f aca="false">IF(AND(L79="🔄 SWAP ME",M79&lt;&gt;""),"⚡ SWAPPED","")</f>
        <v/>
      </c>
      <c r="O79" s="9" t="s">
        <v>750</v>
      </c>
      <c r="P79" s="314" t="str">
        <f aca="true">IF(AND(L79="🔄 SWAP ME",M79&lt;&gt;""),TODAY(),"")</f>
        <v/>
      </c>
      <c r="Q79" s="270" t="s">
        <v>751</v>
      </c>
    </row>
    <row r="80" customFormat="false" ht="19.5" hidden="false" customHeight="true" outlineLevel="0" collapsed="false">
      <c r="B80" s="323" t="s">
        <v>154</v>
      </c>
      <c r="C80" s="273" t="s">
        <v>130</v>
      </c>
      <c r="D80" s="244" t="n">
        <v>46177</v>
      </c>
      <c r="E80" s="36" t="s">
        <v>617</v>
      </c>
      <c r="F80" s="37" t="str">
        <f aca="false">IF(AND(L80="🔄 SWAP ME",M80&lt;&gt;""),M80,IFERROR(INDEX($O$5:$O$375,MATCH(O80,$M$5:$M$375,0)),O80))</f>
        <v>Kafka: Schema Registry (Avro/Protobuf/JSON), KSQLdb (streams/tables/joins)</v>
      </c>
      <c r="G80" s="190" t="s">
        <v>308</v>
      </c>
      <c r="H80" s="39" t="n">
        <v>0.5</v>
      </c>
      <c r="I80" s="40" t="n">
        <v>1</v>
      </c>
      <c r="J80" s="41" t="n">
        <v>1.5</v>
      </c>
      <c r="K80" s="76" t="s">
        <v>1348</v>
      </c>
      <c r="L80" s="76" t="s">
        <v>1349</v>
      </c>
      <c r="M80" s="245"/>
      <c r="N80" s="63" t="str">
        <f aca="false">IF(AND(L80="🔄 SWAP ME",M80&lt;&gt;""),"⚡ SWAPPED","")</f>
        <v/>
      </c>
      <c r="O80" s="9" t="s">
        <v>752</v>
      </c>
      <c r="P80" s="314" t="str">
        <f aca="true">IF(AND(L80="🔄 SWAP ME",M80&lt;&gt;""),TODAY(),"")</f>
        <v/>
      </c>
      <c r="Q80" s="270" t="s">
        <v>753</v>
      </c>
    </row>
    <row r="81" customFormat="false" ht="19.5" hidden="false" customHeight="true" outlineLevel="0" collapsed="false">
      <c r="B81" s="323" t="s">
        <v>154</v>
      </c>
      <c r="C81" s="273" t="s">
        <v>133</v>
      </c>
      <c r="D81" s="244" t="n">
        <v>46178</v>
      </c>
      <c r="E81" s="274" t="s">
        <v>623</v>
      </c>
      <c r="F81" s="37" t="str">
        <f aca="false">IF(AND(L81="🔄 SWAP ME",M81&lt;&gt;""),M81,IFERROR(INDEX($O$5:$O$375,MATCH(O81,$M$5:$M$375,0)),O81))</f>
        <v>DSA: Graphs BFS — Word Ladder, Rotting Oranges, Shortest Path in Binary Matrix</v>
      </c>
      <c r="G81" s="190" t="s">
        <v>308</v>
      </c>
      <c r="H81" s="39" t="n">
        <v>0.3</v>
      </c>
      <c r="I81" s="40" t="n">
        <v>0.5</v>
      </c>
      <c r="J81" s="41" t="n">
        <v>0.75</v>
      </c>
      <c r="K81" s="76" t="s">
        <v>1348</v>
      </c>
      <c r="L81" s="76" t="s">
        <v>1349</v>
      </c>
      <c r="M81" s="245"/>
      <c r="N81" s="63" t="str">
        <f aca="false">IF(AND(L81="🔄 SWAP ME",M81&lt;&gt;""),"⚡ SWAPPED","")</f>
        <v/>
      </c>
      <c r="O81" s="9" t="s">
        <v>754</v>
      </c>
      <c r="P81" s="314" t="str">
        <f aca="true">IF(AND(L81="🔄 SWAP ME",M81&lt;&gt;""),TODAY(),"")</f>
        <v/>
      </c>
      <c r="Q81" s="315" t="s">
        <v>755</v>
      </c>
    </row>
    <row r="82" customFormat="false" ht="19.5" hidden="false" customHeight="true" outlineLevel="0" collapsed="false">
      <c r="B82" s="323" t="s">
        <v>154</v>
      </c>
      <c r="C82" s="309" t="s">
        <v>516</v>
      </c>
      <c r="D82" s="240" t="n">
        <v>46179</v>
      </c>
      <c r="E82" s="274" t="s">
        <v>623</v>
      </c>
      <c r="F82" s="178" t="str">
        <f aca="false">IF(AND(L82="🔄 SWAP ME",M82&lt;&gt;""),M82,IFERROR(INDEX($O$5:$O$375,MATCH(O82,$M$5:$M$375,0)),O82))</f>
        <v>Kafka: Exactly-once semantics, Kafka Connect (source/sink/SMT), log compaction</v>
      </c>
      <c r="G82" s="190" t="s">
        <v>308</v>
      </c>
      <c r="H82" s="39" t="n">
        <v>1</v>
      </c>
      <c r="I82" s="40" t="n">
        <v>1.5</v>
      </c>
      <c r="J82" s="41" t="n">
        <v>2</v>
      </c>
      <c r="K82" s="179" t="s">
        <v>1351</v>
      </c>
      <c r="L82" s="179" t="s">
        <v>1349</v>
      </c>
      <c r="M82" s="241"/>
      <c r="N82" s="316" t="str">
        <f aca="false">IF(AND(L82="🔄 SWAP ME",M82&lt;&gt;""),"⚡ SWAPPED","")</f>
        <v/>
      </c>
      <c r="O82" s="9" t="s">
        <v>756</v>
      </c>
      <c r="P82" s="317" t="str">
        <f aca="true">IF(AND(L82="🔄 SWAP ME",M82&lt;&gt;""),TODAY(),"")</f>
        <v/>
      </c>
      <c r="Q82" s="315" t="s">
        <v>757</v>
      </c>
    </row>
    <row r="83" customFormat="false" ht="19.5" hidden="false" customHeight="true" outlineLevel="0" collapsed="false">
      <c r="B83" s="323" t="s">
        <v>154</v>
      </c>
      <c r="C83" s="309" t="s">
        <v>517</v>
      </c>
      <c r="D83" s="240" t="n">
        <v>46180</v>
      </c>
      <c r="E83" s="274" t="s">
        <v>623</v>
      </c>
      <c r="F83" s="178" t="str">
        <f aca="false">IF(AND(L83="🔄 SWAP ME",M83&lt;&gt;""),M83,IFERROR(INDEX($O$5:$O$375,MATCH(O83,$M$5:$M$375,0)),O83))</f>
        <v>P6: McDonald's payments stream — Kafka→KSQLdb→MongoDB (from course)</v>
      </c>
      <c r="G83" s="190" t="s">
        <v>308</v>
      </c>
      <c r="H83" s="39" t="n">
        <v>1.5</v>
      </c>
      <c r="I83" s="40" t="n">
        <v>3</v>
      </c>
      <c r="J83" s="41" t="n">
        <v>5</v>
      </c>
      <c r="K83" s="179" t="s">
        <v>1352</v>
      </c>
      <c r="L83" s="179" t="s">
        <v>1349</v>
      </c>
      <c r="M83" s="241"/>
      <c r="N83" s="316" t="str">
        <f aca="false">IF(AND(L83="🔄 SWAP ME",M83&lt;&gt;""),"⚡ SWAPPED","")</f>
        <v/>
      </c>
      <c r="O83" s="9" t="s">
        <v>758</v>
      </c>
      <c r="P83" s="317" t="str">
        <f aca="true">IF(AND(L83="🔄 SWAP ME",M83&lt;&gt;""),TODAY(),"")</f>
        <v/>
      </c>
      <c r="Q83" s="270" t="s">
        <v>731</v>
      </c>
    </row>
    <row r="84" customFormat="false" ht="12" hidden="false" customHeight="true" outlineLevel="0" collapsed="false">
      <c r="B84" s="322" t="s">
        <v>1365</v>
      </c>
      <c r="C84" s="322"/>
      <c r="D84" s="322"/>
      <c r="E84" s="322"/>
      <c r="F84" s="322"/>
      <c r="G84" s="322"/>
      <c r="H84" s="322"/>
      <c r="I84" s="322"/>
      <c r="J84" s="322"/>
      <c r="K84" s="322"/>
      <c r="L84" s="322"/>
      <c r="M84" s="322"/>
      <c r="N84" s="322"/>
      <c r="O84" s="322"/>
      <c r="P84" s="322"/>
      <c r="Q84" s="322"/>
    </row>
    <row r="85" customFormat="false" ht="19.5" hidden="false" customHeight="true" outlineLevel="0" collapsed="false">
      <c r="B85" s="323" t="s">
        <v>155</v>
      </c>
      <c r="C85" s="273" t="s">
        <v>118</v>
      </c>
      <c r="D85" s="244" t="n">
        <v>46181</v>
      </c>
      <c r="E85" s="36" t="s">
        <v>617</v>
      </c>
      <c r="F85" s="37" t="str">
        <f aca="false">IF(AND(L85="🔄 SWAP ME",M85&lt;&gt;""),M85,IFERROR(INDEX($O$5:$O$375,MATCH(O85,$M$5:$M$375,0)),O85))</f>
        <v>Kafka: Streams API (KStream/KTable/joins/windowing/state stores/changelog topics)</v>
      </c>
      <c r="G85" s="190" t="s">
        <v>308</v>
      </c>
      <c r="H85" s="39" t="n">
        <v>0.5</v>
      </c>
      <c r="I85" s="40" t="n">
        <v>1</v>
      </c>
      <c r="J85" s="41" t="n">
        <v>1.5</v>
      </c>
      <c r="K85" s="76" t="s">
        <v>1348</v>
      </c>
      <c r="L85" s="76" t="s">
        <v>1349</v>
      </c>
      <c r="M85" s="245"/>
      <c r="N85" s="63" t="str">
        <f aca="false">IF(AND(L85="🔄 SWAP ME",M85&lt;&gt;""),"⚡ SWAPPED","")</f>
        <v/>
      </c>
      <c r="O85" s="9" t="s">
        <v>759</v>
      </c>
      <c r="P85" s="314" t="str">
        <f aca="true">IF(AND(L85="🔄 SWAP ME",M85&lt;&gt;""),TODAY(),"")</f>
        <v/>
      </c>
      <c r="Q85" s="315" t="s">
        <v>760</v>
      </c>
    </row>
    <row r="86" customFormat="false" ht="19.5" hidden="false" customHeight="true" outlineLevel="0" collapsed="false">
      <c r="B86" s="323" t="s">
        <v>155</v>
      </c>
      <c r="C86" s="273" t="s">
        <v>123</v>
      </c>
      <c r="D86" s="244" t="n">
        <v>46182</v>
      </c>
      <c r="E86" s="36" t="s">
        <v>617</v>
      </c>
      <c r="F86" s="37" t="str">
        <f aca="false">IF(AND(L86="🔄 SWAP ME",M86&lt;&gt;""),M86,IFERROR(INDEX($O$5:$O$375,MATCH(O86,$M$5:$M$375,0)),O86))</f>
        <v>Kafka: Security (SASL/TLS/ACLs), monitoring (consumer lag/JMX), troubleshooting</v>
      </c>
      <c r="G86" s="190" t="s">
        <v>308</v>
      </c>
      <c r="H86" s="39" t="n">
        <v>0.5</v>
      </c>
      <c r="I86" s="40" t="n">
        <v>0.75</v>
      </c>
      <c r="J86" s="41" t="n">
        <v>1</v>
      </c>
      <c r="K86" s="76" t="s">
        <v>1348</v>
      </c>
      <c r="L86" s="76" t="s">
        <v>1349</v>
      </c>
      <c r="M86" s="245"/>
      <c r="N86" s="63" t="str">
        <f aca="false">IF(AND(L86="🔄 SWAP ME",M86&lt;&gt;""),"⚡ SWAPPED","")</f>
        <v/>
      </c>
      <c r="O86" s="9" t="s">
        <v>761</v>
      </c>
      <c r="P86" s="314" t="str">
        <f aca="true">IF(AND(L86="🔄 SWAP ME",M86&lt;&gt;""),TODAY(),"")</f>
        <v/>
      </c>
      <c r="Q86" s="315" t="s">
        <v>762</v>
      </c>
    </row>
    <row r="87" customFormat="false" ht="19.5" hidden="false" customHeight="true" outlineLevel="0" collapsed="false">
      <c r="B87" s="323" t="s">
        <v>155</v>
      </c>
      <c r="C87" s="273" t="s">
        <v>126</v>
      </c>
      <c r="D87" s="244" t="n">
        <v>46183</v>
      </c>
      <c r="E87" s="274" t="s">
        <v>623</v>
      </c>
      <c r="F87" s="37" t="str">
        <f aca="false">IF(AND(L87="🔄 SWAP ME",M87&lt;&gt;""),M87,IFERROR(INDEX($O$5:$O$375,MATCH(O87,$M$5:$M$375,0)),O87))</f>
        <v>Azure Event Hubs: Kafka-compatible API, partitions, Consumer groups, Capture to ADLS</v>
      </c>
      <c r="G87" s="190" t="s">
        <v>308</v>
      </c>
      <c r="H87" s="39" t="n">
        <v>0.5</v>
      </c>
      <c r="I87" s="40" t="n">
        <v>1</v>
      </c>
      <c r="J87" s="41" t="n">
        <v>1.5</v>
      </c>
      <c r="K87" s="76" t="s">
        <v>1348</v>
      </c>
      <c r="L87" s="76" t="s">
        <v>1349</v>
      </c>
      <c r="M87" s="245"/>
      <c r="N87" s="63" t="str">
        <f aca="false">IF(AND(L87="🔄 SWAP ME",M87&lt;&gt;""),"⚡ SWAPPED","")</f>
        <v/>
      </c>
      <c r="O87" s="9" t="s">
        <v>763</v>
      </c>
      <c r="P87" s="314" t="str">
        <f aca="true">IF(AND(L87="🔄 SWAP ME",M87&lt;&gt;""),TODAY(),"")</f>
        <v/>
      </c>
      <c r="Q87" s="315" t="s">
        <v>764</v>
      </c>
    </row>
    <row r="88" customFormat="false" ht="19.5" hidden="false" customHeight="true" outlineLevel="0" collapsed="false">
      <c r="B88" s="323" t="s">
        <v>155</v>
      </c>
      <c r="C88" s="273" t="s">
        <v>130</v>
      </c>
      <c r="D88" s="244" t="n">
        <v>46184</v>
      </c>
      <c r="E88" s="36" t="s">
        <v>617</v>
      </c>
      <c r="F88" s="37" t="str">
        <f aca="false">IF(AND(L88="🔄 SWAP ME",M88&lt;&gt;""),M88,IFERROR(INDEX($O$5:$O$375,MATCH(O88,$M$5:$M$375,0)),O88))</f>
        <v>AWS MSK: provisioned vs serverless, MSK Connect, IAM auth, MSK vs Kinesis guide</v>
      </c>
      <c r="G88" s="190" t="s">
        <v>308</v>
      </c>
      <c r="H88" s="39" t="n">
        <v>0.5</v>
      </c>
      <c r="I88" s="40" t="n">
        <v>0.75</v>
      </c>
      <c r="J88" s="41" t="n">
        <v>1</v>
      </c>
      <c r="K88" s="76" t="s">
        <v>1348</v>
      </c>
      <c r="L88" s="76" t="s">
        <v>1349</v>
      </c>
      <c r="M88" s="245"/>
      <c r="N88" s="63" t="str">
        <f aca="false">IF(AND(L88="🔄 SWAP ME",M88&lt;&gt;""),"⚡ SWAPPED","")</f>
        <v/>
      </c>
      <c r="O88" s="9" t="s">
        <v>765</v>
      </c>
      <c r="P88" s="314" t="str">
        <f aca="true">IF(AND(L88="🔄 SWAP ME",M88&lt;&gt;""),TODAY(),"")</f>
        <v/>
      </c>
      <c r="Q88" s="315" t="s">
        <v>766</v>
      </c>
    </row>
    <row r="89" customFormat="false" ht="19.5" hidden="false" customHeight="true" outlineLevel="0" collapsed="false">
      <c r="B89" s="323" t="s">
        <v>155</v>
      </c>
      <c r="C89" s="273" t="s">
        <v>133</v>
      </c>
      <c r="D89" s="244" t="n">
        <v>46185</v>
      </c>
      <c r="E89" s="274" t="s">
        <v>623</v>
      </c>
      <c r="F89" s="37" t="str">
        <f aca="false">IF(AND(L89="🔄 SWAP ME",M89&lt;&gt;""),M89,IFERROR(INDEX($O$5:$O$375,MATCH(O89,$M$5:$M$375,0)),O89))</f>
        <v>DSA: Graphs DFS — Number of Islands, Clone Graph, Course Schedule (topological sort)</v>
      </c>
      <c r="G89" s="190" t="s">
        <v>308</v>
      </c>
      <c r="H89" s="39" t="n">
        <v>0.3</v>
      </c>
      <c r="I89" s="40" t="n">
        <v>0.5</v>
      </c>
      <c r="J89" s="41" t="n">
        <v>0.75</v>
      </c>
      <c r="K89" s="76" t="s">
        <v>1348</v>
      </c>
      <c r="L89" s="76" t="s">
        <v>1349</v>
      </c>
      <c r="M89" s="245"/>
      <c r="N89" s="63" t="str">
        <f aca="false">IF(AND(L89="🔄 SWAP ME",M89&lt;&gt;""),"⚡ SWAPPED","")</f>
        <v/>
      </c>
      <c r="O89" s="9" t="s">
        <v>767</v>
      </c>
      <c r="P89" s="314" t="str">
        <f aca="true">IF(AND(L89="🔄 SWAP ME",M89&lt;&gt;""),TODAY(),"")</f>
        <v/>
      </c>
      <c r="Q89" s="315" t="s">
        <v>768</v>
      </c>
    </row>
    <row r="90" customFormat="false" ht="19.5" hidden="false" customHeight="true" outlineLevel="0" collapsed="false">
      <c r="B90" s="323" t="s">
        <v>155</v>
      </c>
      <c r="C90" s="309" t="s">
        <v>516</v>
      </c>
      <c r="D90" s="240" t="n">
        <v>46186</v>
      </c>
      <c r="E90" s="274" t="s">
        <v>623</v>
      </c>
      <c r="F90" s="178" t="str">
        <f aca="false">IF(AND(L90="🔄 SWAP ME",M90&lt;&gt;""),M90,IFERROR(INDEX($O$5:$O$375,MATCH(O90,$M$5:$M$375,0)),O90))</f>
        <v>Kafka interview deep: consumer lag diagnosis, partition strategy design, EOS end-to-end</v>
      </c>
      <c r="G90" s="190" t="s">
        <v>308</v>
      </c>
      <c r="H90" s="39" t="n">
        <v>1</v>
      </c>
      <c r="I90" s="40" t="n">
        <v>1.5</v>
      </c>
      <c r="J90" s="41" t="n">
        <v>2</v>
      </c>
      <c r="K90" s="179" t="s">
        <v>1351</v>
      </c>
      <c r="L90" s="179" t="s">
        <v>1349</v>
      </c>
      <c r="M90" s="241"/>
      <c r="N90" s="316" t="str">
        <f aca="false">IF(AND(L90="🔄 SWAP ME",M90&lt;&gt;""),"⚡ SWAPPED","")</f>
        <v/>
      </c>
      <c r="O90" s="9" t="s">
        <v>769</v>
      </c>
      <c r="P90" s="317" t="str">
        <f aca="true">IF(AND(L90="🔄 SWAP ME",M90&lt;&gt;""),TODAY(),"")</f>
        <v/>
      </c>
      <c r="Q90" s="315" t="s">
        <v>770</v>
      </c>
    </row>
    <row r="91" customFormat="false" ht="19.5" hidden="false" customHeight="true" outlineLevel="0" collapsed="false">
      <c r="B91" s="323" t="s">
        <v>155</v>
      </c>
      <c r="C91" s="309" t="s">
        <v>517</v>
      </c>
      <c r="D91" s="240" t="n">
        <v>46187</v>
      </c>
      <c r="E91" s="274" t="s">
        <v>623</v>
      </c>
      <c r="F91" s="178" t="str">
        <f aca="false">IF(AND(L91="🔄 SWAP ME",M91&lt;&gt;""),M91,IFERROR(INDEX($O$5:$O$375,MATCH(O91,$M$5:$M$375,0)),O91))</f>
        <v>P7: Kafka producer/consumer in Python with Avro + Schema Registry (hands-on)</v>
      </c>
      <c r="G91" s="190" t="s">
        <v>308</v>
      </c>
      <c r="H91" s="39" t="n">
        <v>1.5</v>
      </c>
      <c r="I91" s="40" t="n">
        <v>3</v>
      </c>
      <c r="J91" s="41" t="n">
        <v>5</v>
      </c>
      <c r="K91" s="179" t="s">
        <v>1352</v>
      </c>
      <c r="L91" s="179" t="s">
        <v>1349</v>
      </c>
      <c r="M91" s="241"/>
      <c r="N91" s="316" t="str">
        <f aca="false">IF(AND(L91="🔄 SWAP ME",M91&lt;&gt;""),"⚡ SWAPPED","")</f>
        <v/>
      </c>
      <c r="O91" s="9" t="s">
        <v>771</v>
      </c>
      <c r="P91" s="317" t="str">
        <f aca="true">IF(AND(L91="🔄 SWAP ME",M91&lt;&gt;""),TODAY(),"")</f>
        <v/>
      </c>
      <c r="Q91" s="315" t="s">
        <v>772</v>
      </c>
    </row>
    <row r="92" customFormat="false" ht="12" hidden="false" customHeight="true" outlineLevel="0" collapsed="false">
      <c r="B92" s="324" t="s">
        <v>1366</v>
      </c>
      <c r="C92" s="324"/>
      <c r="D92" s="324"/>
      <c r="E92" s="324"/>
      <c r="F92" s="324"/>
      <c r="G92" s="324"/>
      <c r="H92" s="324"/>
      <c r="I92" s="324"/>
      <c r="J92" s="324"/>
      <c r="K92" s="324"/>
      <c r="L92" s="324"/>
      <c r="M92" s="324"/>
      <c r="N92" s="324"/>
      <c r="O92" s="324"/>
      <c r="P92" s="324"/>
      <c r="Q92" s="324"/>
    </row>
    <row r="93" customFormat="false" ht="19.5" hidden="false" customHeight="true" outlineLevel="0" collapsed="false">
      <c r="B93" s="26" t="s">
        <v>156</v>
      </c>
      <c r="C93" s="273" t="s">
        <v>118</v>
      </c>
      <c r="D93" s="244" t="n">
        <v>46188</v>
      </c>
      <c r="E93" s="274" t="s">
        <v>623</v>
      </c>
      <c r="F93" s="37" t="str">
        <f aca="false">IF(AND(L93="🔄 SWAP ME",M93&lt;&gt;""),M93,IFERROR(INDEX($O$5:$O$375,MATCH(O93,$M$5:$M$375,0)),O93))</f>
        <v>CAP theorem, PACELC, BASE vs ACID, 4 NoSQL types with real-world use cases</v>
      </c>
      <c r="G93" s="193" t="s">
        <v>326</v>
      </c>
      <c r="H93" s="39" t="n">
        <v>0.5</v>
      </c>
      <c r="I93" s="40" t="n">
        <v>1</v>
      </c>
      <c r="J93" s="41" t="n">
        <v>1.5</v>
      </c>
      <c r="K93" s="76" t="s">
        <v>1348</v>
      </c>
      <c r="L93" s="76" t="s">
        <v>1349</v>
      </c>
      <c r="M93" s="245"/>
      <c r="N93" s="63" t="str">
        <f aca="false">IF(AND(L93="🔄 SWAP ME",M93&lt;&gt;""),"⚡ SWAPPED","")</f>
        <v/>
      </c>
      <c r="O93" s="9" t="s">
        <v>774</v>
      </c>
      <c r="P93" s="314" t="str">
        <f aca="true">IF(AND(L93="🔄 SWAP ME",M93&lt;&gt;""),TODAY(),"")</f>
        <v/>
      </c>
      <c r="Q93" s="270" t="s">
        <v>775</v>
      </c>
    </row>
    <row r="94" customFormat="false" ht="19.5" hidden="false" customHeight="true" outlineLevel="0" collapsed="false">
      <c r="B94" s="26" t="s">
        <v>156</v>
      </c>
      <c r="C94" s="273" t="s">
        <v>123</v>
      </c>
      <c r="D94" s="244" t="n">
        <v>46189</v>
      </c>
      <c r="E94" s="274" t="s">
        <v>623</v>
      </c>
      <c r="F94" s="37" t="str">
        <f aca="false">IF(AND(L94="🔄 SWAP ME",M94&lt;&gt;""),M94,IFERROR(INDEX($O$5:$O$375,MATCH(O94,$M$5:$M$375,0)),O94))</f>
        <v>MongoDB: architecture, Atlas, document model (embed vs reference), schema patterns</v>
      </c>
      <c r="G94" s="193" t="s">
        <v>326</v>
      </c>
      <c r="H94" s="39" t="n">
        <v>0.5</v>
      </c>
      <c r="I94" s="40" t="n">
        <v>1</v>
      </c>
      <c r="J94" s="41" t="n">
        <v>1.5</v>
      </c>
      <c r="K94" s="76" t="s">
        <v>1348</v>
      </c>
      <c r="L94" s="76" t="s">
        <v>1349</v>
      </c>
      <c r="M94" s="245"/>
      <c r="N94" s="63" t="str">
        <f aca="false">IF(AND(L94="🔄 SWAP ME",M94&lt;&gt;""),"⚡ SWAPPED","")</f>
        <v/>
      </c>
      <c r="O94" s="9" t="s">
        <v>776</v>
      </c>
      <c r="P94" s="314" t="str">
        <f aca="true">IF(AND(L94="🔄 SWAP ME",M94&lt;&gt;""),TODAY(),"")</f>
        <v/>
      </c>
      <c r="Q94" s="270" t="s">
        <v>777</v>
      </c>
    </row>
    <row r="95" customFormat="false" ht="19.5" hidden="false" customHeight="true" outlineLevel="0" collapsed="false">
      <c r="B95" s="26" t="s">
        <v>156</v>
      </c>
      <c r="C95" s="273" t="s">
        <v>126</v>
      </c>
      <c r="D95" s="244" t="n">
        <v>46190</v>
      </c>
      <c r="E95" s="36" t="s">
        <v>617</v>
      </c>
      <c r="F95" s="37" t="str">
        <f aca="false">IF(AND(L95="🔄 SWAP ME",M95&lt;&gt;""),M95,IFERROR(INDEX($O$5:$O$375,MATCH(O95,$M$5:$M$375,0)),O95))</f>
        <v>MongoDB: aggregation pipeline, indexes (single/compound/TTL), change streams</v>
      </c>
      <c r="G95" s="193" t="s">
        <v>326</v>
      </c>
      <c r="H95" s="39" t="n">
        <v>0.5</v>
      </c>
      <c r="I95" s="40" t="n">
        <v>1</v>
      </c>
      <c r="J95" s="41" t="n">
        <v>1.5</v>
      </c>
      <c r="K95" s="76" t="s">
        <v>1348</v>
      </c>
      <c r="L95" s="76" t="s">
        <v>1349</v>
      </c>
      <c r="M95" s="245"/>
      <c r="N95" s="63" t="str">
        <f aca="false">IF(AND(L95="🔄 SWAP ME",M95&lt;&gt;""),"⚡ SWAPPED","")</f>
        <v/>
      </c>
      <c r="O95" s="9" t="s">
        <v>778</v>
      </c>
      <c r="P95" s="314" t="str">
        <f aca="true">IF(AND(L95="🔄 SWAP ME",M95&lt;&gt;""),TODAY(),"")</f>
        <v/>
      </c>
      <c r="Q95" s="270" t="s">
        <v>779</v>
      </c>
    </row>
    <row r="96" customFormat="false" ht="19.5" hidden="false" customHeight="true" outlineLevel="0" collapsed="false">
      <c r="B96" s="26" t="s">
        <v>156</v>
      </c>
      <c r="C96" s="273" t="s">
        <v>130</v>
      </c>
      <c r="D96" s="244" t="n">
        <v>46191</v>
      </c>
      <c r="E96" s="274" t="s">
        <v>623</v>
      </c>
      <c r="F96" s="37" t="str">
        <f aca="false">IF(AND(L96="🔄 SWAP ME",M96&lt;&gt;""),M96,IFERROR(INDEX($O$5:$O$375,MATCH(O96,$M$5:$M$375,0)),O96))</f>
        <v>Cassandra: ring topology, read/write path, compaction strategies, data modeling</v>
      </c>
      <c r="G96" s="193" t="s">
        <v>326</v>
      </c>
      <c r="H96" s="39" t="n">
        <v>0.5</v>
      </c>
      <c r="I96" s="40" t="n">
        <v>1</v>
      </c>
      <c r="J96" s="41" t="n">
        <v>1.5</v>
      </c>
      <c r="K96" s="76" t="s">
        <v>1348</v>
      </c>
      <c r="L96" s="76" t="s">
        <v>1349</v>
      </c>
      <c r="M96" s="245"/>
      <c r="N96" s="63" t="str">
        <f aca="false">IF(AND(L96="🔄 SWAP ME",M96&lt;&gt;""),"⚡ SWAPPED","")</f>
        <v/>
      </c>
      <c r="O96" s="9" t="s">
        <v>780</v>
      </c>
      <c r="P96" s="314" t="str">
        <f aca="true">IF(AND(L96="🔄 SWAP ME",M96&lt;&gt;""),TODAY(),"")</f>
        <v/>
      </c>
      <c r="Q96" s="270" t="s">
        <v>781</v>
      </c>
    </row>
    <row r="97" customFormat="false" ht="19.5" hidden="false" customHeight="true" outlineLevel="0" collapsed="false">
      <c r="B97" s="26" t="s">
        <v>156</v>
      </c>
      <c r="C97" s="273" t="s">
        <v>133</v>
      </c>
      <c r="D97" s="244" t="n">
        <v>46192</v>
      </c>
      <c r="E97" s="274" t="s">
        <v>623</v>
      </c>
      <c r="F97" s="37" t="str">
        <f aca="false">IF(AND(L97="🔄 SWAP ME",M97&lt;&gt;""),M97,IFERROR(INDEX($O$5:$O$375,MATCH(O97,$M$5:$M$375,0)),O97))</f>
        <v>DSA: Advanced Graphs — Dijkstra, Union-Find, Alien Dictionary, Critical Connections</v>
      </c>
      <c r="G97" s="193" t="s">
        <v>326</v>
      </c>
      <c r="H97" s="39" t="n">
        <v>0.3</v>
      </c>
      <c r="I97" s="40" t="n">
        <v>0.5</v>
      </c>
      <c r="J97" s="41" t="n">
        <v>0.75</v>
      </c>
      <c r="K97" s="76" t="s">
        <v>1348</v>
      </c>
      <c r="L97" s="76" t="s">
        <v>1349</v>
      </c>
      <c r="M97" s="245"/>
      <c r="N97" s="63" t="str">
        <f aca="false">IF(AND(L97="🔄 SWAP ME",M97&lt;&gt;""),"⚡ SWAPPED","")</f>
        <v/>
      </c>
      <c r="O97" s="9" t="s">
        <v>782</v>
      </c>
      <c r="P97" s="314" t="str">
        <f aca="true">IF(AND(L97="🔄 SWAP ME",M97&lt;&gt;""),TODAY(),"")</f>
        <v/>
      </c>
      <c r="Q97" s="315" t="s">
        <v>783</v>
      </c>
    </row>
    <row r="98" customFormat="false" ht="19.5" hidden="false" customHeight="true" outlineLevel="0" collapsed="false">
      <c r="B98" s="26" t="s">
        <v>156</v>
      </c>
      <c r="C98" s="309" t="s">
        <v>516</v>
      </c>
      <c r="D98" s="240" t="n">
        <v>46193</v>
      </c>
      <c r="E98" s="274" t="s">
        <v>623</v>
      </c>
      <c r="F98" s="178" t="str">
        <f aca="false">IF(AND(L98="🔄 SWAP ME",M98&lt;&gt;""),M98,IFERROR(INDEX($O$5:$O$375,MATCH(O98,$M$5:$M$375,0)),O98))</f>
        <v>Cassandra: CQL, consistency levels (ONE/QUORUM/ALL), query-first data modeling</v>
      </c>
      <c r="G98" s="193" t="s">
        <v>326</v>
      </c>
      <c r="H98" s="39" t="n">
        <v>1</v>
      </c>
      <c r="I98" s="40" t="n">
        <v>1.5</v>
      </c>
      <c r="J98" s="41" t="n">
        <v>2</v>
      </c>
      <c r="K98" s="179" t="s">
        <v>1351</v>
      </c>
      <c r="L98" s="179" t="s">
        <v>1349</v>
      </c>
      <c r="M98" s="241"/>
      <c r="N98" s="316" t="str">
        <f aca="false">IF(AND(L98="🔄 SWAP ME",M98&lt;&gt;""),"⚡ SWAPPED","")</f>
        <v/>
      </c>
      <c r="O98" s="9" t="s">
        <v>784</v>
      </c>
      <c r="P98" s="317" t="str">
        <f aca="true">IF(AND(L98="🔄 SWAP ME",M98&lt;&gt;""),TODAY(),"")</f>
        <v/>
      </c>
      <c r="Q98" s="270" t="s">
        <v>785</v>
      </c>
    </row>
    <row r="99" customFormat="false" ht="19.5" hidden="false" customHeight="true" outlineLevel="0" collapsed="false">
      <c r="B99" s="26" t="s">
        <v>156</v>
      </c>
      <c r="C99" s="309" t="s">
        <v>517</v>
      </c>
      <c r="D99" s="240" t="n">
        <v>46194</v>
      </c>
      <c r="E99" s="36" t="s">
        <v>617</v>
      </c>
      <c r="F99" s="178" t="str">
        <f aca="false">IF(AND(L99="🔄 SWAP ME",M99&lt;&gt;""),M99,IFERROR(INDEX($O$5:$O$375,MATCH(O99,$M$5:$M$375,0)),O99))</f>
        <v>P8: Cassandra IoT pipeline — 1M sensor inserts, time-series queries, latency test</v>
      </c>
      <c r="G99" s="193" t="s">
        <v>326</v>
      </c>
      <c r="H99" s="39" t="n">
        <v>1.5</v>
      </c>
      <c r="I99" s="40" t="n">
        <v>3</v>
      </c>
      <c r="J99" s="41" t="n">
        <v>5</v>
      </c>
      <c r="K99" s="179" t="s">
        <v>1352</v>
      </c>
      <c r="L99" s="179" t="s">
        <v>1349</v>
      </c>
      <c r="M99" s="241"/>
      <c r="N99" s="316" t="str">
        <f aca="false">IF(AND(L99="🔄 SWAP ME",M99&lt;&gt;""),"⚡ SWAPPED","")</f>
        <v/>
      </c>
      <c r="O99" s="9" t="s">
        <v>786</v>
      </c>
      <c r="P99" s="317" t="str">
        <f aca="true">IF(AND(L99="🔄 SWAP ME",M99&lt;&gt;""),TODAY(),"")</f>
        <v/>
      </c>
      <c r="Q99" s="315" t="s">
        <v>787</v>
      </c>
    </row>
    <row r="100" customFormat="false" ht="12" hidden="false" customHeight="true" outlineLevel="0" collapsed="false">
      <c r="B100" s="324" t="s">
        <v>1367</v>
      </c>
      <c r="C100" s="324"/>
      <c r="D100" s="324"/>
      <c r="E100" s="324"/>
      <c r="F100" s="324"/>
      <c r="G100" s="324"/>
      <c r="H100" s="324"/>
      <c r="I100" s="324"/>
      <c r="J100" s="324"/>
      <c r="K100" s="324"/>
      <c r="L100" s="324"/>
      <c r="M100" s="324"/>
      <c r="N100" s="324"/>
      <c r="O100" s="324"/>
      <c r="P100" s="324"/>
      <c r="Q100" s="324"/>
    </row>
    <row r="101" customFormat="false" ht="19.5" hidden="false" customHeight="true" outlineLevel="0" collapsed="false">
      <c r="B101" s="26" t="s">
        <v>157</v>
      </c>
      <c r="C101" s="273" t="s">
        <v>118</v>
      </c>
      <c r="D101" s="244" t="n">
        <v>46195</v>
      </c>
      <c r="E101" s="274" t="s">
        <v>623</v>
      </c>
      <c r="F101" s="37" t="str">
        <f aca="false">IF(AND(L101="🔄 SWAP ME",M101&lt;&gt;""),M101,IFERROR(INDEX($O$5:$O$375,MATCH(O101,$M$5:$M$375,0)),O101))</f>
        <v>Redis: data structures (7 types), persistence (RDB/AOF), eviction, Redis Cluster</v>
      </c>
      <c r="G101" s="193" t="s">
        <v>326</v>
      </c>
      <c r="H101" s="39" t="n">
        <v>0.5</v>
      </c>
      <c r="I101" s="40" t="n">
        <v>1</v>
      </c>
      <c r="J101" s="41" t="n">
        <v>1.5</v>
      </c>
      <c r="K101" s="76" t="s">
        <v>1348</v>
      </c>
      <c r="L101" s="76" t="s">
        <v>1349</v>
      </c>
      <c r="M101" s="245"/>
      <c r="N101" s="63" t="str">
        <f aca="false">IF(AND(L101="🔄 SWAP ME",M101&lt;&gt;""),"⚡ SWAPPED","")</f>
        <v/>
      </c>
      <c r="O101" s="9" t="s">
        <v>788</v>
      </c>
      <c r="P101" s="314" t="str">
        <f aca="true">IF(AND(L101="🔄 SWAP ME",M101&lt;&gt;""),TODAY(),"")</f>
        <v/>
      </c>
      <c r="Q101" s="315" t="s">
        <v>339</v>
      </c>
    </row>
    <row r="102" customFormat="false" ht="19.5" hidden="false" customHeight="true" outlineLevel="0" collapsed="false">
      <c r="B102" s="26" t="s">
        <v>157</v>
      </c>
      <c r="C102" s="273" t="s">
        <v>123</v>
      </c>
      <c r="D102" s="244" t="n">
        <v>46196</v>
      </c>
      <c r="E102" s="274" t="s">
        <v>623</v>
      </c>
      <c r="F102" s="37" t="str">
        <f aca="false">IF(AND(L102="🔄 SWAP ME",M102&lt;&gt;""),M102,IFERROR(INDEX($O$5:$O$375,MATCH(O102,$M$5:$M$375,0)),O102))</f>
        <v>Redis: cache patterns (cache-aside/write-through/write-behind), Streams vs Kafka</v>
      </c>
      <c r="G102" s="193" t="s">
        <v>326</v>
      </c>
      <c r="H102" s="39" t="n">
        <v>0.5</v>
      </c>
      <c r="I102" s="40" t="n">
        <v>0.75</v>
      </c>
      <c r="J102" s="41" t="n">
        <v>1</v>
      </c>
      <c r="K102" s="76" t="s">
        <v>1348</v>
      </c>
      <c r="L102" s="76" t="s">
        <v>1349</v>
      </c>
      <c r="M102" s="245"/>
      <c r="N102" s="63" t="str">
        <f aca="false">IF(AND(L102="🔄 SWAP ME",M102&lt;&gt;""),"⚡ SWAPPED","")</f>
        <v/>
      </c>
      <c r="O102" s="9" t="s">
        <v>789</v>
      </c>
      <c r="P102" s="314" t="str">
        <f aca="true">IF(AND(L102="🔄 SWAP ME",M102&lt;&gt;""),TODAY(),"")</f>
        <v/>
      </c>
      <c r="Q102" s="315" t="s">
        <v>790</v>
      </c>
    </row>
    <row r="103" customFormat="false" ht="19.5" hidden="false" customHeight="true" outlineLevel="0" collapsed="false">
      <c r="B103" s="26" t="s">
        <v>157</v>
      </c>
      <c r="C103" s="273" t="s">
        <v>126</v>
      </c>
      <c r="D103" s="244" t="n">
        <v>46197</v>
      </c>
      <c r="E103" s="274" t="s">
        <v>623</v>
      </c>
      <c r="F103" s="37" t="str">
        <f aca="false">IF(AND(L103="🔄 SWAP ME",M103&lt;&gt;""),M103,IFERROR(INDEX($O$5:$O$375,MATCH(O103,$M$5:$M$375,0)),O103))</f>
        <v>DynamoDB: partition+sort key design, single-table design, GSI vs LSI, Streams, DAX</v>
      </c>
      <c r="G103" s="193" t="s">
        <v>326</v>
      </c>
      <c r="H103" s="39" t="n">
        <v>0.5</v>
      </c>
      <c r="I103" s="40" t="n">
        <v>1</v>
      </c>
      <c r="J103" s="41" t="n">
        <v>1.5</v>
      </c>
      <c r="K103" s="76" t="s">
        <v>1348</v>
      </c>
      <c r="L103" s="76" t="s">
        <v>1349</v>
      </c>
      <c r="M103" s="245"/>
      <c r="N103" s="63" t="str">
        <f aca="false">IF(AND(L103="🔄 SWAP ME",M103&lt;&gt;""),"⚡ SWAPPED","")</f>
        <v/>
      </c>
      <c r="O103" s="9" t="s">
        <v>791</v>
      </c>
      <c r="P103" s="314" t="str">
        <f aca="true">IF(AND(L103="🔄 SWAP ME",M103&lt;&gt;""),TODAY(),"")</f>
        <v/>
      </c>
      <c r="Q103" s="315" t="s">
        <v>1368</v>
      </c>
    </row>
    <row r="104" customFormat="false" ht="19.5" hidden="false" customHeight="true" outlineLevel="0" collapsed="false">
      <c r="B104" s="26" t="s">
        <v>157</v>
      </c>
      <c r="C104" s="273" t="s">
        <v>130</v>
      </c>
      <c r="D104" s="244" t="n">
        <v>46198</v>
      </c>
      <c r="E104" s="274" t="s">
        <v>623</v>
      </c>
      <c r="F104" s="37" t="str">
        <f aca="false">IF(AND(L104="🔄 SWAP ME",M104&lt;&gt;""),M104,IFERROR(INDEX($O$5:$O$375,MATCH(O104,$M$5:$M$375,0)),O104))</f>
        <v>Azure Cosmos DB: multi-model API, partition key design, 5 consistency levels, change feed</v>
      </c>
      <c r="G104" s="193" t="s">
        <v>326</v>
      </c>
      <c r="H104" s="39" t="n">
        <v>0.5</v>
      </c>
      <c r="I104" s="40" t="n">
        <v>1</v>
      </c>
      <c r="J104" s="41" t="n">
        <v>1.5</v>
      </c>
      <c r="K104" s="76" t="s">
        <v>1348</v>
      </c>
      <c r="L104" s="76" t="s">
        <v>1349</v>
      </c>
      <c r="M104" s="245"/>
      <c r="N104" s="63" t="str">
        <f aca="false">IF(AND(L104="🔄 SWAP ME",M104&lt;&gt;""),"⚡ SWAPPED","")</f>
        <v/>
      </c>
      <c r="O104" s="9" t="s">
        <v>794</v>
      </c>
      <c r="P104" s="314" t="str">
        <f aca="true">IF(AND(L104="🔄 SWAP ME",M104&lt;&gt;""),TODAY(),"")</f>
        <v/>
      </c>
      <c r="Q104" s="315" t="s">
        <v>795</v>
      </c>
    </row>
    <row r="105" customFormat="false" ht="19.5" hidden="false" customHeight="true" outlineLevel="0" collapsed="false">
      <c r="B105" s="26" t="s">
        <v>157</v>
      </c>
      <c r="C105" s="273" t="s">
        <v>133</v>
      </c>
      <c r="D105" s="244" t="n">
        <v>46199</v>
      </c>
      <c r="E105" s="274" t="s">
        <v>623</v>
      </c>
      <c r="F105" s="37" t="str">
        <f aca="false">IF(AND(L105="🔄 SWAP ME",M105&lt;&gt;""),M105,IFERROR(INDEX($O$5:$O$375,MATCH(O105,$M$5:$M$375,0)),O105))</f>
        <v>DSA: Heap/Priority Queue — Top K Frequent, K Closest Points, Median from Stream</v>
      </c>
      <c r="G105" s="193" t="s">
        <v>326</v>
      </c>
      <c r="H105" s="39" t="n">
        <v>0.3</v>
      </c>
      <c r="I105" s="40" t="n">
        <v>0.5</v>
      </c>
      <c r="J105" s="41" t="n">
        <v>0.75</v>
      </c>
      <c r="K105" s="76" t="s">
        <v>1348</v>
      </c>
      <c r="L105" s="76" t="s">
        <v>1349</v>
      </c>
      <c r="M105" s="245"/>
      <c r="N105" s="63" t="str">
        <f aca="false">IF(AND(L105="🔄 SWAP ME",M105&lt;&gt;""),"⚡ SWAPPED","")</f>
        <v/>
      </c>
      <c r="O105" s="9" t="s">
        <v>796</v>
      </c>
      <c r="P105" s="314" t="str">
        <f aca="true">IF(AND(L105="🔄 SWAP ME",M105&lt;&gt;""),TODAY(),"")</f>
        <v/>
      </c>
      <c r="Q105" s="315" t="s">
        <v>797</v>
      </c>
    </row>
    <row r="106" customFormat="false" ht="19.5" hidden="false" customHeight="true" outlineLevel="0" collapsed="false">
      <c r="B106" s="26" t="s">
        <v>157</v>
      </c>
      <c r="C106" s="309" t="s">
        <v>516</v>
      </c>
      <c r="D106" s="240" t="n">
        <v>46200</v>
      </c>
      <c r="E106" s="36" t="s">
        <v>617</v>
      </c>
      <c r="F106" s="178" t="str">
        <f aca="false">IF(AND(L106="🔄 SWAP ME",M106&lt;&gt;""),M106,IFERROR(INDEX($O$5:$O$375,MATCH(O106,$M$5:$M$375,0)),O106))</f>
        <v>Elasticsearch/OpenSearch: inverted index, shards, BM25 scoring, use in DE pipelines</v>
      </c>
      <c r="G106" s="193" t="s">
        <v>326</v>
      </c>
      <c r="H106" s="39" t="n">
        <v>1</v>
      </c>
      <c r="I106" s="40" t="n">
        <v>1.5</v>
      </c>
      <c r="J106" s="41" t="n">
        <v>2</v>
      </c>
      <c r="K106" s="179" t="s">
        <v>1351</v>
      </c>
      <c r="L106" s="179" t="s">
        <v>1349</v>
      </c>
      <c r="M106" s="241"/>
      <c r="N106" s="316" t="str">
        <f aca="false">IF(AND(L106="🔄 SWAP ME",M106&lt;&gt;""),"⚡ SWAPPED","")</f>
        <v/>
      </c>
      <c r="O106" s="9" t="s">
        <v>798</v>
      </c>
      <c r="P106" s="317" t="str">
        <f aca="true">IF(AND(L106="🔄 SWAP ME",M106&lt;&gt;""),TODAY(),"")</f>
        <v/>
      </c>
      <c r="Q106" s="315" t="s">
        <v>1369</v>
      </c>
    </row>
    <row r="107" customFormat="false" ht="19.5" hidden="false" customHeight="true" outlineLevel="0" collapsed="false">
      <c r="B107" s="26" t="s">
        <v>157</v>
      </c>
      <c r="C107" s="309" t="s">
        <v>517</v>
      </c>
      <c r="D107" s="240" t="n">
        <v>46201</v>
      </c>
      <c r="E107" s="274" t="s">
        <v>623</v>
      </c>
      <c r="F107" s="178" t="str">
        <f aca="false">IF(AND(L107="🔄 SWAP ME",M107&lt;&gt;""),M107,IFERROR(INDEX($O$5:$O$375,MATCH(O107,$M$5:$M$375,0)),O107))</f>
        <v>NoSQL decision guide: MongoDB/Cassandra/Redis/DynamoDB/Cosmos/ES — when each wins</v>
      </c>
      <c r="G107" s="193" t="s">
        <v>326</v>
      </c>
      <c r="H107" s="39" t="n">
        <v>1.5</v>
      </c>
      <c r="I107" s="40" t="n">
        <v>3</v>
      </c>
      <c r="J107" s="41" t="n">
        <v>4</v>
      </c>
      <c r="K107" s="179" t="s">
        <v>1352</v>
      </c>
      <c r="L107" s="179" t="s">
        <v>1349</v>
      </c>
      <c r="M107" s="241"/>
      <c r="N107" s="316" t="str">
        <f aca="false">IF(AND(L107="🔄 SWAP ME",M107&lt;&gt;""),"⚡ SWAPPED","")</f>
        <v/>
      </c>
      <c r="O107" s="9" t="s">
        <v>800</v>
      </c>
      <c r="P107" s="317" t="str">
        <f aca="true">IF(AND(L107="🔄 SWAP ME",M107&lt;&gt;""),TODAY(),"")</f>
        <v/>
      </c>
      <c r="Q107" s="315" t="s">
        <v>801</v>
      </c>
    </row>
    <row r="108" customFormat="false" ht="12" hidden="false" customHeight="true" outlineLevel="0" collapsed="false">
      <c r="B108" s="325" t="s">
        <v>1370</v>
      </c>
      <c r="C108" s="325"/>
      <c r="D108" s="325"/>
      <c r="E108" s="325"/>
      <c r="F108" s="325"/>
      <c r="G108" s="325"/>
      <c r="H108" s="325"/>
      <c r="I108" s="325"/>
      <c r="J108" s="325"/>
      <c r="K108" s="325"/>
      <c r="L108" s="325"/>
      <c r="M108" s="325"/>
      <c r="N108" s="325"/>
      <c r="O108" s="325"/>
      <c r="P108" s="325"/>
      <c r="Q108" s="325"/>
    </row>
    <row r="109" customFormat="false" ht="19.5" hidden="false" customHeight="true" outlineLevel="0" collapsed="false">
      <c r="B109" s="235" t="s">
        <v>158</v>
      </c>
      <c r="C109" s="273" t="s">
        <v>118</v>
      </c>
      <c r="D109" s="244" t="n">
        <v>46202</v>
      </c>
      <c r="E109" s="274" t="s">
        <v>623</v>
      </c>
      <c r="F109" s="37" t="str">
        <f aca="false">IF(AND(L109="🔄 SWAP ME",M109&lt;&gt;""),M109,IFERROR(INDEX($O$5:$O$375,MATCH(O109,$M$5:$M$375,0)),O109))</f>
        <v>Spark: Driver, Executors, Cluster Manager, SparkSession, DAG, stages, tasks</v>
      </c>
      <c r="G109" s="196" t="s">
        <v>351</v>
      </c>
      <c r="H109" s="39" t="n">
        <v>0.5</v>
      </c>
      <c r="I109" s="40" t="n">
        <v>1</v>
      </c>
      <c r="J109" s="41" t="n">
        <v>1.5</v>
      </c>
      <c r="K109" s="76" t="s">
        <v>1348</v>
      </c>
      <c r="L109" s="76" t="s">
        <v>1349</v>
      </c>
      <c r="M109" s="245"/>
      <c r="N109" s="63" t="str">
        <f aca="false">IF(AND(L109="🔄 SWAP ME",M109&lt;&gt;""),"⚡ SWAPPED","")</f>
        <v/>
      </c>
      <c r="O109" s="9" t="s">
        <v>803</v>
      </c>
      <c r="P109" s="314" t="str">
        <f aca="true">IF(AND(L109="🔄 SWAP ME",M109&lt;&gt;""),TODAY(),"")</f>
        <v/>
      </c>
      <c r="Q109" s="270" t="s">
        <v>804</v>
      </c>
    </row>
    <row r="110" customFormat="false" ht="19.5" hidden="false" customHeight="true" outlineLevel="0" collapsed="false">
      <c r="B110" s="235" t="s">
        <v>158</v>
      </c>
      <c r="C110" s="273" t="s">
        <v>123</v>
      </c>
      <c r="D110" s="244" t="n">
        <v>46203</v>
      </c>
      <c r="E110" s="274" t="s">
        <v>623</v>
      </c>
      <c r="F110" s="37" t="str">
        <f aca="false">IF(AND(L110="🔄 SWAP ME",M110&lt;&gt;""),M110,IFERROR(INDEX($O$5:$O$375,MATCH(O110,$M$5:$M$375,0)),O110))</f>
        <v>Spark: Narrow vs wide transformations, shuffle internals, lazy evaluation</v>
      </c>
      <c r="G110" s="196" t="s">
        <v>351</v>
      </c>
      <c r="H110" s="39" t="n">
        <v>0.5</v>
      </c>
      <c r="I110" s="40" t="n">
        <v>1</v>
      </c>
      <c r="J110" s="41" t="n">
        <v>1.5</v>
      </c>
      <c r="K110" s="76" t="s">
        <v>1348</v>
      </c>
      <c r="L110" s="76" t="s">
        <v>1349</v>
      </c>
      <c r="M110" s="245"/>
      <c r="N110" s="63" t="str">
        <f aca="false">IF(AND(L110="🔄 SWAP ME",M110&lt;&gt;""),"⚡ SWAPPED","")</f>
        <v/>
      </c>
      <c r="O110" s="9" t="s">
        <v>805</v>
      </c>
      <c r="P110" s="314" t="str">
        <f aca="true">IF(AND(L110="🔄 SWAP ME",M110&lt;&gt;""),TODAY(),"")</f>
        <v/>
      </c>
      <c r="Q110" s="270" t="s">
        <v>804</v>
      </c>
    </row>
    <row r="111" customFormat="false" ht="19.5" hidden="false" customHeight="true" outlineLevel="0" collapsed="false">
      <c r="B111" s="235" t="s">
        <v>158</v>
      </c>
      <c r="C111" s="273" t="s">
        <v>126</v>
      </c>
      <c r="D111" s="244" t="n">
        <v>46204</v>
      </c>
      <c r="E111" s="274" t="s">
        <v>623</v>
      </c>
      <c r="F111" s="37" t="str">
        <f aca="false">IF(AND(L111="🔄 SWAP ME",M111&lt;&gt;""),M111,IFERROR(INDEX($O$5:$O$375,MATCH(O111,$M$5:$M$375,0)),O111))</f>
        <v>Spark Memory: unified memory model, execution vs storage memory, off-heap, GC tuning</v>
      </c>
      <c r="G111" s="196" t="s">
        <v>351</v>
      </c>
      <c r="H111" s="39" t="n">
        <v>0.5</v>
      </c>
      <c r="I111" s="40" t="n">
        <v>1</v>
      </c>
      <c r="J111" s="41" t="n">
        <v>1.5</v>
      </c>
      <c r="K111" s="76" t="s">
        <v>1348</v>
      </c>
      <c r="L111" s="76" t="s">
        <v>1349</v>
      </c>
      <c r="M111" s="245"/>
      <c r="N111" s="63" t="str">
        <f aca="false">IF(AND(L111="🔄 SWAP ME",M111&lt;&gt;""),"⚡ SWAPPED","")</f>
        <v/>
      </c>
      <c r="O111" s="9" t="s">
        <v>806</v>
      </c>
      <c r="P111" s="314" t="str">
        <f aca="true">IF(AND(L111="🔄 SWAP ME",M111&lt;&gt;""),TODAY(),"")</f>
        <v/>
      </c>
      <c r="Q111" s="270" t="s">
        <v>807</v>
      </c>
    </row>
    <row r="112" customFormat="false" ht="19.5" hidden="false" customHeight="true" outlineLevel="0" collapsed="false">
      <c r="B112" s="235" t="s">
        <v>158</v>
      </c>
      <c r="C112" s="273" t="s">
        <v>130</v>
      </c>
      <c r="D112" s="244" t="n">
        <v>46205</v>
      </c>
      <c r="E112" s="274" t="s">
        <v>623</v>
      </c>
      <c r="F112" s="37" t="str">
        <f aca="false">IF(AND(L112="🔄 SWAP ME",M112&lt;&gt;""),M112,IFERROR(INDEX($O$5:$O$375,MATCH(O112,$M$5:$M$375,0)),O112))</f>
        <v>Spark: Data skew — key salting technique, resource allocation case studies</v>
      </c>
      <c r="G112" s="196" t="s">
        <v>351</v>
      </c>
      <c r="H112" s="39" t="n">
        <v>0.5</v>
      </c>
      <c r="I112" s="40" t="n">
        <v>1</v>
      </c>
      <c r="J112" s="41" t="n">
        <v>1.5</v>
      </c>
      <c r="K112" s="76" t="s">
        <v>1348</v>
      </c>
      <c r="L112" s="76" t="s">
        <v>1349</v>
      </c>
      <c r="M112" s="245"/>
      <c r="N112" s="63" t="str">
        <f aca="false">IF(AND(L112="🔄 SWAP ME",M112&lt;&gt;""),"⚡ SWAPPED","")</f>
        <v/>
      </c>
      <c r="O112" s="9" t="s">
        <v>808</v>
      </c>
      <c r="P112" s="314" t="str">
        <f aca="true">IF(AND(L112="🔄 SWAP ME",M112&lt;&gt;""),TODAY(),"")</f>
        <v/>
      </c>
      <c r="Q112" s="270" t="s">
        <v>807</v>
      </c>
    </row>
    <row r="113" customFormat="false" ht="19.5" hidden="false" customHeight="true" outlineLevel="0" collapsed="false">
      <c r="B113" s="235" t="s">
        <v>158</v>
      </c>
      <c r="C113" s="273" t="s">
        <v>133</v>
      </c>
      <c r="D113" s="244" t="n">
        <v>46206</v>
      </c>
      <c r="E113" s="274" t="s">
        <v>623</v>
      </c>
      <c r="F113" s="37" t="str">
        <f aca="false">IF(AND(L113="🔄 SWAP ME",M113&lt;&gt;""),M113,IFERROR(INDEX($O$5:$O$375,MATCH(O113,$M$5:$M$375,0)),O113))</f>
        <v>DSA: Backtracking — Subsets, Permutations, Combinations, N-Queens</v>
      </c>
      <c r="G113" s="196" t="s">
        <v>351</v>
      </c>
      <c r="H113" s="39" t="n">
        <v>0.3</v>
      </c>
      <c r="I113" s="40" t="n">
        <v>0.5</v>
      </c>
      <c r="J113" s="41" t="n">
        <v>0.75</v>
      </c>
      <c r="K113" s="76" t="s">
        <v>1348</v>
      </c>
      <c r="L113" s="76" t="s">
        <v>1349</v>
      </c>
      <c r="M113" s="245"/>
      <c r="N113" s="63" t="str">
        <f aca="false">IF(AND(L113="🔄 SWAP ME",M113&lt;&gt;""),"⚡ SWAPPED","")</f>
        <v/>
      </c>
      <c r="O113" s="9" t="s">
        <v>809</v>
      </c>
      <c r="P113" s="314" t="str">
        <f aca="true">IF(AND(L113="🔄 SWAP ME",M113&lt;&gt;""),TODAY(),"")</f>
        <v/>
      </c>
      <c r="Q113" s="315" t="s">
        <v>810</v>
      </c>
    </row>
    <row r="114" customFormat="false" ht="19.5" hidden="false" customHeight="true" outlineLevel="0" collapsed="false">
      <c r="B114" s="235" t="s">
        <v>158</v>
      </c>
      <c r="C114" s="309" t="s">
        <v>516</v>
      </c>
      <c r="D114" s="240" t="n">
        <v>46207</v>
      </c>
      <c r="E114" s="274" t="s">
        <v>623</v>
      </c>
      <c r="F114" s="178" t="str">
        <f aca="false">IF(AND(L114="🔄 SWAP ME",M114&lt;&gt;""),M114,IFERROR(INDEX($O$5:$O$375,MATCH(O114,$M$5:$M$375,0)),O114))</f>
        <v>Spark DataFrame API: select/filter/agg/groupBy/window/all operations complete</v>
      </c>
      <c r="G114" s="196" t="s">
        <v>351</v>
      </c>
      <c r="H114" s="39" t="n">
        <v>1</v>
      </c>
      <c r="I114" s="40" t="n">
        <v>1.5</v>
      </c>
      <c r="J114" s="41" t="n">
        <v>2</v>
      </c>
      <c r="K114" s="179" t="s">
        <v>1351</v>
      </c>
      <c r="L114" s="179" t="s">
        <v>1349</v>
      </c>
      <c r="M114" s="241"/>
      <c r="N114" s="316" t="str">
        <f aca="false">IF(AND(L114="🔄 SWAP ME",M114&lt;&gt;""),"⚡ SWAPPED","")</f>
        <v/>
      </c>
      <c r="O114" s="9" t="s">
        <v>811</v>
      </c>
      <c r="P114" s="317" t="str">
        <f aca="true">IF(AND(L114="🔄 SWAP ME",M114&lt;&gt;""),TODAY(),"")</f>
        <v/>
      </c>
      <c r="Q114" s="270" t="s">
        <v>812</v>
      </c>
    </row>
    <row r="115" customFormat="false" ht="19.5" hidden="false" customHeight="true" outlineLevel="0" collapsed="false">
      <c r="B115" s="235" t="s">
        <v>158</v>
      </c>
      <c r="C115" s="309" t="s">
        <v>517</v>
      </c>
      <c r="D115" s="240" t="n">
        <v>46208</v>
      </c>
      <c r="E115" s="274" t="s">
        <v>623</v>
      </c>
      <c r="F115" s="178" t="str">
        <f aca="false">IF(AND(L115="🔄 SWAP ME",M115&lt;&gt;""),M115,IFERROR(INDEX($O$5:$O$375,MATCH(O115,$M$5:$M$375,0)),O115))</f>
        <v>P9: Databricks CE setup — run first PySpark job on NYC Taxi 10GB dataset</v>
      </c>
      <c r="G115" s="196" t="s">
        <v>351</v>
      </c>
      <c r="H115" s="39" t="n">
        <v>1.5</v>
      </c>
      <c r="I115" s="40" t="n">
        <v>3</v>
      </c>
      <c r="J115" s="41" t="n">
        <v>5</v>
      </c>
      <c r="K115" s="179" t="s">
        <v>1352</v>
      </c>
      <c r="L115" s="179" t="s">
        <v>1349</v>
      </c>
      <c r="M115" s="241"/>
      <c r="N115" s="316" t="str">
        <f aca="false">IF(AND(L115="🔄 SWAP ME",M115&lt;&gt;""),"⚡ SWAPPED","")</f>
        <v/>
      </c>
      <c r="O115" s="9" t="s">
        <v>813</v>
      </c>
      <c r="P115" s="317" t="str">
        <f aca="true">IF(AND(L115="🔄 SWAP ME",M115&lt;&gt;""),TODAY(),"")</f>
        <v/>
      </c>
      <c r="Q115" s="315" t="s">
        <v>814</v>
      </c>
    </row>
    <row r="116" customFormat="false" ht="12" hidden="false" customHeight="true" outlineLevel="0" collapsed="false">
      <c r="B116" s="325" t="s">
        <v>1371</v>
      </c>
      <c r="C116" s="325"/>
      <c r="D116" s="325"/>
      <c r="E116" s="325"/>
      <c r="F116" s="325"/>
      <c r="G116" s="325"/>
      <c r="H116" s="325"/>
      <c r="I116" s="325"/>
      <c r="J116" s="325"/>
      <c r="K116" s="325"/>
      <c r="L116" s="325"/>
      <c r="M116" s="325"/>
      <c r="N116" s="325"/>
      <c r="O116" s="325"/>
      <c r="P116" s="325"/>
      <c r="Q116" s="325"/>
    </row>
    <row r="117" customFormat="false" ht="19.5" hidden="false" customHeight="true" outlineLevel="0" collapsed="false">
      <c r="B117" s="235" t="s">
        <v>159</v>
      </c>
      <c r="C117" s="273" t="s">
        <v>118</v>
      </c>
      <c r="D117" s="244" t="n">
        <v>46209</v>
      </c>
      <c r="E117" s="274" t="s">
        <v>623</v>
      </c>
      <c r="F117" s="37" t="str">
        <f aca="false">IF(AND(L117="🔄 SWAP ME",M117&lt;&gt;""),M117,IFERROR(INDEX($O$5:$O$375,MATCH(O117,$M$5:$M$375,0)),O117))</f>
        <v>Spark: Joins (all types, broadcast, sort-merge, shuffle hash), join hints, NULL behaviour</v>
      </c>
      <c r="G117" s="196" t="s">
        <v>351</v>
      </c>
      <c r="H117" s="39" t="n">
        <v>0.5</v>
      </c>
      <c r="I117" s="40" t="n">
        <v>1</v>
      </c>
      <c r="J117" s="41" t="n">
        <v>1.5</v>
      </c>
      <c r="K117" s="76" t="s">
        <v>1348</v>
      </c>
      <c r="L117" s="76" t="s">
        <v>1349</v>
      </c>
      <c r="M117" s="245"/>
      <c r="N117" s="63" t="str">
        <f aca="false">IF(AND(L117="🔄 SWAP ME",M117&lt;&gt;""),"⚡ SWAPPED","")</f>
        <v/>
      </c>
      <c r="O117" s="9" t="s">
        <v>815</v>
      </c>
      <c r="P117" s="314" t="str">
        <f aca="true">IF(AND(L117="🔄 SWAP ME",M117&lt;&gt;""),TODAY(),"")</f>
        <v/>
      </c>
      <c r="Q117" s="270" t="s">
        <v>1372</v>
      </c>
    </row>
    <row r="118" customFormat="false" ht="19.5" hidden="false" customHeight="true" outlineLevel="0" collapsed="false">
      <c r="B118" s="235" t="s">
        <v>159</v>
      </c>
      <c r="C118" s="273" t="s">
        <v>123</v>
      </c>
      <c r="D118" s="244" t="n">
        <v>46210</v>
      </c>
      <c r="E118" s="36" t="s">
        <v>617</v>
      </c>
      <c r="F118" s="37" t="str">
        <f aca="false">IF(AND(L118="🔄 SWAP ME",M118&lt;&gt;""),M118,IFERROR(INDEX($O$5:$O$375,MATCH(O118,$M$5:$M$375,0)),O118))</f>
        <v>Spark: UDFs (Python vs Pandas/Arrow), complex types (struct/array/map), higher-order functions</v>
      </c>
      <c r="G118" s="196" t="s">
        <v>351</v>
      </c>
      <c r="H118" s="39" t="n">
        <v>0.5</v>
      </c>
      <c r="I118" s="40" t="n">
        <v>1</v>
      </c>
      <c r="J118" s="41" t="n">
        <v>1.5</v>
      </c>
      <c r="K118" s="76" t="s">
        <v>1348</v>
      </c>
      <c r="L118" s="76" t="s">
        <v>1349</v>
      </c>
      <c r="M118" s="245"/>
      <c r="N118" s="63" t="str">
        <f aca="false">IF(AND(L118="🔄 SWAP ME",M118&lt;&gt;""),"⚡ SWAPPED","")</f>
        <v/>
      </c>
      <c r="O118" s="9" t="s">
        <v>817</v>
      </c>
      <c r="P118" s="314" t="str">
        <f aca="true">IF(AND(L118="🔄 SWAP ME",M118&lt;&gt;""),TODAY(),"")</f>
        <v/>
      </c>
      <c r="Q118" s="270" t="s">
        <v>812</v>
      </c>
    </row>
    <row r="119" customFormat="false" ht="19.5" hidden="false" customHeight="true" outlineLevel="0" collapsed="false">
      <c r="B119" s="235" t="s">
        <v>159</v>
      </c>
      <c r="C119" s="273" t="s">
        <v>126</v>
      </c>
      <c r="D119" s="244" t="n">
        <v>46211</v>
      </c>
      <c r="E119" s="274" t="s">
        <v>623</v>
      </c>
      <c r="F119" s="37" t="str">
        <f aca="false">IF(AND(L119="🔄 SWAP ME",M119&lt;&gt;""),M119,IFERROR(INDEX($O$5:$O$375,MATCH(O119,$M$5:$M$375,0)),O119))</f>
        <v>Spark: repartition vs coalesce, partitionBy on write, partition pruning with Parquet</v>
      </c>
      <c r="G119" s="196" t="s">
        <v>351</v>
      </c>
      <c r="H119" s="39" t="n">
        <v>0.5</v>
      </c>
      <c r="I119" s="40" t="n">
        <v>1</v>
      </c>
      <c r="J119" s="41" t="n">
        <v>1.5</v>
      </c>
      <c r="K119" s="76" t="s">
        <v>1348</v>
      </c>
      <c r="L119" s="76" t="s">
        <v>1349</v>
      </c>
      <c r="M119" s="245"/>
      <c r="N119" s="63" t="str">
        <f aca="false">IF(AND(L119="🔄 SWAP ME",M119&lt;&gt;""),"⚡ SWAPPED","")</f>
        <v/>
      </c>
      <c r="O119" s="9" t="s">
        <v>818</v>
      </c>
      <c r="P119" s="314" t="str">
        <f aca="true">IF(AND(L119="🔄 SWAP ME",M119&lt;&gt;""),TODAY(),"")</f>
        <v/>
      </c>
      <c r="Q119" s="270" t="s">
        <v>819</v>
      </c>
    </row>
    <row r="120" customFormat="false" ht="19.5" hidden="false" customHeight="true" outlineLevel="0" collapsed="false">
      <c r="B120" s="235" t="s">
        <v>159</v>
      </c>
      <c r="C120" s="273" t="s">
        <v>130</v>
      </c>
      <c r="D120" s="244" t="n">
        <v>46212</v>
      </c>
      <c r="E120" s="274" t="s">
        <v>623</v>
      </c>
      <c r="F120" s="37" t="str">
        <f aca="false">IF(AND(L120="🔄 SWAP ME",M120&lt;&gt;""),M120,IFERROR(INDEX($O$5:$O$375,MATCH(O120,$M$5:$M$375,0)),O120))</f>
        <v>Spark Performance: AQE (3 optimizations), DPP, predicate pushdown, column pruning</v>
      </c>
      <c r="G120" s="196" t="s">
        <v>351</v>
      </c>
      <c r="H120" s="39" t="n">
        <v>0.5</v>
      </c>
      <c r="I120" s="40" t="n">
        <v>1</v>
      </c>
      <c r="J120" s="41" t="n">
        <v>1.5</v>
      </c>
      <c r="K120" s="76" t="s">
        <v>1348</v>
      </c>
      <c r="L120" s="76" t="s">
        <v>1349</v>
      </c>
      <c r="M120" s="245"/>
      <c r="N120" s="63" t="str">
        <f aca="false">IF(AND(L120="🔄 SWAP ME",M120&lt;&gt;""),"⚡ SWAPPED","")</f>
        <v/>
      </c>
      <c r="O120" s="9" t="s">
        <v>820</v>
      </c>
      <c r="P120" s="314" t="str">
        <f aca="true">IF(AND(L120="🔄 SWAP ME",M120&lt;&gt;""),TODAY(),"")</f>
        <v/>
      </c>
      <c r="Q120" s="315" t="s">
        <v>821</v>
      </c>
    </row>
    <row r="121" customFormat="false" ht="19.5" hidden="false" customHeight="true" outlineLevel="0" collapsed="false">
      <c r="B121" s="235" t="s">
        <v>159</v>
      </c>
      <c r="C121" s="273" t="s">
        <v>133</v>
      </c>
      <c r="D121" s="244" t="n">
        <v>46213</v>
      </c>
      <c r="E121" s="274" t="s">
        <v>623</v>
      </c>
      <c r="F121" s="37" t="str">
        <f aca="false">IF(AND(L121="🔄 SWAP ME",M121&lt;&gt;""),M121,IFERROR(INDEX($O$5:$O$375,MATCH(O121,$M$5:$M$375,0)),O121))</f>
        <v>DSA: DP 1D — Climbing Stairs, House Robber, Coin Change, LIS, Palindromic Substrings</v>
      </c>
      <c r="G121" s="196" t="s">
        <v>351</v>
      </c>
      <c r="H121" s="39" t="n">
        <v>0.3</v>
      </c>
      <c r="I121" s="40" t="n">
        <v>0.5</v>
      </c>
      <c r="J121" s="41" t="n">
        <v>0.75</v>
      </c>
      <c r="K121" s="76" t="s">
        <v>1348</v>
      </c>
      <c r="L121" s="76" t="s">
        <v>1349</v>
      </c>
      <c r="M121" s="245"/>
      <c r="N121" s="63" t="str">
        <f aca="false">IF(AND(L121="🔄 SWAP ME",M121&lt;&gt;""),"⚡ SWAPPED","")</f>
        <v/>
      </c>
      <c r="O121" s="9" t="s">
        <v>822</v>
      </c>
      <c r="P121" s="314" t="str">
        <f aca="true">IF(AND(L121="🔄 SWAP ME",M121&lt;&gt;""),TODAY(),"")</f>
        <v/>
      </c>
      <c r="Q121" s="315" t="s">
        <v>823</v>
      </c>
    </row>
    <row r="122" customFormat="false" ht="19.5" hidden="false" customHeight="true" outlineLevel="0" collapsed="false">
      <c r="B122" s="235" t="s">
        <v>159</v>
      </c>
      <c r="C122" s="309" t="s">
        <v>516</v>
      </c>
      <c r="D122" s="240" t="n">
        <v>46214</v>
      </c>
      <c r="E122" s="274" t="s">
        <v>623</v>
      </c>
      <c r="F122" s="178" t="str">
        <f aca="false">IF(AND(L122="🔄 SWAP ME",M122&lt;&gt;""),M122,IFERROR(INDEX($O$5:$O$375,MATCH(O122,$M$5:$M$375,0)),O122))</f>
        <v>Spark: Catalyst optimizer, Tungsten (WSCG), Spark UI mastery — read DAG/stages/tasks</v>
      </c>
      <c r="G122" s="196" t="s">
        <v>351</v>
      </c>
      <c r="H122" s="39" t="n">
        <v>1</v>
      </c>
      <c r="I122" s="40" t="n">
        <v>1.5</v>
      </c>
      <c r="J122" s="41" t="n">
        <v>2</v>
      </c>
      <c r="K122" s="179" t="s">
        <v>1351</v>
      </c>
      <c r="L122" s="179" t="s">
        <v>1349</v>
      </c>
      <c r="M122" s="241"/>
      <c r="N122" s="316" t="str">
        <f aca="false">IF(AND(L122="🔄 SWAP ME",M122&lt;&gt;""),"⚡ SWAPPED","")</f>
        <v/>
      </c>
      <c r="O122" s="9" t="s">
        <v>824</v>
      </c>
      <c r="P122" s="317" t="str">
        <f aca="true">IF(AND(L122="🔄 SWAP ME",M122&lt;&gt;""),TODAY(),"")</f>
        <v/>
      </c>
      <c r="Q122" s="315" t="s">
        <v>825</v>
      </c>
    </row>
    <row r="123" customFormat="false" ht="19.5" hidden="false" customHeight="true" outlineLevel="0" collapsed="false">
      <c r="B123" s="235" t="s">
        <v>159</v>
      </c>
      <c r="C123" s="309" t="s">
        <v>517</v>
      </c>
      <c r="D123" s="240" t="n">
        <v>46215</v>
      </c>
      <c r="E123" s="274" t="s">
        <v>623</v>
      </c>
      <c r="F123" s="178" t="str">
        <f aca="false">IF(AND(L123="🔄 SWAP ME",M123&lt;&gt;""),M123,IFERROR(INDEX($O$5:$O$375,MATCH(O123,$M$5:$M$375,0)),O123))</f>
        <v>P9 cont: Optimize Spark job on 10GB — broadcast joins, AQE, measure before/after</v>
      </c>
      <c r="G123" s="196" t="s">
        <v>351</v>
      </c>
      <c r="H123" s="39" t="n">
        <v>1.5</v>
      </c>
      <c r="I123" s="40" t="n">
        <v>3</v>
      </c>
      <c r="J123" s="41" t="n">
        <v>5</v>
      </c>
      <c r="K123" s="179" t="s">
        <v>1352</v>
      </c>
      <c r="L123" s="179" t="s">
        <v>1349</v>
      </c>
      <c r="M123" s="241"/>
      <c r="N123" s="316" t="str">
        <f aca="false">IF(AND(L123="🔄 SWAP ME",M123&lt;&gt;""),"⚡ SWAPPED","")</f>
        <v/>
      </c>
      <c r="O123" s="9" t="s">
        <v>826</v>
      </c>
      <c r="P123" s="317" t="str">
        <f aca="true">IF(AND(L123="🔄 SWAP ME",M123&lt;&gt;""),TODAY(),"")</f>
        <v/>
      </c>
      <c r="Q123" s="315" t="s">
        <v>1373</v>
      </c>
    </row>
    <row r="124" customFormat="false" ht="12" hidden="false" customHeight="true" outlineLevel="0" collapsed="false">
      <c r="B124" s="325" t="s">
        <v>1374</v>
      </c>
      <c r="C124" s="325"/>
      <c r="D124" s="325"/>
      <c r="E124" s="325"/>
      <c r="F124" s="325"/>
      <c r="G124" s="325"/>
      <c r="H124" s="325"/>
      <c r="I124" s="325"/>
      <c r="J124" s="325"/>
      <c r="K124" s="325"/>
      <c r="L124" s="325"/>
      <c r="M124" s="325"/>
      <c r="N124" s="325"/>
      <c r="O124" s="325"/>
      <c r="P124" s="325"/>
      <c r="Q124" s="325"/>
    </row>
    <row r="125" customFormat="false" ht="19.5" hidden="false" customHeight="true" outlineLevel="0" collapsed="false">
      <c r="B125" s="235" t="s">
        <v>160</v>
      </c>
      <c r="C125" s="273" t="s">
        <v>118</v>
      </c>
      <c r="D125" s="244" t="n">
        <v>46216</v>
      </c>
      <c r="E125" s="36" t="s">
        <v>617</v>
      </c>
      <c r="F125" s="37" t="str">
        <f aca="false">IF(AND(L125="🔄 SWAP ME",M125&lt;&gt;""),M125,IFERROR(INDEX($O$5:$O$375,MATCH(O125,$M$5:$M$375,0)),O125))</f>
        <v>Spark: Caching (cache/persist/StorageLevels), broadcast vars, accumulators, Kryo</v>
      </c>
      <c r="G125" s="196" t="s">
        <v>351</v>
      </c>
      <c r="H125" s="39" t="n">
        <v>0.5</v>
      </c>
      <c r="I125" s="40" t="n">
        <v>0.75</v>
      </c>
      <c r="J125" s="41" t="n">
        <v>1</v>
      </c>
      <c r="K125" s="76" t="s">
        <v>1348</v>
      </c>
      <c r="L125" s="76" t="s">
        <v>1349</v>
      </c>
      <c r="M125" s="245"/>
      <c r="N125" s="63" t="str">
        <f aca="false">IF(AND(L125="🔄 SWAP ME",M125&lt;&gt;""),"⚡ SWAPPED","")</f>
        <v/>
      </c>
      <c r="O125" s="9" t="s">
        <v>828</v>
      </c>
      <c r="P125" s="314" t="str">
        <f aca="true">IF(AND(L125="🔄 SWAP ME",M125&lt;&gt;""),TODAY(),"")</f>
        <v/>
      </c>
      <c r="Q125" s="315" t="s">
        <v>829</v>
      </c>
    </row>
    <row r="126" customFormat="false" ht="19.5" hidden="false" customHeight="true" outlineLevel="0" collapsed="false">
      <c r="B126" s="235" t="s">
        <v>160</v>
      </c>
      <c r="C126" s="273" t="s">
        <v>123</v>
      </c>
      <c r="D126" s="244" t="n">
        <v>46217</v>
      </c>
      <c r="E126" s="274" t="s">
        <v>623</v>
      </c>
      <c r="F126" s="37" t="str">
        <f aca="false">IF(AND(L126="🔄 SWAP ME",M126&lt;&gt;""),M126,IFERROR(INDEX($O$5:$O$375,MATCH(O126,$M$5:$M$375,0)),O126))</f>
        <v>Spark Structured Streaming: programming model, trigger types, sources, sinks</v>
      </c>
      <c r="G126" s="196" t="s">
        <v>351</v>
      </c>
      <c r="H126" s="39" t="n">
        <v>0.5</v>
      </c>
      <c r="I126" s="40" t="n">
        <v>1</v>
      </c>
      <c r="J126" s="41" t="n">
        <v>1.5</v>
      </c>
      <c r="K126" s="76" t="s">
        <v>1348</v>
      </c>
      <c r="L126" s="76" t="s">
        <v>1349</v>
      </c>
      <c r="M126" s="245"/>
      <c r="N126" s="63" t="str">
        <f aca="false">IF(AND(L126="🔄 SWAP ME",M126&lt;&gt;""),"⚡ SWAPPED","")</f>
        <v/>
      </c>
      <c r="O126" s="9" t="s">
        <v>830</v>
      </c>
      <c r="P126" s="314" t="str">
        <f aca="true">IF(AND(L126="🔄 SWAP ME",M126&lt;&gt;""),TODAY(),"")</f>
        <v/>
      </c>
      <c r="Q126" s="270" t="s">
        <v>831</v>
      </c>
    </row>
    <row r="127" customFormat="false" ht="19.5" hidden="false" customHeight="true" outlineLevel="0" collapsed="false">
      <c r="B127" s="235" t="s">
        <v>160</v>
      </c>
      <c r="C127" s="273" t="s">
        <v>126</v>
      </c>
      <c r="D127" s="244" t="n">
        <v>46218</v>
      </c>
      <c r="E127" s="274" t="s">
        <v>623</v>
      </c>
      <c r="F127" s="37" t="str">
        <f aca="false">IF(AND(L127="🔄 SWAP ME",M127&lt;&gt;""),M127,IFERROR(INDEX($O$5:$O$375,MATCH(O127,$M$5:$M$375,0)),O127))</f>
        <v>Spark Streaming: output modes, watermarks, stateful ops (dedup/session), foreachBatch</v>
      </c>
      <c r="G127" s="196" t="s">
        <v>351</v>
      </c>
      <c r="H127" s="39" t="n">
        <v>0.5</v>
      </c>
      <c r="I127" s="40" t="n">
        <v>1</v>
      </c>
      <c r="J127" s="41" t="n">
        <v>1.5</v>
      </c>
      <c r="K127" s="76" t="s">
        <v>1348</v>
      </c>
      <c r="L127" s="76" t="s">
        <v>1349</v>
      </c>
      <c r="M127" s="245"/>
      <c r="N127" s="63" t="str">
        <f aca="false">IF(AND(L127="🔄 SWAP ME",M127&lt;&gt;""),"⚡ SWAPPED","")</f>
        <v/>
      </c>
      <c r="O127" s="9" t="s">
        <v>832</v>
      </c>
      <c r="P127" s="314" t="str">
        <f aca="true">IF(AND(L127="🔄 SWAP ME",M127&lt;&gt;""),TODAY(),"")</f>
        <v/>
      </c>
      <c r="Q127" s="270" t="s">
        <v>833</v>
      </c>
    </row>
    <row r="128" customFormat="false" ht="19.5" hidden="false" customHeight="true" outlineLevel="0" collapsed="false">
      <c r="B128" s="235" t="s">
        <v>160</v>
      </c>
      <c r="C128" s="273" t="s">
        <v>130</v>
      </c>
      <c r="D128" s="244" t="n">
        <v>46219</v>
      </c>
      <c r="E128" s="274" t="s">
        <v>623</v>
      </c>
      <c r="F128" s="37" t="str">
        <f aca="false">IF(AND(L128="🔄 SWAP ME",M128&lt;&gt;""),M128,IFERROR(INDEX($O$5:$O$375,MATCH(O128,$M$5:$M$375,0)),O128))</f>
        <v>Spark Streaming: checkpointing, exactly-once (Delta+Kafka), arbitrary stateful transforms</v>
      </c>
      <c r="G128" s="196" t="s">
        <v>351</v>
      </c>
      <c r="H128" s="39" t="n">
        <v>0.5</v>
      </c>
      <c r="I128" s="40" t="n">
        <v>1</v>
      </c>
      <c r="J128" s="41" t="n">
        <v>1.5</v>
      </c>
      <c r="K128" s="76" t="s">
        <v>1348</v>
      </c>
      <c r="L128" s="76" t="s">
        <v>1349</v>
      </c>
      <c r="M128" s="245"/>
      <c r="N128" s="63" t="str">
        <f aca="false">IF(AND(L128="🔄 SWAP ME",M128&lt;&gt;""),"⚡ SWAPPED","")</f>
        <v/>
      </c>
      <c r="O128" s="9" t="s">
        <v>834</v>
      </c>
      <c r="P128" s="314" t="str">
        <f aca="true">IF(AND(L128="🔄 SWAP ME",M128&lt;&gt;""),TODAY(),"")</f>
        <v/>
      </c>
      <c r="Q128" s="315" t="s">
        <v>833</v>
      </c>
    </row>
    <row r="129" customFormat="false" ht="19.5" hidden="false" customHeight="true" outlineLevel="0" collapsed="false">
      <c r="B129" s="235" t="s">
        <v>160</v>
      </c>
      <c r="C129" s="273" t="s">
        <v>133</v>
      </c>
      <c r="D129" s="244" t="n">
        <v>46220</v>
      </c>
      <c r="E129" s="274" t="s">
        <v>623</v>
      </c>
      <c r="F129" s="37" t="str">
        <f aca="false">IF(AND(L129="🔄 SWAP ME",M129&lt;&gt;""),M129,IFERROR(INDEX($O$5:$O$375,MATCH(O129,$M$5:$M$375,0)),O129))</f>
        <v>DSA: DP 2D — Unique Paths, LCS, Edit Distance, Best Time to Buy/Sell Stock III</v>
      </c>
      <c r="G129" s="196" t="s">
        <v>351</v>
      </c>
      <c r="H129" s="39" t="n">
        <v>0.3</v>
      </c>
      <c r="I129" s="40" t="n">
        <v>0.5</v>
      </c>
      <c r="J129" s="41" t="n">
        <v>0.75</v>
      </c>
      <c r="K129" s="76" t="s">
        <v>1348</v>
      </c>
      <c r="L129" s="76" t="s">
        <v>1349</v>
      </c>
      <c r="M129" s="245"/>
      <c r="N129" s="63" t="str">
        <f aca="false">IF(AND(L129="🔄 SWAP ME",M129&lt;&gt;""),"⚡ SWAPPED","")</f>
        <v/>
      </c>
      <c r="O129" s="9" t="s">
        <v>835</v>
      </c>
      <c r="P129" s="314" t="str">
        <f aca="true">IF(AND(L129="🔄 SWAP ME",M129&lt;&gt;""),TODAY(),"")</f>
        <v/>
      </c>
      <c r="Q129" s="315" t="s">
        <v>836</v>
      </c>
    </row>
    <row r="130" customFormat="false" ht="19.5" hidden="false" customHeight="true" outlineLevel="0" collapsed="false">
      <c r="B130" s="235" t="s">
        <v>160</v>
      </c>
      <c r="C130" s="309" t="s">
        <v>516</v>
      </c>
      <c r="D130" s="240" t="n">
        <v>46221</v>
      </c>
      <c r="E130" s="274" t="s">
        <v>623</v>
      </c>
      <c r="F130" s="178" t="str">
        <f aca="false">IF(AND(L130="🔄 SWAP ME",M130&lt;&gt;""),M130,IFERROR(INDEX($O$5:$O$375,MATCH(O130,$M$5:$M$375,0)),O130))</f>
        <v>📅 SPARK ASSOC EXAM PREP: 2 full practice exams timed (90 questions each)</v>
      </c>
      <c r="G130" s="196" t="s">
        <v>351</v>
      </c>
      <c r="H130" s="39" t="n">
        <v>2</v>
      </c>
      <c r="I130" s="40" t="n">
        <v>3</v>
      </c>
      <c r="J130" s="41" t="n">
        <v>4</v>
      </c>
      <c r="K130" s="179" t="s">
        <v>1352</v>
      </c>
      <c r="L130" s="179" t="s">
        <v>1349</v>
      </c>
      <c r="M130" s="241"/>
      <c r="N130" s="316" t="str">
        <f aca="false">IF(AND(L130="🔄 SWAP ME",M130&lt;&gt;""),"⚡ SWAPPED","")</f>
        <v/>
      </c>
      <c r="O130" s="9" t="s">
        <v>837</v>
      </c>
      <c r="P130" s="317" t="str">
        <f aca="true">IF(AND(L130="🔄 SWAP ME",M130&lt;&gt;""),TODAY(),"")</f>
        <v/>
      </c>
      <c r="Q130" s="315" t="s">
        <v>1375</v>
      </c>
    </row>
    <row r="131" customFormat="false" ht="19.5" hidden="false" customHeight="true" outlineLevel="0" collapsed="false">
      <c r="B131" s="235" t="s">
        <v>160</v>
      </c>
      <c r="C131" s="309" t="s">
        <v>517</v>
      </c>
      <c r="D131" s="240" t="n">
        <v>46222</v>
      </c>
      <c r="E131" s="274" t="s">
        <v>623</v>
      </c>
      <c r="F131" s="178" t="str">
        <f aca="false">IF(AND(L131="🔄 SWAP ME",M131&lt;&gt;""),M131,IFERROR(INDEX($O$5:$O$375,MATCH(O131,$M$5:$M$375,0)),O131))</f>
        <v>📅 EXAM PREP: Review Spark 3.5 features, AQE edge cases, fill weak areas</v>
      </c>
      <c r="G131" s="196" t="s">
        <v>351</v>
      </c>
      <c r="H131" s="39" t="n">
        <v>1.5</v>
      </c>
      <c r="I131" s="40" t="n">
        <v>3</v>
      </c>
      <c r="J131" s="41" t="n">
        <v>4</v>
      </c>
      <c r="K131" s="179" t="s">
        <v>1352</v>
      </c>
      <c r="L131" s="179" t="s">
        <v>1349</v>
      </c>
      <c r="M131" s="241"/>
      <c r="N131" s="316" t="str">
        <f aca="false">IF(AND(L131="🔄 SWAP ME",M131&lt;&gt;""),"⚡ SWAPPED","")</f>
        <v/>
      </c>
      <c r="O131" s="9" t="s">
        <v>839</v>
      </c>
      <c r="P131" s="317" t="str">
        <f aca="true">IF(AND(L131="🔄 SWAP ME",M131&lt;&gt;""),TODAY(),"")</f>
        <v/>
      </c>
      <c r="Q131" s="315" t="s">
        <v>1376</v>
      </c>
    </row>
    <row r="132" customFormat="false" ht="12" hidden="false" customHeight="true" outlineLevel="0" collapsed="false">
      <c r="B132" s="325" t="s">
        <v>1377</v>
      </c>
      <c r="C132" s="325"/>
      <c r="D132" s="325"/>
      <c r="E132" s="325"/>
      <c r="F132" s="325"/>
      <c r="G132" s="325"/>
      <c r="H132" s="325"/>
      <c r="I132" s="325"/>
      <c r="J132" s="325"/>
      <c r="K132" s="325"/>
      <c r="L132" s="325"/>
      <c r="M132" s="325"/>
      <c r="N132" s="325"/>
      <c r="O132" s="325"/>
      <c r="P132" s="325"/>
      <c r="Q132" s="325"/>
    </row>
    <row r="133" customFormat="false" ht="19.5" hidden="false" customHeight="true" outlineLevel="0" collapsed="false">
      <c r="B133" s="235" t="s">
        <v>161</v>
      </c>
      <c r="C133" s="273" t="s">
        <v>118</v>
      </c>
      <c r="D133" s="244" t="n">
        <v>46223</v>
      </c>
      <c r="E133" s="274" t="s">
        <v>623</v>
      </c>
      <c r="F133" s="37" t="str">
        <f aca="false">IF(AND(L133="🔄 SWAP ME",M133&lt;&gt;""),M133,IFERROR(INDEX($O$5:$O$375,MATCH(O133,$M$5:$M$375,0)),O133))</f>
        <v>📅 EXAM DAY — Databricks Certified Associate Developer for Apache Spark</v>
      </c>
      <c r="G133" s="196" t="s">
        <v>351</v>
      </c>
      <c r="H133" s="39" t="n">
        <v>1</v>
      </c>
      <c r="I133" s="40" t="n">
        <v>1.5</v>
      </c>
      <c r="J133" s="41" t="n">
        <v>2</v>
      </c>
      <c r="K133" s="76" t="s">
        <v>1351</v>
      </c>
      <c r="L133" s="76" t="s">
        <v>1349</v>
      </c>
      <c r="M133" s="245"/>
      <c r="N133" s="63" t="str">
        <f aca="false">IF(AND(L133="🔄 SWAP ME",M133&lt;&gt;""),"⚡ SWAPPED","")</f>
        <v/>
      </c>
      <c r="O133" s="9" t="s">
        <v>841</v>
      </c>
      <c r="P133" s="314" t="str">
        <f aca="true">IF(AND(L133="🔄 SWAP ME",M133&lt;&gt;""),TODAY(),"")</f>
        <v/>
      </c>
      <c r="Q133" s="315" t="s">
        <v>842</v>
      </c>
    </row>
    <row r="134" customFormat="false" ht="19.5" hidden="false" customHeight="true" outlineLevel="0" collapsed="false">
      <c r="B134" s="235" t="s">
        <v>161</v>
      </c>
      <c r="C134" s="273" t="s">
        <v>123</v>
      </c>
      <c r="D134" s="244" t="n">
        <v>46224</v>
      </c>
      <c r="E134" s="274" t="s">
        <v>623</v>
      </c>
      <c r="F134" s="37" t="str">
        <f aca="false">IF(AND(L134="🔄 SWAP ME",M134&lt;&gt;""),M134,IFERROR(INDEX($O$5:$O$375,MATCH(O134,$M$5:$M$375,0)),O134))</f>
        <v>Spark: Resource allocation deep — 6 nodes × 32 cores × 128GB, executor calc</v>
      </c>
      <c r="G134" s="196" t="s">
        <v>351</v>
      </c>
      <c r="H134" s="39" t="n">
        <v>0.5</v>
      </c>
      <c r="I134" s="40" t="n">
        <v>1</v>
      </c>
      <c r="J134" s="41" t="n">
        <v>1.5</v>
      </c>
      <c r="K134" s="76" t="s">
        <v>1348</v>
      </c>
      <c r="L134" s="76" t="s">
        <v>1349</v>
      </c>
      <c r="M134" s="245"/>
      <c r="N134" s="63" t="str">
        <f aca="false">IF(AND(L134="🔄 SWAP ME",M134&lt;&gt;""),"⚡ SWAPPED","")</f>
        <v/>
      </c>
      <c r="O134" s="9" t="s">
        <v>843</v>
      </c>
      <c r="P134" s="314" t="str">
        <f aca="true">IF(AND(L134="🔄 SWAP ME",M134&lt;&gt;""),TODAY(),"")</f>
        <v/>
      </c>
      <c r="Q134" s="270" t="s">
        <v>807</v>
      </c>
    </row>
    <row r="135" customFormat="false" ht="19.5" hidden="false" customHeight="true" outlineLevel="0" collapsed="false">
      <c r="B135" s="235" t="s">
        <v>161</v>
      </c>
      <c r="C135" s="273" t="s">
        <v>126</v>
      </c>
      <c r="D135" s="244" t="n">
        <v>46225</v>
      </c>
      <c r="E135" s="274" t="s">
        <v>623</v>
      </c>
      <c r="F135" s="37" t="str">
        <f aca="false">IF(AND(L135="🔄 SWAP ME",M135&lt;&gt;""),M135,IFERROR(INDEX($O$5:$O$375,MATCH(O135,$M$5:$M$375,0)),O135))</f>
        <v>Spark: Persist/caching strategy, speculative execution, OOM failure diagnosis</v>
      </c>
      <c r="G135" s="196" t="s">
        <v>351</v>
      </c>
      <c r="H135" s="39" t="n">
        <v>0.5</v>
      </c>
      <c r="I135" s="40" t="n">
        <v>0.75</v>
      </c>
      <c r="J135" s="41" t="n">
        <v>1</v>
      </c>
      <c r="K135" s="76" t="s">
        <v>1348</v>
      </c>
      <c r="L135" s="76" t="s">
        <v>1349</v>
      </c>
      <c r="M135" s="245"/>
      <c r="N135" s="63" t="str">
        <f aca="false">IF(AND(L135="🔄 SWAP ME",M135&lt;&gt;""),"⚡ SWAPPED","")</f>
        <v/>
      </c>
      <c r="O135" s="9" t="s">
        <v>844</v>
      </c>
      <c r="P135" s="314" t="str">
        <f aca="true">IF(AND(L135="🔄 SWAP ME",M135&lt;&gt;""),TODAY(),"")</f>
        <v/>
      </c>
      <c r="Q135" s="315" t="s">
        <v>845</v>
      </c>
    </row>
    <row r="136" customFormat="false" ht="19.5" hidden="false" customHeight="true" outlineLevel="0" collapsed="false">
      <c r="B136" s="235" t="s">
        <v>161</v>
      </c>
      <c r="C136" s="273" t="s">
        <v>130</v>
      </c>
      <c r="D136" s="244" t="n">
        <v>46226</v>
      </c>
      <c r="E136" s="36" t="s">
        <v>617</v>
      </c>
      <c r="F136" s="37" t="str">
        <f aca="false">IF(AND(L136="🔄 SWAP ME",M136&lt;&gt;""),M136,IFERROR(INDEX($O$5:$O$375,MATCH(O136,$M$5:$M$375,0)),O136))</f>
        <v>Spark: Read from Hive tables, write to Delta, PySpark on YARN — end-to-end</v>
      </c>
      <c r="G136" s="196" t="s">
        <v>351</v>
      </c>
      <c r="H136" s="39" t="n">
        <v>0.5</v>
      </c>
      <c r="I136" s="40" t="n">
        <v>0.75</v>
      </c>
      <c r="J136" s="41" t="n">
        <v>1</v>
      </c>
      <c r="K136" s="76" t="s">
        <v>1348</v>
      </c>
      <c r="L136" s="76" t="s">
        <v>1349</v>
      </c>
      <c r="M136" s="245"/>
      <c r="N136" s="63" t="str">
        <f aca="false">IF(AND(L136="🔄 SWAP ME",M136&lt;&gt;""),"⚡ SWAPPED","")</f>
        <v/>
      </c>
      <c r="O136" s="9" t="s">
        <v>846</v>
      </c>
      <c r="P136" s="314" t="str">
        <f aca="true">IF(AND(L136="🔄 SWAP ME",M136&lt;&gt;""),TODAY(),"")</f>
        <v/>
      </c>
      <c r="Q136" s="270" t="s">
        <v>847</v>
      </c>
    </row>
    <row r="137" customFormat="false" ht="19.5" hidden="false" customHeight="true" outlineLevel="0" collapsed="false">
      <c r="B137" s="235" t="s">
        <v>161</v>
      </c>
      <c r="C137" s="273" t="s">
        <v>133</v>
      </c>
      <c r="D137" s="244" t="n">
        <v>46227</v>
      </c>
      <c r="E137" s="274" t="s">
        <v>623</v>
      </c>
      <c r="F137" s="37" t="str">
        <f aca="false">IF(AND(L137="🔄 SWAP ME",M137&lt;&gt;""),M137,IFERROR(INDEX($O$5:$O$375,MATCH(O137,$M$5:$M$375,0)),O137))</f>
        <v>DSA: Intervals + Greedy — Merge Intervals, Meeting Rooms II, Jump Game</v>
      </c>
      <c r="G137" s="196" t="s">
        <v>351</v>
      </c>
      <c r="H137" s="39" t="n">
        <v>0.3</v>
      </c>
      <c r="I137" s="40" t="n">
        <v>0.5</v>
      </c>
      <c r="J137" s="41" t="n">
        <v>0.75</v>
      </c>
      <c r="K137" s="76" t="s">
        <v>1348</v>
      </c>
      <c r="L137" s="76" t="s">
        <v>1349</v>
      </c>
      <c r="M137" s="245"/>
      <c r="N137" s="63" t="str">
        <f aca="false">IF(AND(L137="🔄 SWAP ME",M137&lt;&gt;""),"⚡ SWAPPED","")</f>
        <v/>
      </c>
      <c r="O137" s="9" t="s">
        <v>848</v>
      </c>
      <c r="P137" s="314" t="str">
        <f aca="true">IF(AND(L137="🔄 SWAP ME",M137&lt;&gt;""),TODAY(),"")</f>
        <v/>
      </c>
      <c r="Q137" s="315" t="s">
        <v>849</v>
      </c>
    </row>
    <row r="138" customFormat="false" ht="19.5" hidden="false" customHeight="true" outlineLevel="0" collapsed="false">
      <c r="B138" s="235" t="s">
        <v>161</v>
      </c>
      <c r="C138" s="309" t="s">
        <v>516</v>
      </c>
      <c r="D138" s="240" t="n">
        <v>46228</v>
      </c>
      <c r="E138" s="274" t="s">
        <v>623</v>
      </c>
      <c r="F138" s="178" t="str">
        <f aca="false">IF(AND(L138="🔄 SWAP ME",M138&lt;&gt;""),M138,IFERROR(INDEX($O$5:$O$375,MATCH(O138,$M$5:$M$375,0)),O138))</f>
        <v>P9 final: End-to-end Kafka→Spark Streaming→Delta Lake pipeline, exactly-once</v>
      </c>
      <c r="G138" s="196" t="s">
        <v>351</v>
      </c>
      <c r="H138" s="39" t="n">
        <v>1</v>
      </c>
      <c r="I138" s="40" t="n">
        <v>2</v>
      </c>
      <c r="J138" s="41" t="n">
        <v>3</v>
      </c>
      <c r="K138" s="179" t="s">
        <v>1351</v>
      </c>
      <c r="L138" s="179" t="s">
        <v>1349</v>
      </c>
      <c r="M138" s="241"/>
      <c r="N138" s="316" t="str">
        <f aca="false">IF(AND(L138="🔄 SWAP ME",M138&lt;&gt;""),"⚡ SWAPPED","")</f>
        <v/>
      </c>
      <c r="O138" s="9" t="s">
        <v>850</v>
      </c>
      <c r="P138" s="317" t="str">
        <f aca="true">IF(AND(L138="🔄 SWAP ME",M138&lt;&gt;""),TODAY(),"")</f>
        <v/>
      </c>
      <c r="Q138" s="315" t="s">
        <v>851</v>
      </c>
    </row>
    <row r="139" customFormat="false" ht="19.5" hidden="false" customHeight="true" outlineLevel="0" collapsed="false">
      <c r="B139" s="235" t="s">
        <v>161</v>
      </c>
      <c r="C139" s="309" t="s">
        <v>517</v>
      </c>
      <c r="D139" s="240" t="n">
        <v>46229</v>
      </c>
      <c r="E139" s="36" t="s">
        <v>617</v>
      </c>
      <c r="F139" s="178" t="str">
        <f aca="false">IF(AND(L139="🔄 SWAP ME",M139&lt;&gt;""),M139,IFERROR(INDEX($O$5:$O$375,MATCH(O139,$M$5:$M$375,0)),O139))</f>
        <v>Spark exam debrief + fill gaps, update notes on weak areas</v>
      </c>
      <c r="G139" s="196" t="s">
        <v>351</v>
      </c>
      <c r="H139" s="39" t="n">
        <v>1</v>
      </c>
      <c r="I139" s="40" t="n">
        <v>2</v>
      </c>
      <c r="J139" s="41" t="n">
        <v>3</v>
      </c>
      <c r="K139" s="179" t="s">
        <v>1351</v>
      </c>
      <c r="L139" s="179" t="s">
        <v>1349</v>
      </c>
      <c r="M139" s="241"/>
      <c r="N139" s="316" t="str">
        <f aca="false">IF(AND(L139="🔄 SWAP ME",M139&lt;&gt;""),"⚡ SWAPPED","")</f>
        <v/>
      </c>
      <c r="O139" s="9" t="s">
        <v>852</v>
      </c>
      <c r="P139" s="317" t="str">
        <f aca="true">IF(AND(L139="🔄 SWAP ME",M139&lt;&gt;""),TODAY(),"")</f>
        <v/>
      </c>
      <c r="Q139" s="315" t="s">
        <v>1378</v>
      </c>
    </row>
    <row r="140" customFormat="false" ht="12" hidden="false" customHeight="true" outlineLevel="0" collapsed="false">
      <c r="B140" s="326" t="s">
        <v>1379</v>
      </c>
      <c r="C140" s="326"/>
      <c r="D140" s="326"/>
      <c r="E140" s="326"/>
      <c r="F140" s="326"/>
      <c r="G140" s="326"/>
      <c r="H140" s="326"/>
      <c r="I140" s="326"/>
      <c r="J140" s="326"/>
      <c r="K140" s="326"/>
      <c r="L140" s="326"/>
      <c r="M140" s="326"/>
      <c r="N140" s="326"/>
      <c r="O140" s="326"/>
      <c r="P140" s="326"/>
      <c r="Q140" s="326"/>
    </row>
    <row r="141" customFormat="false" ht="19.5" hidden="false" customHeight="true" outlineLevel="0" collapsed="false">
      <c r="B141" s="327" t="s">
        <v>162</v>
      </c>
      <c r="C141" s="273" t="s">
        <v>118</v>
      </c>
      <c r="D141" s="244" t="n">
        <v>46230</v>
      </c>
      <c r="E141" s="274" t="s">
        <v>623</v>
      </c>
      <c r="F141" s="37" t="str">
        <f aca="false">IF(AND(L141="🔄 SWAP ME",M141&lt;&gt;""),M141,IFERROR(INDEX($O$5:$O$375,MATCH(O141,$M$5:$M$375,0)),O141))</f>
        <v>Delta Lake: transaction log (_delta_log), checkpoint files, ACID, snapshot isolation</v>
      </c>
      <c r="G141" s="198" t="s">
        <v>368</v>
      </c>
      <c r="H141" s="39" t="n">
        <v>0.5</v>
      </c>
      <c r="I141" s="40" t="n">
        <v>1</v>
      </c>
      <c r="J141" s="41" t="n">
        <v>1.5</v>
      </c>
      <c r="K141" s="76" t="s">
        <v>1348</v>
      </c>
      <c r="L141" s="76" t="s">
        <v>1349</v>
      </c>
      <c r="M141" s="245"/>
      <c r="N141" s="63" t="str">
        <f aca="false">IF(AND(L141="🔄 SWAP ME",M141&lt;&gt;""),"⚡ SWAPPED","")</f>
        <v/>
      </c>
      <c r="O141" s="9" t="s">
        <v>855</v>
      </c>
      <c r="P141" s="314" t="str">
        <f aca="true">IF(AND(L141="🔄 SWAP ME",M141&lt;&gt;""),TODAY(),"")</f>
        <v/>
      </c>
      <c r="Q141" s="315" t="s">
        <v>1380</v>
      </c>
    </row>
    <row r="142" customFormat="false" ht="19.5" hidden="false" customHeight="true" outlineLevel="0" collapsed="false">
      <c r="B142" s="327" t="s">
        <v>162</v>
      </c>
      <c r="C142" s="273" t="s">
        <v>123</v>
      </c>
      <c r="D142" s="244" t="n">
        <v>46231</v>
      </c>
      <c r="E142" s="274" t="s">
        <v>623</v>
      </c>
      <c r="F142" s="37" t="str">
        <f aca="false">IF(AND(L142="🔄 SWAP ME",M142&lt;&gt;""),M142,IFERROR(INDEX($O$5:$O$375,MATCH(O142,$M$5:$M$375,0)),O142))</f>
        <v>Delta Lake: MERGE complete syntax, OPTIMIZE, Z-ORDER, Liquid Clustering — guide</v>
      </c>
      <c r="G142" s="198" t="s">
        <v>368</v>
      </c>
      <c r="H142" s="39" t="n">
        <v>0.5</v>
      </c>
      <c r="I142" s="40" t="n">
        <v>1</v>
      </c>
      <c r="J142" s="41" t="n">
        <v>1.5</v>
      </c>
      <c r="K142" s="76" t="s">
        <v>1348</v>
      </c>
      <c r="L142" s="76" t="s">
        <v>1349</v>
      </c>
      <c r="M142" s="245"/>
      <c r="N142" s="63" t="str">
        <f aca="false">IF(AND(L142="🔄 SWAP ME",M142&lt;&gt;""),"⚡ SWAPPED","")</f>
        <v/>
      </c>
      <c r="O142" s="9" t="s">
        <v>857</v>
      </c>
      <c r="P142" s="314" t="str">
        <f aca="true">IF(AND(L142="🔄 SWAP ME",M142&lt;&gt;""),TODAY(),"")</f>
        <v/>
      </c>
      <c r="Q142" s="315" t="s">
        <v>858</v>
      </c>
    </row>
    <row r="143" customFormat="false" ht="19.5" hidden="false" customHeight="true" outlineLevel="0" collapsed="false">
      <c r="B143" s="327" t="s">
        <v>162</v>
      </c>
      <c r="C143" s="273" t="s">
        <v>126</v>
      </c>
      <c r="D143" s="244" t="n">
        <v>46232</v>
      </c>
      <c r="E143" s="36" t="s">
        <v>617</v>
      </c>
      <c r="F143" s="37" t="str">
        <f aca="false">IF(AND(L143="🔄 SWAP ME",M143&lt;&gt;""),M143,IFERROR(INDEX($O$5:$O$375,MATCH(O143,$M$5:$M$375,0)),O143))</f>
        <v>Delta Lake: Time travel, RESTORE, VACUUM, schema enforcement+evolution, CDF</v>
      </c>
      <c r="G143" s="198" t="s">
        <v>368</v>
      </c>
      <c r="H143" s="39" t="n">
        <v>0.5</v>
      </c>
      <c r="I143" s="40" t="n">
        <v>0.75</v>
      </c>
      <c r="J143" s="41" t="n">
        <v>1</v>
      </c>
      <c r="K143" s="76" t="s">
        <v>1348</v>
      </c>
      <c r="L143" s="76" t="s">
        <v>1349</v>
      </c>
      <c r="M143" s="245"/>
      <c r="N143" s="63" t="str">
        <f aca="false">IF(AND(L143="🔄 SWAP ME",M143&lt;&gt;""),"⚡ SWAPPED","")</f>
        <v/>
      </c>
      <c r="O143" s="9" t="s">
        <v>859</v>
      </c>
      <c r="P143" s="314" t="str">
        <f aca="true">IF(AND(L143="🔄 SWAP ME",M143&lt;&gt;""),TODAY(),"")</f>
        <v/>
      </c>
      <c r="Q143" s="315" t="s">
        <v>860</v>
      </c>
    </row>
    <row r="144" customFormat="false" ht="19.5" hidden="false" customHeight="true" outlineLevel="0" collapsed="false">
      <c r="B144" s="327" t="s">
        <v>162</v>
      </c>
      <c r="C144" s="273" t="s">
        <v>130</v>
      </c>
      <c r="D144" s="244" t="n">
        <v>46233</v>
      </c>
      <c r="E144" s="274" t="s">
        <v>623</v>
      </c>
      <c r="F144" s="37" t="str">
        <f aca="false">IF(AND(L144="🔄 SWAP ME",M144&lt;&gt;""),M144,IFERROR(INDEX($O$5:$O$375,MATCH(O144,$M$5:$M$375,0)),O144))</f>
        <v>Delta Lake: Deletion vectors, Auto Loader (cloudFiles), Delta Sharing protocol</v>
      </c>
      <c r="G144" s="198" t="s">
        <v>368</v>
      </c>
      <c r="H144" s="39" t="n">
        <v>0.5</v>
      </c>
      <c r="I144" s="40" t="n">
        <v>1</v>
      </c>
      <c r="J144" s="41" t="n">
        <v>1.5</v>
      </c>
      <c r="K144" s="76" t="s">
        <v>1348</v>
      </c>
      <c r="L144" s="76" t="s">
        <v>1349</v>
      </c>
      <c r="M144" s="245"/>
      <c r="N144" s="63" t="str">
        <f aca="false">IF(AND(L144="🔄 SWAP ME",M144&lt;&gt;""),"⚡ SWAPPED","")</f>
        <v/>
      </c>
      <c r="O144" s="9" t="s">
        <v>861</v>
      </c>
      <c r="P144" s="314" t="str">
        <f aca="true">IF(AND(L144="🔄 SWAP ME",M144&lt;&gt;""),TODAY(),"")</f>
        <v/>
      </c>
      <c r="Q144" s="315" t="s">
        <v>862</v>
      </c>
    </row>
    <row r="145" customFormat="false" ht="19.5" hidden="false" customHeight="true" outlineLevel="0" collapsed="false">
      <c r="B145" s="327" t="s">
        <v>162</v>
      </c>
      <c r="C145" s="273" t="s">
        <v>133</v>
      </c>
      <c r="D145" s="244" t="n">
        <v>46234</v>
      </c>
      <c r="E145" s="274" t="s">
        <v>623</v>
      </c>
      <c r="F145" s="37" t="str">
        <f aca="false">IF(AND(L145="🔄 SWAP ME",M145&lt;&gt;""),M145,IFERROR(INDEX($O$5:$O$375,MATCH(O145,$M$5:$M$375,0)),O145))</f>
        <v>DSA: Hard DP — Burst Balloons, Regular Expression Matching, Interleaving Strings</v>
      </c>
      <c r="G145" s="198" t="s">
        <v>368</v>
      </c>
      <c r="H145" s="39" t="n">
        <v>0.3</v>
      </c>
      <c r="I145" s="40" t="n">
        <v>0.5</v>
      </c>
      <c r="J145" s="41" t="n">
        <v>0.75</v>
      </c>
      <c r="K145" s="76" t="s">
        <v>1348</v>
      </c>
      <c r="L145" s="76" t="s">
        <v>1349</v>
      </c>
      <c r="M145" s="245"/>
      <c r="N145" s="63" t="str">
        <f aca="false">IF(AND(L145="🔄 SWAP ME",M145&lt;&gt;""),"⚡ SWAPPED","")</f>
        <v/>
      </c>
      <c r="O145" s="9" t="s">
        <v>863</v>
      </c>
      <c r="P145" s="314" t="str">
        <f aca="true">IF(AND(L145="🔄 SWAP ME",M145&lt;&gt;""),TODAY(),"")</f>
        <v/>
      </c>
      <c r="Q145" s="315" t="s">
        <v>864</v>
      </c>
    </row>
    <row r="146" customFormat="false" ht="19.5" hidden="false" customHeight="true" outlineLevel="0" collapsed="false">
      <c r="B146" s="327" t="s">
        <v>162</v>
      </c>
      <c r="C146" s="309" t="s">
        <v>516</v>
      </c>
      <c r="D146" s="240" t="n">
        <v>46235</v>
      </c>
      <c r="E146" s="274" t="s">
        <v>623</v>
      </c>
      <c r="F146" s="178" t="str">
        <f aca="false">IF(AND(L146="🔄 SWAP ME",M146&lt;&gt;""),M146,IFERROR(INDEX($O$5:$O$375,MATCH(O146,$M$5:$M$375,0)),O146))</f>
        <v>Apache Iceberg: architecture, hidden partitioning, CoW vs MoR, metadata layer</v>
      </c>
      <c r="G146" s="198" t="s">
        <v>368</v>
      </c>
      <c r="H146" s="39" t="n">
        <v>1</v>
      </c>
      <c r="I146" s="40" t="n">
        <v>1.5</v>
      </c>
      <c r="J146" s="41" t="n">
        <v>2</v>
      </c>
      <c r="K146" s="179" t="s">
        <v>1351</v>
      </c>
      <c r="L146" s="179" t="s">
        <v>1349</v>
      </c>
      <c r="M146" s="241"/>
      <c r="N146" s="316" t="str">
        <f aca="false">IF(AND(L146="🔄 SWAP ME",M146&lt;&gt;""),"⚡ SWAPPED","")</f>
        <v/>
      </c>
      <c r="O146" s="9" t="s">
        <v>865</v>
      </c>
      <c r="P146" s="317" t="str">
        <f aca="true">IF(AND(L146="🔄 SWAP ME",M146&lt;&gt;""),TODAY(),"")</f>
        <v/>
      </c>
      <c r="Q146" s="270" t="s">
        <v>866</v>
      </c>
    </row>
    <row r="147" customFormat="false" ht="19.5" hidden="false" customHeight="true" outlineLevel="0" collapsed="false">
      <c r="B147" s="327" t="s">
        <v>162</v>
      </c>
      <c r="C147" s="309" t="s">
        <v>517</v>
      </c>
      <c r="D147" s="240" t="n">
        <v>46236</v>
      </c>
      <c r="E147" s="274" t="s">
        <v>623</v>
      </c>
      <c r="F147" s="178" t="str">
        <f aca="false">IF(AND(L147="🔄 SWAP ME",M147&lt;&gt;""),M147,IFERROR(INDEX($O$5:$O$375,MATCH(O147,$M$5:$M$375,0)),O147))</f>
        <v>P10-P13: Databricks 4 projects — e-commerce, SCD2 DWH, Healthcare DLT, UPI CDC</v>
      </c>
      <c r="G147" s="198" t="s">
        <v>368</v>
      </c>
      <c r="H147" s="39" t="n">
        <v>2</v>
      </c>
      <c r="I147" s="40" t="n">
        <v>4</v>
      </c>
      <c r="J147" s="41" t="n">
        <v>6</v>
      </c>
      <c r="K147" s="179" t="s">
        <v>1352</v>
      </c>
      <c r="L147" s="179" t="s">
        <v>1349</v>
      </c>
      <c r="M147" s="241"/>
      <c r="N147" s="316" t="str">
        <f aca="false">IF(AND(L147="🔄 SWAP ME",M147&lt;&gt;""),"⚡ SWAPPED","")</f>
        <v/>
      </c>
      <c r="O147" s="9" t="s">
        <v>867</v>
      </c>
      <c r="P147" s="317" t="str">
        <f aca="true">IF(AND(L147="🔄 SWAP ME",M147&lt;&gt;""),TODAY(),"")</f>
        <v/>
      </c>
      <c r="Q147" s="270" t="s">
        <v>868</v>
      </c>
    </row>
    <row r="148" customFormat="false" ht="12" hidden="false" customHeight="true" outlineLevel="0" collapsed="false">
      <c r="B148" s="326" t="s">
        <v>1381</v>
      </c>
      <c r="C148" s="326"/>
      <c r="D148" s="326"/>
      <c r="E148" s="326"/>
      <c r="F148" s="326"/>
      <c r="G148" s="326"/>
      <c r="H148" s="326"/>
      <c r="I148" s="326"/>
      <c r="J148" s="326"/>
      <c r="K148" s="326"/>
      <c r="L148" s="326"/>
      <c r="M148" s="326"/>
      <c r="N148" s="326"/>
      <c r="O148" s="326"/>
      <c r="P148" s="326"/>
      <c r="Q148" s="326"/>
    </row>
    <row r="149" customFormat="false" ht="19.5" hidden="false" customHeight="true" outlineLevel="0" collapsed="false">
      <c r="B149" s="327" t="s">
        <v>163</v>
      </c>
      <c r="C149" s="273" t="s">
        <v>118</v>
      </c>
      <c r="D149" s="244" t="n">
        <v>46237</v>
      </c>
      <c r="E149" s="274" t="s">
        <v>623</v>
      </c>
      <c r="F149" s="37" t="str">
        <f aca="false">IF(AND(L149="🔄 SWAP ME",M149&lt;&gt;""),M149,IFERROR(INDEX($O$5:$O$375,MATCH(O149,$M$5:$M$375,0)),O149))</f>
        <v>Iceberg: compaction, REST/Nessie catalog, partition evolution, Flink connector</v>
      </c>
      <c r="G149" s="198" t="s">
        <v>368</v>
      </c>
      <c r="H149" s="39" t="n">
        <v>0.5</v>
      </c>
      <c r="I149" s="40" t="n">
        <v>1</v>
      </c>
      <c r="J149" s="41" t="n">
        <v>1.5</v>
      </c>
      <c r="K149" s="76" t="s">
        <v>1348</v>
      </c>
      <c r="L149" s="76" t="s">
        <v>1349</v>
      </c>
      <c r="M149" s="245"/>
      <c r="N149" s="63" t="str">
        <f aca="false">IF(AND(L149="🔄 SWAP ME",M149&lt;&gt;""),"⚡ SWAPPED","")</f>
        <v/>
      </c>
      <c r="O149" s="9" t="s">
        <v>869</v>
      </c>
      <c r="P149" s="314" t="str">
        <f aca="true">IF(AND(L149="🔄 SWAP ME",M149&lt;&gt;""),TODAY(),"")</f>
        <v/>
      </c>
      <c r="Q149" s="315" t="s">
        <v>870</v>
      </c>
    </row>
    <row r="150" customFormat="false" ht="19.5" hidden="false" customHeight="true" outlineLevel="0" collapsed="false">
      <c r="B150" s="327" t="s">
        <v>163</v>
      </c>
      <c r="C150" s="273" t="s">
        <v>123</v>
      </c>
      <c r="D150" s="244" t="n">
        <v>46238</v>
      </c>
      <c r="E150" s="274" t="s">
        <v>623</v>
      </c>
      <c r="F150" s="37" t="str">
        <f aca="false">IF(AND(L150="🔄 SWAP ME",M150&lt;&gt;""),M150,IFERROR(INDEX($O$5:$O$375,MATCH(O150,$M$5:$M$375,0)),O150))</f>
        <v>Apache Hudi: architecture, CoW vs MoR, query types, timeline, compaction</v>
      </c>
      <c r="G150" s="198" t="s">
        <v>368</v>
      </c>
      <c r="H150" s="39" t="n">
        <v>0.5</v>
      </c>
      <c r="I150" s="40" t="n">
        <v>1</v>
      </c>
      <c r="J150" s="41" t="n">
        <v>1.5</v>
      </c>
      <c r="K150" s="76" t="s">
        <v>1348</v>
      </c>
      <c r="L150" s="76" t="s">
        <v>1349</v>
      </c>
      <c r="M150" s="245"/>
      <c r="N150" s="63" t="str">
        <f aca="false">IF(AND(L150="🔄 SWAP ME",M150&lt;&gt;""),"⚡ SWAPPED","")</f>
        <v/>
      </c>
      <c r="O150" s="9" t="s">
        <v>871</v>
      </c>
      <c r="P150" s="314" t="str">
        <f aca="true">IF(AND(L150="🔄 SWAP ME",M150&lt;&gt;""),TODAY(),"")</f>
        <v/>
      </c>
      <c r="Q150" s="270" t="s">
        <v>872</v>
      </c>
    </row>
    <row r="151" customFormat="false" ht="19.5" hidden="false" customHeight="true" outlineLevel="0" collapsed="false">
      <c r="B151" s="327" t="s">
        <v>163</v>
      </c>
      <c r="C151" s="273" t="s">
        <v>126</v>
      </c>
      <c r="D151" s="244" t="n">
        <v>46239</v>
      </c>
      <c r="E151" s="274" t="s">
        <v>623</v>
      </c>
      <c r="F151" s="37" t="str">
        <f aca="false">IF(AND(L151="🔄 SWAP ME",M151&lt;&gt;""),M151,IFERROR(INDEX($O$5:$O$375,MATCH(O151,$M$5:$M$375,0)),O151))</f>
        <v>Hudi: CDC, incremental pull, PySpark on AWS Glue — hands-on implementation</v>
      </c>
      <c r="G151" s="198" t="s">
        <v>368</v>
      </c>
      <c r="H151" s="39" t="n">
        <v>0.5</v>
      </c>
      <c r="I151" s="40" t="n">
        <v>0.75</v>
      </c>
      <c r="J151" s="41" t="n">
        <v>1</v>
      </c>
      <c r="K151" s="76" t="s">
        <v>1348</v>
      </c>
      <c r="L151" s="76" t="s">
        <v>1349</v>
      </c>
      <c r="M151" s="245"/>
      <c r="N151" s="63" t="str">
        <f aca="false">IF(AND(L151="🔄 SWAP ME",M151&lt;&gt;""),"⚡ SWAPPED","")</f>
        <v/>
      </c>
      <c r="O151" s="9" t="s">
        <v>873</v>
      </c>
      <c r="P151" s="314" t="str">
        <f aca="true">IF(AND(L151="🔄 SWAP ME",M151&lt;&gt;""),TODAY(),"")</f>
        <v/>
      </c>
      <c r="Q151" s="270" t="s">
        <v>874</v>
      </c>
    </row>
    <row r="152" customFormat="false" ht="19.5" hidden="false" customHeight="true" outlineLevel="0" collapsed="false">
      <c r="B152" s="327" t="s">
        <v>163</v>
      </c>
      <c r="C152" s="273" t="s">
        <v>130</v>
      </c>
      <c r="D152" s="244" t="n">
        <v>46240</v>
      </c>
      <c r="E152" s="274" t="s">
        <v>623</v>
      </c>
      <c r="F152" s="37" t="str">
        <f aca="false">IF(AND(L152="🔄 SWAP ME",M152&lt;&gt;""),M152,IFERROR(INDEX($O$5:$O$375,MATCH(O152,$M$5:$M$375,0)),O152))</f>
        <v>Delta vs Iceberg vs Hudi decision guide: Azure(Delta), AWS multi-engine(Iceberg), CDC(Hudi)</v>
      </c>
      <c r="G152" s="198" t="s">
        <v>368</v>
      </c>
      <c r="H152" s="39" t="n">
        <v>0.5</v>
      </c>
      <c r="I152" s="40" t="n">
        <v>1</v>
      </c>
      <c r="J152" s="41" t="n">
        <v>1.5</v>
      </c>
      <c r="K152" s="76" t="s">
        <v>1348</v>
      </c>
      <c r="L152" s="76" t="s">
        <v>1349</v>
      </c>
      <c r="M152" s="245"/>
      <c r="N152" s="63" t="str">
        <f aca="false">IF(AND(L152="🔄 SWAP ME",M152&lt;&gt;""),"⚡ SWAPPED","")</f>
        <v/>
      </c>
      <c r="O152" s="9" t="s">
        <v>875</v>
      </c>
      <c r="P152" s="314" t="str">
        <f aca="true">IF(AND(L152="🔄 SWAP ME",M152&lt;&gt;""),TODAY(),"")</f>
        <v/>
      </c>
      <c r="Q152" s="315" t="s">
        <v>876</v>
      </c>
    </row>
    <row r="153" customFormat="false" ht="19.5" hidden="false" customHeight="true" outlineLevel="0" collapsed="false">
      <c r="B153" s="327" t="s">
        <v>163</v>
      </c>
      <c r="C153" s="273" t="s">
        <v>133</v>
      </c>
      <c r="D153" s="244" t="n">
        <v>46241</v>
      </c>
      <c r="E153" s="36" t="s">
        <v>617</v>
      </c>
      <c r="F153" s="37" t="str">
        <f aca="false">IF(AND(L153="🔄 SWAP ME",M153&lt;&gt;""),M153,IFERROR(INDEX($O$5:$O$375,MATCH(O153,$M$5:$M$375,0)),O153))</f>
        <v>DSA: Bit Manipulation + Math — Number of 1 Bits, Reverse Bits, Pow(x,n)</v>
      </c>
      <c r="G153" s="198" t="s">
        <v>368</v>
      </c>
      <c r="H153" s="39" t="n">
        <v>0.3</v>
      </c>
      <c r="I153" s="40" t="n">
        <v>0.5</v>
      </c>
      <c r="J153" s="41" t="n">
        <v>0.75</v>
      </c>
      <c r="K153" s="76" t="s">
        <v>1348</v>
      </c>
      <c r="L153" s="76" t="s">
        <v>1349</v>
      </c>
      <c r="M153" s="245"/>
      <c r="N153" s="63" t="str">
        <f aca="false">IF(AND(L153="🔄 SWAP ME",M153&lt;&gt;""),"⚡ SWAPPED","")</f>
        <v/>
      </c>
      <c r="O153" s="9" t="s">
        <v>877</v>
      </c>
      <c r="P153" s="314" t="str">
        <f aca="true">IF(AND(L153="🔄 SWAP ME",M153&lt;&gt;""),TODAY(),"")</f>
        <v/>
      </c>
      <c r="Q153" s="315" t="s">
        <v>878</v>
      </c>
    </row>
    <row r="154" customFormat="false" ht="19.5" hidden="false" customHeight="true" outlineLevel="0" collapsed="false">
      <c r="B154" s="327" t="s">
        <v>163</v>
      </c>
      <c r="C154" s="309" t="s">
        <v>516</v>
      </c>
      <c r="D154" s="240" t="n">
        <v>46242</v>
      </c>
      <c r="E154" s="274" t="s">
        <v>623</v>
      </c>
      <c r="F154" s="178" t="str">
        <f aca="false">IF(AND(L154="🔄 SWAP ME",M154&lt;&gt;""),M154,IFERROR(INDEX($O$5:$O$375,MATCH(O154,$M$5:$M$375,0)),O154))</f>
        <v>Deep practice: Delta MERGE optimization on 1TB table — measure before/after</v>
      </c>
      <c r="G154" s="198" t="s">
        <v>368</v>
      </c>
      <c r="H154" s="39" t="n">
        <v>1</v>
      </c>
      <c r="I154" s="40" t="n">
        <v>2</v>
      </c>
      <c r="J154" s="41" t="n">
        <v>3</v>
      </c>
      <c r="K154" s="179" t="s">
        <v>1351</v>
      </c>
      <c r="L154" s="179" t="s">
        <v>1349</v>
      </c>
      <c r="M154" s="241"/>
      <c r="N154" s="316" t="str">
        <f aca="false">IF(AND(L154="🔄 SWAP ME",M154&lt;&gt;""),"⚡ SWAPPED","")</f>
        <v/>
      </c>
      <c r="O154" s="9" t="s">
        <v>879</v>
      </c>
      <c r="P154" s="317" t="str">
        <f aca="true">IF(AND(L154="🔄 SWAP ME",M154&lt;&gt;""),TODAY(),"")</f>
        <v/>
      </c>
      <c r="Q154" s="315" t="s">
        <v>880</v>
      </c>
    </row>
    <row r="155" customFormat="false" ht="19.5" hidden="false" customHeight="true" outlineLevel="0" collapsed="false">
      <c r="B155" s="327" t="s">
        <v>163</v>
      </c>
      <c r="C155" s="309" t="s">
        <v>517</v>
      </c>
      <c r="D155" s="240" t="n">
        <v>46243</v>
      </c>
      <c r="E155" s="274" t="s">
        <v>623</v>
      </c>
      <c r="F155" s="178" t="str">
        <f aca="false">IF(AND(L155="🔄 SWAP ME",M155&lt;&gt;""),M155,IFERROR(INDEX($O$5:$O$375,MATCH(O155,$M$5:$M$375,0)),O155))</f>
        <v>Review open table formats — build decision flowchart, interview Q&amp;A practice</v>
      </c>
      <c r="G155" s="198" t="s">
        <v>368</v>
      </c>
      <c r="H155" s="39" t="n">
        <v>1.5</v>
      </c>
      <c r="I155" s="40" t="n">
        <v>3</v>
      </c>
      <c r="J155" s="41" t="n">
        <v>4</v>
      </c>
      <c r="K155" s="179" t="s">
        <v>1352</v>
      </c>
      <c r="L155" s="179" t="s">
        <v>1349</v>
      </c>
      <c r="M155" s="241"/>
      <c r="N155" s="316" t="str">
        <f aca="false">IF(AND(L155="🔄 SWAP ME",M155&lt;&gt;""),"⚡ SWAPPED","")</f>
        <v/>
      </c>
      <c r="O155" s="9" t="s">
        <v>881</v>
      </c>
      <c r="P155" s="317" t="str">
        <f aca="true">IF(AND(L155="🔄 SWAP ME",M155&lt;&gt;""),TODAY(),"")</f>
        <v/>
      </c>
      <c r="Q155" s="315" t="s">
        <v>882</v>
      </c>
    </row>
    <row r="156" customFormat="false" ht="12" hidden="false" customHeight="true" outlineLevel="0" collapsed="false">
      <c r="B156" s="328" t="s">
        <v>1382</v>
      </c>
      <c r="C156" s="328"/>
      <c r="D156" s="328"/>
      <c r="E156" s="328"/>
      <c r="F156" s="328"/>
      <c r="G156" s="328"/>
      <c r="H156" s="328"/>
      <c r="I156" s="328"/>
      <c r="J156" s="328"/>
      <c r="K156" s="328"/>
      <c r="L156" s="328"/>
      <c r="M156" s="328"/>
      <c r="N156" s="328"/>
      <c r="O156" s="328"/>
      <c r="P156" s="328"/>
      <c r="Q156" s="328"/>
    </row>
    <row r="157" customFormat="false" ht="19.5" hidden="false" customHeight="true" outlineLevel="0" collapsed="false">
      <c r="B157" s="329" t="s">
        <v>164</v>
      </c>
      <c r="C157" s="273" t="s">
        <v>118</v>
      </c>
      <c r="D157" s="244" t="n">
        <v>46244</v>
      </c>
      <c r="E157" s="36" t="s">
        <v>617</v>
      </c>
      <c r="F157" s="37" t="str">
        <f aca="false">IF(AND(L157="🔄 SWAP ME",M157&lt;&gt;""),M157,IFERROR(INDEX($O$5:$O$375,MATCH(O157,$M$5:$M$375,0)),O157))</f>
        <v>Databricks: cluster types, DBR versions, Photon engine, Serverless compute</v>
      </c>
      <c r="G157" s="200" t="s">
        <v>382</v>
      </c>
      <c r="H157" s="39" t="n">
        <v>0.5</v>
      </c>
      <c r="I157" s="40" t="n">
        <v>1</v>
      </c>
      <c r="J157" s="41" t="n">
        <v>1.5</v>
      </c>
      <c r="K157" s="76" t="s">
        <v>1348</v>
      </c>
      <c r="L157" s="76" t="s">
        <v>1349</v>
      </c>
      <c r="M157" s="245"/>
      <c r="N157" s="63" t="str">
        <f aca="false">IF(AND(L157="🔄 SWAP ME",M157&lt;&gt;""),"⚡ SWAPPED","")</f>
        <v/>
      </c>
      <c r="O157" s="9" t="s">
        <v>884</v>
      </c>
      <c r="P157" s="314" t="str">
        <f aca="true">IF(AND(L157="🔄 SWAP ME",M157&lt;&gt;""),TODAY(),"")</f>
        <v/>
      </c>
      <c r="Q157" s="270" t="s">
        <v>885</v>
      </c>
    </row>
    <row r="158" customFormat="false" ht="19.5" hidden="false" customHeight="true" outlineLevel="0" collapsed="false">
      <c r="B158" s="329" t="s">
        <v>164</v>
      </c>
      <c r="C158" s="273" t="s">
        <v>123</v>
      </c>
      <c r="D158" s="244" t="n">
        <v>46245</v>
      </c>
      <c r="E158" s="274" t="s">
        <v>623</v>
      </c>
      <c r="F158" s="37" t="str">
        <f aca="false">IF(AND(L158="🔄 SWAP ME",M158&lt;&gt;""),M158,IFERROR(INDEX($O$5:$O$375,MATCH(O158,$M$5:$M$375,0)),O158))</f>
        <v>Unity Catalog: three-level namespace, managed vs external tables, grants, lineage</v>
      </c>
      <c r="G158" s="200" t="s">
        <v>382</v>
      </c>
      <c r="H158" s="39" t="n">
        <v>0.5</v>
      </c>
      <c r="I158" s="40" t="n">
        <v>1</v>
      </c>
      <c r="J158" s="41" t="n">
        <v>1.5</v>
      </c>
      <c r="K158" s="76" t="s">
        <v>1348</v>
      </c>
      <c r="L158" s="76" t="s">
        <v>1349</v>
      </c>
      <c r="M158" s="245"/>
      <c r="N158" s="63" t="str">
        <f aca="false">IF(AND(L158="🔄 SWAP ME",M158&lt;&gt;""),"⚡ SWAPPED","")</f>
        <v/>
      </c>
      <c r="O158" s="9" t="s">
        <v>886</v>
      </c>
      <c r="P158" s="314" t="str">
        <f aca="true">IF(AND(L158="🔄 SWAP ME",M158&lt;&gt;""),TODAY(),"")</f>
        <v/>
      </c>
      <c r="Q158" s="315" t="s">
        <v>887</v>
      </c>
    </row>
    <row r="159" customFormat="false" ht="19.5" hidden="false" customHeight="true" outlineLevel="0" collapsed="false">
      <c r="B159" s="329" t="s">
        <v>164</v>
      </c>
      <c r="C159" s="273" t="s">
        <v>126</v>
      </c>
      <c r="D159" s="244" t="n">
        <v>46246</v>
      </c>
      <c r="E159" s="274" t="s">
        <v>623</v>
      </c>
      <c r="F159" s="37" t="str">
        <f aca="false">IF(AND(L159="🔄 SWAP ME",M159&lt;&gt;""),M159,IFERROR(INDEX($O$5:$O$375,MATCH(O159,$M$5:$M$375,0)),O159))</f>
        <v>Unity Catalog: column masking, row filters, dynamic views, audit logs, Delta Sharing</v>
      </c>
      <c r="G159" s="200" t="s">
        <v>382</v>
      </c>
      <c r="H159" s="39" t="n">
        <v>0.5</v>
      </c>
      <c r="I159" s="40" t="n">
        <v>1</v>
      </c>
      <c r="J159" s="41" t="n">
        <v>1.5</v>
      </c>
      <c r="K159" s="76" t="s">
        <v>1348</v>
      </c>
      <c r="L159" s="76" t="s">
        <v>1349</v>
      </c>
      <c r="M159" s="245"/>
      <c r="N159" s="63" t="str">
        <f aca="false">IF(AND(L159="🔄 SWAP ME",M159&lt;&gt;""),"⚡ SWAPPED","")</f>
        <v/>
      </c>
      <c r="O159" s="9" t="s">
        <v>888</v>
      </c>
      <c r="P159" s="314" t="str">
        <f aca="true">IF(AND(L159="🔄 SWAP ME",M159&lt;&gt;""),TODAY(),"")</f>
        <v/>
      </c>
      <c r="Q159" s="315" t="s">
        <v>889</v>
      </c>
    </row>
    <row r="160" customFormat="false" ht="19.5" hidden="false" customHeight="true" outlineLevel="0" collapsed="false">
      <c r="B160" s="329" t="s">
        <v>164</v>
      </c>
      <c r="C160" s="273" t="s">
        <v>130</v>
      </c>
      <c r="D160" s="244" t="n">
        <v>46247</v>
      </c>
      <c r="E160" s="274" t="s">
        <v>623</v>
      </c>
      <c r="F160" s="37" t="str">
        <f aca="false">IF(AND(L160="🔄 SWAP ME",M160&lt;&gt;""),M160,IFERROR(INDEX($O$5:$O$375,MATCH(O160,$M$5:$M$375,0)),O160))</f>
        <v>Lakeflow DLT: @dlt.table, @dlt.expect, CDC with APPLY CHANGES INTO, pipeline modes</v>
      </c>
      <c r="G160" s="200" t="s">
        <v>382</v>
      </c>
      <c r="H160" s="39" t="n">
        <v>0.5</v>
      </c>
      <c r="I160" s="40" t="n">
        <v>1</v>
      </c>
      <c r="J160" s="41" t="n">
        <v>1.5</v>
      </c>
      <c r="K160" s="76" t="s">
        <v>1348</v>
      </c>
      <c r="L160" s="76" t="s">
        <v>1349</v>
      </c>
      <c r="M160" s="245"/>
      <c r="N160" s="63" t="str">
        <f aca="false">IF(AND(L160="🔄 SWAP ME",M160&lt;&gt;""),"⚡ SWAPPED","")</f>
        <v/>
      </c>
      <c r="O160" s="9" t="s">
        <v>890</v>
      </c>
      <c r="P160" s="314" t="str">
        <f aca="true">IF(AND(L160="🔄 SWAP ME",M160&lt;&gt;""),TODAY(),"")</f>
        <v/>
      </c>
      <c r="Q160" s="315" t="s">
        <v>891</v>
      </c>
    </row>
    <row r="161" customFormat="false" ht="19.5" hidden="false" customHeight="true" outlineLevel="0" collapsed="false">
      <c r="B161" s="329" t="s">
        <v>164</v>
      </c>
      <c r="C161" s="273" t="s">
        <v>133</v>
      </c>
      <c r="D161" s="244" t="n">
        <v>46248</v>
      </c>
      <c r="E161" s="274" t="s">
        <v>623</v>
      </c>
      <c r="F161" s="37" t="str">
        <f aca="false">IF(AND(L161="🔄 SWAP ME",M161&lt;&gt;""),M161,IFERROR(INDEX($O$5:$O$375,MATCH(O161,$M$5:$M$375,0)),O161))</f>
        <v>DSA: Amazon top 30 problems — LeetCode company filter, medium+hard, timed</v>
      </c>
      <c r="G161" s="200" t="s">
        <v>382</v>
      </c>
      <c r="H161" s="39" t="n">
        <v>0.3</v>
      </c>
      <c r="I161" s="40" t="n">
        <v>0.5</v>
      </c>
      <c r="J161" s="41" t="n">
        <v>0.75</v>
      </c>
      <c r="K161" s="76" t="s">
        <v>1348</v>
      </c>
      <c r="L161" s="76" t="s">
        <v>1349</v>
      </c>
      <c r="M161" s="245"/>
      <c r="N161" s="63" t="str">
        <f aca="false">IF(AND(L161="🔄 SWAP ME",M161&lt;&gt;""),"⚡ SWAPPED","")</f>
        <v/>
      </c>
      <c r="O161" s="9" t="s">
        <v>892</v>
      </c>
      <c r="P161" s="314" t="str">
        <f aca="true">IF(AND(L161="🔄 SWAP ME",M161&lt;&gt;""),TODAY(),"")</f>
        <v/>
      </c>
      <c r="Q161" s="315" t="s">
        <v>893</v>
      </c>
    </row>
    <row r="162" customFormat="false" ht="19.5" hidden="false" customHeight="true" outlineLevel="0" collapsed="false">
      <c r="B162" s="329" t="s">
        <v>164</v>
      </c>
      <c r="C162" s="309" t="s">
        <v>516</v>
      </c>
      <c r="D162" s="240" t="n">
        <v>46249</v>
      </c>
      <c r="E162" s="274" t="s">
        <v>623</v>
      </c>
      <c r="F162" s="178" t="str">
        <f aca="false">IF(AND(L162="🔄 SWAP ME",M162&lt;&gt;""),M162,IFERROR(INDEX($O$5:$O$375,MATCH(O162,$M$5:$M$375,0)),O162))</f>
        <v>Databricks Asset Bundles (DABs): bundle.yml, deploy, CI/CD with GitHub Actions</v>
      </c>
      <c r="G162" s="200" t="s">
        <v>382</v>
      </c>
      <c r="H162" s="39" t="n">
        <v>1</v>
      </c>
      <c r="I162" s="40" t="n">
        <v>1.5</v>
      </c>
      <c r="J162" s="41" t="n">
        <v>2</v>
      </c>
      <c r="K162" s="179" t="s">
        <v>1351</v>
      </c>
      <c r="L162" s="179" t="s">
        <v>1349</v>
      </c>
      <c r="M162" s="241"/>
      <c r="N162" s="316" t="str">
        <f aca="false">IF(AND(L162="🔄 SWAP ME",M162&lt;&gt;""),"⚡ SWAPPED","")</f>
        <v/>
      </c>
      <c r="O162" s="9" t="s">
        <v>894</v>
      </c>
      <c r="P162" s="317" t="str">
        <f aca="true">IF(AND(L162="🔄 SWAP ME",M162&lt;&gt;""),TODAY(),"")</f>
        <v/>
      </c>
      <c r="Q162" s="315" t="s">
        <v>895</v>
      </c>
    </row>
    <row r="163" customFormat="false" ht="19.5" hidden="false" customHeight="true" outlineLevel="0" collapsed="false">
      <c r="B163" s="329" t="s">
        <v>164</v>
      </c>
      <c r="C163" s="309" t="s">
        <v>517</v>
      </c>
      <c r="D163" s="240" t="n">
        <v>46250</v>
      </c>
      <c r="E163" s="274" t="s">
        <v>623</v>
      </c>
      <c r="F163" s="178" t="str">
        <f aca="false">IF(AND(L163="🔄 SWAP ME",M163&lt;&gt;""),M163,IFERROR(INDEX($O$5:$O$375,MATCH(O163,$M$5:$M$375,0)),O163))</f>
        <v>📅 DATABRICKS DE ASSOCIATE EXAM PREP: 60 questions timed (SkillCertPro)</v>
      </c>
      <c r="G163" s="200" t="s">
        <v>382</v>
      </c>
      <c r="H163" s="39" t="n">
        <v>1.5</v>
      </c>
      <c r="I163" s="40" t="n">
        <v>3</v>
      </c>
      <c r="J163" s="41" t="n">
        <v>4</v>
      </c>
      <c r="K163" s="179" t="s">
        <v>1352</v>
      </c>
      <c r="L163" s="179" t="s">
        <v>1349</v>
      </c>
      <c r="M163" s="241"/>
      <c r="N163" s="316" t="str">
        <f aca="false">IF(AND(L163="🔄 SWAP ME",M163&lt;&gt;""),"⚡ SWAPPED","")</f>
        <v/>
      </c>
      <c r="O163" s="9" t="s">
        <v>896</v>
      </c>
      <c r="P163" s="317" t="str">
        <f aca="true">IF(AND(L163="🔄 SWAP ME",M163&lt;&gt;""),TODAY(),"")</f>
        <v/>
      </c>
      <c r="Q163" s="315" t="s">
        <v>897</v>
      </c>
    </row>
    <row r="164" customFormat="false" ht="12" hidden="false" customHeight="true" outlineLevel="0" collapsed="false">
      <c r="B164" s="328" t="s">
        <v>1383</v>
      </c>
      <c r="C164" s="328"/>
      <c r="D164" s="328"/>
      <c r="E164" s="328"/>
      <c r="F164" s="328"/>
      <c r="G164" s="328"/>
      <c r="H164" s="328"/>
      <c r="I164" s="328"/>
      <c r="J164" s="328"/>
      <c r="K164" s="328"/>
      <c r="L164" s="328"/>
      <c r="M164" s="328"/>
      <c r="N164" s="328"/>
      <c r="O164" s="328"/>
      <c r="P164" s="328"/>
      <c r="Q164" s="328"/>
    </row>
    <row r="165" customFormat="false" ht="19.5" hidden="false" customHeight="true" outlineLevel="0" collapsed="false">
      <c r="B165" s="329" t="s">
        <v>165</v>
      </c>
      <c r="C165" s="273" t="s">
        <v>118</v>
      </c>
      <c r="D165" s="244" t="n">
        <v>46251</v>
      </c>
      <c r="E165" s="274" t="s">
        <v>623</v>
      </c>
      <c r="F165" s="37" t="str">
        <f aca="false">IF(AND(L165="🔄 SWAP ME",M165&lt;&gt;""),M165,IFERROR(INDEX($O$5:$O$375,MATCH(O165,$M$5:$M$375,0)),O165))</f>
        <v>📅 EXAM DAY — Databricks Certified Data Engineer Associate</v>
      </c>
      <c r="G165" s="200" t="s">
        <v>382</v>
      </c>
      <c r="H165" s="39" t="n">
        <v>1</v>
      </c>
      <c r="I165" s="40" t="n">
        <v>1.5</v>
      </c>
      <c r="J165" s="41" t="n">
        <v>2</v>
      </c>
      <c r="K165" s="76" t="s">
        <v>1351</v>
      </c>
      <c r="L165" s="76" t="s">
        <v>1349</v>
      </c>
      <c r="M165" s="245"/>
      <c r="N165" s="63" t="str">
        <f aca="false">IF(AND(L165="🔄 SWAP ME",M165&lt;&gt;""),"⚡ SWAPPED","")</f>
        <v/>
      </c>
      <c r="O165" s="9" t="s">
        <v>898</v>
      </c>
      <c r="P165" s="314" t="str">
        <f aca="true">IF(AND(L165="🔄 SWAP ME",M165&lt;&gt;""),TODAY(),"")</f>
        <v/>
      </c>
      <c r="Q165" s="315" t="s">
        <v>899</v>
      </c>
    </row>
    <row r="166" customFormat="false" ht="19.5" hidden="false" customHeight="true" outlineLevel="0" collapsed="false">
      <c r="B166" s="329" t="s">
        <v>165</v>
      </c>
      <c r="C166" s="273" t="s">
        <v>123</v>
      </c>
      <c r="D166" s="244" t="n">
        <v>46252</v>
      </c>
      <c r="E166" s="36" t="s">
        <v>617</v>
      </c>
      <c r="F166" s="37" t="str">
        <f aca="false">IF(AND(L166="🔄 SWAP ME",M166&lt;&gt;""),M166,IFERROR(INDEX($O$5:$O$375,MATCH(O166,$M$5:$M$375,0)),O166))</f>
        <v>Databricks: system tables, Spark UI mastery, Query Profiler, cost monitoring</v>
      </c>
      <c r="G166" s="200" t="s">
        <v>382</v>
      </c>
      <c r="H166" s="39" t="n">
        <v>0.5</v>
      </c>
      <c r="I166" s="40" t="n">
        <v>1</v>
      </c>
      <c r="J166" s="41" t="n">
        <v>1.5</v>
      </c>
      <c r="K166" s="76" t="s">
        <v>1348</v>
      </c>
      <c r="L166" s="76" t="s">
        <v>1349</v>
      </c>
      <c r="M166" s="245"/>
      <c r="N166" s="63" t="str">
        <f aca="false">IF(AND(L166="🔄 SWAP ME",M166&lt;&gt;""),"⚡ SWAPPED","")</f>
        <v/>
      </c>
      <c r="O166" s="9" t="s">
        <v>900</v>
      </c>
      <c r="P166" s="314" t="str">
        <f aca="true">IF(AND(L166="🔄 SWAP ME",M166&lt;&gt;""),TODAY(),"")</f>
        <v/>
      </c>
      <c r="Q166" s="315" t="s">
        <v>901</v>
      </c>
    </row>
    <row r="167" customFormat="false" ht="19.5" hidden="false" customHeight="true" outlineLevel="0" collapsed="false">
      <c r="B167" s="329" t="s">
        <v>165</v>
      </c>
      <c r="C167" s="273" t="s">
        <v>126</v>
      </c>
      <c r="D167" s="244" t="n">
        <v>46253</v>
      </c>
      <c r="E167" s="36" t="s">
        <v>617</v>
      </c>
      <c r="F167" s="37" t="str">
        <f aca="false">IF(AND(L167="🔄 SWAP ME",M167&lt;&gt;""),M167,IFERROR(INDEX($O$5:$O$375,MATCH(O167,$M$5:$M$375,0)),O167))</f>
        <v>Databricks: MLflow (experiment tracking, model registry, LLM tracing)</v>
      </c>
      <c r="G167" s="200" t="s">
        <v>382</v>
      </c>
      <c r="H167" s="39" t="n">
        <v>0.5</v>
      </c>
      <c r="I167" s="40" t="n">
        <v>0.75</v>
      </c>
      <c r="J167" s="41" t="n">
        <v>1</v>
      </c>
      <c r="K167" s="76" t="s">
        <v>1348</v>
      </c>
      <c r="L167" s="76" t="s">
        <v>1349</v>
      </c>
      <c r="M167" s="245"/>
      <c r="N167" s="63" t="str">
        <f aca="false">IF(AND(L167="🔄 SWAP ME",M167&lt;&gt;""),"⚡ SWAPPED","")</f>
        <v/>
      </c>
      <c r="O167" s="9" t="s">
        <v>902</v>
      </c>
      <c r="P167" s="314" t="str">
        <f aca="true">IF(AND(L167="🔄 SWAP ME",M167&lt;&gt;""),TODAY(),"")</f>
        <v/>
      </c>
      <c r="Q167" s="315" t="s">
        <v>903</v>
      </c>
    </row>
    <row r="168" customFormat="false" ht="19.5" hidden="false" customHeight="true" outlineLevel="0" collapsed="false">
      <c r="B168" s="329" t="s">
        <v>165</v>
      </c>
      <c r="C168" s="273" t="s">
        <v>130</v>
      </c>
      <c r="D168" s="244" t="n">
        <v>46254</v>
      </c>
      <c r="E168" s="36" t="s">
        <v>617</v>
      </c>
      <c r="F168" s="37" t="str">
        <f aca="false">IF(AND(L168="🔄 SWAP ME",M168&lt;&gt;""),M168,IFERROR(INDEX($O$5:$O$375,MATCH(O168,$M$5:$M$375,0)),O168))</f>
        <v>Databricks: Lakehouse Federation, serverless jobs, SQL Alerts, DABs CI/CD deep</v>
      </c>
      <c r="G168" s="200" t="s">
        <v>382</v>
      </c>
      <c r="H168" s="39" t="n">
        <v>0.5</v>
      </c>
      <c r="I168" s="40" t="n">
        <v>1</v>
      </c>
      <c r="J168" s="41" t="n">
        <v>1.5</v>
      </c>
      <c r="K168" s="76" t="s">
        <v>1348</v>
      </c>
      <c r="L168" s="76" t="s">
        <v>1349</v>
      </c>
      <c r="M168" s="245"/>
      <c r="N168" s="63" t="str">
        <f aca="false">IF(AND(L168="🔄 SWAP ME",M168&lt;&gt;""),"⚡ SWAPPED","")</f>
        <v/>
      </c>
      <c r="O168" s="9" t="s">
        <v>904</v>
      </c>
      <c r="P168" s="314" t="str">
        <f aca="true">IF(AND(L168="🔄 SWAP ME",M168&lt;&gt;""),TODAY(),"")</f>
        <v/>
      </c>
      <c r="Q168" s="315" t="s">
        <v>905</v>
      </c>
    </row>
    <row r="169" customFormat="false" ht="19.5" hidden="false" customHeight="true" outlineLevel="0" collapsed="false">
      <c r="B169" s="329" t="s">
        <v>165</v>
      </c>
      <c r="C169" s="273" t="s">
        <v>133</v>
      </c>
      <c r="D169" s="244" t="n">
        <v>46255</v>
      </c>
      <c r="E169" s="274" t="s">
        <v>623</v>
      </c>
      <c r="F169" s="37" t="str">
        <f aca="false">IF(AND(L169="🔄 SWAP ME",M169&lt;&gt;""),M169,IFERROR(INDEX($O$5:$O$375,MATCH(O169,$M$5:$M$375,0)),O169))</f>
        <v>DSA: Flipkart top 30 problems — LeetCode company filter, timed</v>
      </c>
      <c r="G169" s="200" t="s">
        <v>382</v>
      </c>
      <c r="H169" s="39" t="n">
        <v>0.3</v>
      </c>
      <c r="I169" s="40" t="n">
        <v>0.5</v>
      </c>
      <c r="J169" s="41" t="n">
        <v>0.75</v>
      </c>
      <c r="K169" s="76" t="s">
        <v>1348</v>
      </c>
      <c r="L169" s="76" t="s">
        <v>1349</v>
      </c>
      <c r="M169" s="245"/>
      <c r="N169" s="63" t="str">
        <f aca="false">IF(AND(L169="🔄 SWAP ME",M169&lt;&gt;""),"⚡ SWAPPED","")</f>
        <v/>
      </c>
      <c r="O169" s="9" t="s">
        <v>906</v>
      </c>
      <c r="P169" s="314" t="str">
        <f aca="true">IF(AND(L169="🔄 SWAP ME",M169&lt;&gt;""),TODAY(),"")</f>
        <v/>
      </c>
      <c r="Q169" s="315" t="s">
        <v>907</v>
      </c>
    </row>
    <row r="170" customFormat="false" ht="19.5" hidden="false" customHeight="true" outlineLevel="0" collapsed="false">
      <c r="B170" s="329" t="s">
        <v>165</v>
      </c>
      <c r="C170" s="309" t="s">
        <v>516</v>
      </c>
      <c r="D170" s="240" t="n">
        <v>46256</v>
      </c>
      <c r="E170" s="274" t="s">
        <v>623</v>
      </c>
      <c r="F170" s="178" t="str">
        <f aca="false">IF(AND(L170="🔄 SWAP ME",M170&lt;&gt;""),M170,IFERROR(INDEX($O$5:$O$375,MATCH(O170,$M$5:$M$375,0)),O170))</f>
        <v>📅 DE PROFESSIONAL EXAM PREP: SkillCertPro 65 questions timed</v>
      </c>
      <c r="G170" s="200" t="s">
        <v>382</v>
      </c>
      <c r="H170" s="39" t="n">
        <v>2</v>
      </c>
      <c r="I170" s="40" t="n">
        <v>3</v>
      </c>
      <c r="J170" s="41" t="n">
        <v>4</v>
      </c>
      <c r="K170" s="179" t="s">
        <v>1352</v>
      </c>
      <c r="L170" s="179" t="s">
        <v>1349</v>
      </c>
      <c r="M170" s="241"/>
      <c r="N170" s="316" t="str">
        <f aca="false">IF(AND(L170="🔄 SWAP ME",M170&lt;&gt;""),"⚡ SWAPPED","")</f>
        <v/>
      </c>
      <c r="O170" s="9" t="s">
        <v>908</v>
      </c>
      <c r="P170" s="317" t="str">
        <f aca="true">IF(AND(L170="🔄 SWAP ME",M170&lt;&gt;""),TODAY(),"")</f>
        <v/>
      </c>
      <c r="Q170" s="315" t="s">
        <v>1384</v>
      </c>
    </row>
    <row r="171" customFormat="false" ht="19.5" hidden="false" customHeight="true" outlineLevel="0" collapsed="false">
      <c r="B171" s="329" t="s">
        <v>165</v>
      </c>
      <c r="C171" s="309" t="s">
        <v>517</v>
      </c>
      <c r="D171" s="240" t="n">
        <v>46257</v>
      </c>
      <c r="E171" s="274" t="s">
        <v>623</v>
      </c>
      <c r="F171" s="178" t="str">
        <f aca="false">IF(AND(L171="🔄 SWAP ME",M171&lt;&gt;""),M171,IFERROR(INDEX($O$5:$O$375,MATCH(O171,$M$5:$M$375,0)),O171))</f>
        <v>📅 EXAM DAY — Databricks Certified Data Engineer Professional</v>
      </c>
      <c r="G171" s="200" t="s">
        <v>382</v>
      </c>
      <c r="H171" s="39" t="n">
        <v>1</v>
      </c>
      <c r="I171" s="40" t="n">
        <v>1.5</v>
      </c>
      <c r="J171" s="41" t="n">
        <v>2</v>
      </c>
      <c r="K171" s="179" t="s">
        <v>1351</v>
      </c>
      <c r="L171" s="179" t="s">
        <v>1349</v>
      </c>
      <c r="M171" s="241"/>
      <c r="N171" s="316" t="str">
        <f aca="false">IF(AND(L171="🔄 SWAP ME",M171&lt;&gt;""),"⚡ SWAPPED","")</f>
        <v/>
      </c>
      <c r="O171" s="9" t="s">
        <v>910</v>
      </c>
      <c r="P171" s="317" t="str">
        <f aca="true">IF(AND(L171="🔄 SWAP ME",M171&lt;&gt;""),TODAY(),"")</f>
        <v/>
      </c>
      <c r="Q171" s="315" t="s">
        <v>911</v>
      </c>
    </row>
    <row r="172" customFormat="false" ht="12" hidden="false" customHeight="true" outlineLevel="0" collapsed="false">
      <c r="B172" s="320" t="s">
        <v>1385</v>
      </c>
      <c r="C172" s="320"/>
      <c r="D172" s="320"/>
      <c r="E172" s="320"/>
      <c r="F172" s="320"/>
      <c r="G172" s="320"/>
      <c r="H172" s="320"/>
      <c r="I172" s="320"/>
      <c r="J172" s="320"/>
      <c r="K172" s="320"/>
      <c r="L172" s="320"/>
      <c r="M172" s="320"/>
      <c r="N172" s="320"/>
      <c r="O172" s="320"/>
      <c r="P172" s="320"/>
      <c r="Q172" s="320"/>
    </row>
    <row r="173" customFormat="false" ht="19.5" hidden="false" customHeight="true" outlineLevel="0" collapsed="false">
      <c r="B173" s="25" t="s">
        <v>166</v>
      </c>
      <c r="C173" s="273" t="s">
        <v>118</v>
      </c>
      <c r="D173" s="244" t="n">
        <v>46258</v>
      </c>
      <c r="E173" s="274" t="s">
        <v>623</v>
      </c>
      <c r="F173" s="37" t="str">
        <f aca="false">IF(AND(L173="🔄 SWAP ME",M173&lt;&gt;""),M173,IFERROR(INDEX($O$5:$O$375,MATCH(O173,$M$5:$M$375,0)),O173))</f>
        <v>Airflow: architecture (Webserver/Scheduler/Executor/Metadata DB), DAGs, operators</v>
      </c>
      <c r="G173" s="185" t="s">
        <v>397</v>
      </c>
      <c r="H173" s="39" t="n">
        <v>0.5</v>
      </c>
      <c r="I173" s="40" t="n">
        <v>1</v>
      </c>
      <c r="J173" s="41" t="n">
        <v>1.5</v>
      </c>
      <c r="K173" s="76" t="s">
        <v>1348</v>
      </c>
      <c r="L173" s="76" t="s">
        <v>1349</v>
      </c>
      <c r="M173" s="245"/>
      <c r="N173" s="63" t="str">
        <f aca="false">IF(AND(L173="🔄 SWAP ME",M173&lt;&gt;""),"⚡ SWAPPED","")</f>
        <v/>
      </c>
      <c r="O173" s="9" t="s">
        <v>913</v>
      </c>
      <c r="P173" s="314" t="str">
        <f aca="true">IF(AND(L173="🔄 SWAP ME",M173&lt;&gt;""),TODAY(),"")</f>
        <v/>
      </c>
      <c r="Q173" s="270" t="s">
        <v>914</v>
      </c>
    </row>
    <row r="174" customFormat="false" ht="19.5" hidden="false" customHeight="true" outlineLevel="0" collapsed="false">
      <c r="B174" s="25" t="s">
        <v>166</v>
      </c>
      <c r="C174" s="273" t="s">
        <v>123</v>
      </c>
      <c r="D174" s="244" t="n">
        <v>46259</v>
      </c>
      <c r="E174" s="36" t="s">
        <v>617</v>
      </c>
      <c r="F174" s="37" t="str">
        <f aca="false">IF(AND(L174="🔄 SWAP ME",M174&lt;&gt;""),M174,IFERROR(INDEX($O$5:$O$375,MATCH(O174,$M$5:$M$375,0)),O174))</f>
        <v>Airflow: Sensors (poke vs reschedule), Hooks, XComs, Pools, Variables, Connections</v>
      </c>
      <c r="G174" s="185" t="s">
        <v>397</v>
      </c>
      <c r="H174" s="39" t="n">
        <v>0.5</v>
      </c>
      <c r="I174" s="40" t="n">
        <v>1</v>
      </c>
      <c r="J174" s="41" t="n">
        <v>1.5</v>
      </c>
      <c r="K174" s="76" t="s">
        <v>1348</v>
      </c>
      <c r="L174" s="76" t="s">
        <v>1349</v>
      </c>
      <c r="M174" s="245"/>
      <c r="N174" s="63" t="str">
        <f aca="false">IF(AND(L174="🔄 SWAP ME",M174&lt;&gt;""),"⚡ SWAPPED","")</f>
        <v/>
      </c>
      <c r="O174" s="9" t="s">
        <v>915</v>
      </c>
      <c r="P174" s="314" t="str">
        <f aca="true">IF(AND(L174="🔄 SWAP ME",M174&lt;&gt;""),TODAY(),"")</f>
        <v/>
      </c>
      <c r="Q174" s="315" t="s">
        <v>914</v>
      </c>
    </row>
    <row r="175" customFormat="false" ht="19.5" hidden="false" customHeight="true" outlineLevel="0" collapsed="false">
      <c r="B175" s="25" t="s">
        <v>166</v>
      </c>
      <c r="C175" s="273" t="s">
        <v>126</v>
      </c>
      <c r="D175" s="244" t="n">
        <v>46260</v>
      </c>
      <c r="E175" s="36" t="s">
        <v>617</v>
      </c>
      <c r="F175" s="37" t="str">
        <f aca="false">IF(AND(L175="🔄 SWAP ME",M175&lt;&gt;""),M175,IFERROR(INDEX($O$5:$O$375,MATCH(O175,$M$5:$M$375,0)),O175))</f>
        <v>Airflow: TaskFlow API, dynamic task mapping, dataset-aware scheduling (Airflow 2.4+)</v>
      </c>
      <c r="G175" s="185" t="s">
        <v>397</v>
      </c>
      <c r="H175" s="39" t="n">
        <v>0.5</v>
      </c>
      <c r="I175" s="40" t="n">
        <v>1</v>
      </c>
      <c r="J175" s="41" t="n">
        <v>1.5</v>
      </c>
      <c r="K175" s="76" t="s">
        <v>1348</v>
      </c>
      <c r="L175" s="76" t="s">
        <v>1349</v>
      </c>
      <c r="M175" s="245"/>
      <c r="N175" s="63" t="str">
        <f aca="false">IF(AND(L175="🔄 SWAP ME",M175&lt;&gt;""),"⚡ SWAPPED","")</f>
        <v/>
      </c>
      <c r="O175" s="9" t="s">
        <v>916</v>
      </c>
      <c r="P175" s="314" t="str">
        <f aca="true">IF(AND(L175="🔄 SWAP ME",M175&lt;&gt;""),TODAY(),"")</f>
        <v/>
      </c>
      <c r="Q175" s="315" t="s">
        <v>917</v>
      </c>
    </row>
    <row r="176" customFormat="false" ht="19.5" hidden="false" customHeight="true" outlineLevel="0" collapsed="false">
      <c r="B176" s="25" t="s">
        <v>166</v>
      </c>
      <c r="C176" s="273" t="s">
        <v>130</v>
      </c>
      <c r="D176" s="244" t="n">
        <v>46261</v>
      </c>
      <c r="E176" s="36" t="s">
        <v>617</v>
      </c>
      <c r="F176" s="37" t="str">
        <f aca="false">IF(AND(L176="🔄 SWAP ME",M176&lt;&gt;""),M176,IFERROR(INDEX($O$5:$O$375,MATCH(O176,$M$5:$M$375,0)),O176))</f>
        <v>Airflow: Backfilling, idempotent DAGs, testing DAGs, monitoring, SLA miss callbacks</v>
      </c>
      <c r="G176" s="185" t="s">
        <v>397</v>
      </c>
      <c r="H176" s="39" t="n">
        <v>0.5</v>
      </c>
      <c r="I176" s="40" t="n">
        <v>0.75</v>
      </c>
      <c r="J176" s="41" t="n">
        <v>1</v>
      </c>
      <c r="K176" s="76" t="s">
        <v>1348</v>
      </c>
      <c r="L176" s="76" t="s">
        <v>1349</v>
      </c>
      <c r="M176" s="245"/>
      <c r="N176" s="63" t="str">
        <f aca="false">IF(AND(L176="🔄 SWAP ME",M176&lt;&gt;""),"⚡ SWAPPED","")</f>
        <v/>
      </c>
      <c r="O176" s="9" t="s">
        <v>918</v>
      </c>
      <c r="P176" s="314" t="str">
        <f aca="true">IF(AND(L176="🔄 SWAP ME",M176&lt;&gt;""),TODAY(),"")</f>
        <v/>
      </c>
      <c r="Q176" s="315" t="s">
        <v>403</v>
      </c>
    </row>
    <row r="177" customFormat="false" ht="19.5" hidden="false" customHeight="true" outlineLevel="0" collapsed="false">
      <c r="B177" s="25" t="s">
        <v>166</v>
      </c>
      <c r="C177" s="273" t="s">
        <v>133</v>
      </c>
      <c r="D177" s="244" t="n">
        <v>46262</v>
      </c>
      <c r="E177" s="274" t="s">
        <v>623</v>
      </c>
      <c r="F177" s="37" t="str">
        <f aca="false">IF(AND(L177="🔄 SWAP ME",M177&lt;&gt;""),M177,IFERROR(INDEX($O$5:$O$375,MATCH(O177,$M$5:$M$375,0)),O177))</f>
        <v>DSA: Hard Mixed — Trapping Rain Water, Median of Two Sorted Arrays</v>
      </c>
      <c r="G177" s="185" t="s">
        <v>397</v>
      </c>
      <c r="H177" s="39" t="n">
        <v>0.3</v>
      </c>
      <c r="I177" s="40" t="n">
        <v>0.5</v>
      </c>
      <c r="J177" s="41" t="n">
        <v>0.75</v>
      </c>
      <c r="K177" s="76" t="s">
        <v>1348</v>
      </c>
      <c r="L177" s="76" t="s">
        <v>1349</v>
      </c>
      <c r="M177" s="245"/>
      <c r="N177" s="63" t="str">
        <f aca="false">IF(AND(L177="🔄 SWAP ME",M177&lt;&gt;""),"⚡ SWAPPED","")</f>
        <v/>
      </c>
      <c r="O177" s="9" t="s">
        <v>919</v>
      </c>
      <c r="P177" s="314" t="str">
        <f aca="true">IF(AND(L177="🔄 SWAP ME",M177&lt;&gt;""),TODAY(),"")</f>
        <v/>
      </c>
      <c r="Q177" s="315" t="s">
        <v>920</v>
      </c>
    </row>
    <row r="178" customFormat="false" ht="19.5" hidden="false" customHeight="true" outlineLevel="0" collapsed="false">
      <c r="B178" s="25" t="s">
        <v>166</v>
      </c>
      <c r="C178" s="309" t="s">
        <v>516</v>
      </c>
      <c r="D178" s="240" t="n">
        <v>46263</v>
      </c>
      <c r="E178" s="36" t="s">
        <v>617</v>
      </c>
      <c r="F178" s="178" t="str">
        <f aca="false">IF(AND(L178="🔄 SWAP ME",M178&lt;&gt;""),M178,IFERROR(INDEX($O$5:$O$375,MATCH(O178,$M$5:$M$375,0)),O178))</f>
        <v>AWS MWAA: setup, DAG S3 bucket, requirements.txt, plugins, env variables, scaling</v>
      </c>
      <c r="G178" s="185" t="s">
        <v>397</v>
      </c>
      <c r="H178" s="39" t="n">
        <v>1</v>
      </c>
      <c r="I178" s="40" t="n">
        <v>1.5</v>
      </c>
      <c r="J178" s="41" t="n">
        <v>2</v>
      </c>
      <c r="K178" s="179" t="s">
        <v>1351</v>
      </c>
      <c r="L178" s="179" t="s">
        <v>1349</v>
      </c>
      <c r="M178" s="241"/>
      <c r="N178" s="316" t="str">
        <f aca="false">IF(AND(L178="🔄 SWAP ME",M178&lt;&gt;""),"⚡ SWAPPED","")</f>
        <v/>
      </c>
      <c r="O178" s="9" t="s">
        <v>921</v>
      </c>
      <c r="P178" s="317" t="str">
        <f aca="true">IF(AND(L178="🔄 SWAP ME",M178&lt;&gt;""),TODAY(),"")</f>
        <v/>
      </c>
      <c r="Q178" s="315" t="s">
        <v>922</v>
      </c>
    </row>
    <row r="179" customFormat="false" ht="19.5" hidden="false" customHeight="true" outlineLevel="0" collapsed="false">
      <c r="B179" s="25" t="s">
        <v>166</v>
      </c>
      <c r="C179" s="309" t="s">
        <v>517</v>
      </c>
      <c r="D179" s="240" t="n">
        <v>46264</v>
      </c>
      <c r="E179" s="274" t="s">
        <v>623</v>
      </c>
      <c r="F179" s="178" t="str">
        <f aca="false">IF(AND(L179="🔄 SWAP ME",M179&lt;&gt;""),M179,IFERROR(INDEX($O$5:$O$375,MATCH(O179,$M$5:$M$375,0)),O179))</f>
        <v>P14: Flight booking pipeline with Airflow + CICD (from course project)</v>
      </c>
      <c r="G179" s="185" t="s">
        <v>397</v>
      </c>
      <c r="H179" s="39" t="n">
        <v>1.5</v>
      </c>
      <c r="I179" s="40" t="n">
        <v>3</v>
      </c>
      <c r="J179" s="41" t="n">
        <v>5</v>
      </c>
      <c r="K179" s="179" t="s">
        <v>1352</v>
      </c>
      <c r="L179" s="179" t="s">
        <v>1349</v>
      </c>
      <c r="M179" s="241"/>
      <c r="N179" s="316" t="str">
        <f aca="false">IF(AND(L179="🔄 SWAP ME",M179&lt;&gt;""),"⚡ SWAPPED","")</f>
        <v/>
      </c>
      <c r="O179" s="9" t="s">
        <v>923</v>
      </c>
      <c r="P179" s="317" t="str">
        <f aca="true">IF(AND(L179="🔄 SWAP ME",M179&lt;&gt;""),TODAY(),"")</f>
        <v/>
      </c>
      <c r="Q179" s="270" t="s">
        <v>924</v>
      </c>
    </row>
    <row r="180" customFormat="false" ht="12" hidden="false" customHeight="true" outlineLevel="0" collapsed="false">
      <c r="B180" s="324" t="s">
        <v>1386</v>
      </c>
      <c r="C180" s="324"/>
      <c r="D180" s="324"/>
      <c r="E180" s="324"/>
      <c r="F180" s="324"/>
      <c r="G180" s="324"/>
      <c r="H180" s="324"/>
      <c r="I180" s="324"/>
      <c r="J180" s="324"/>
      <c r="K180" s="324"/>
      <c r="L180" s="324"/>
      <c r="M180" s="324"/>
      <c r="N180" s="324"/>
      <c r="O180" s="324"/>
      <c r="P180" s="324"/>
      <c r="Q180" s="324"/>
    </row>
    <row r="181" customFormat="false" ht="19.5" hidden="false" customHeight="true" outlineLevel="0" collapsed="false">
      <c r="B181" s="26" t="s">
        <v>167</v>
      </c>
      <c r="C181" s="273" t="s">
        <v>118</v>
      </c>
      <c r="D181" s="244" t="n">
        <v>46265</v>
      </c>
      <c r="E181" s="274" t="s">
        <v>623</v>
      </c>
      <c r="F181" s="37" t="str">
        <f aca="false">IF(AND(L181="🔄 SWAP ME",M181&lt;&gt;""),M181,IFERROR(INDEX($O$5:$O$375,MATCH(O181,$M$5:$M$375,0)),O181))</f>
        <v>Flink: JobManager, TaskManager, task slots, operator chaining, parallelism calc</v>
      </c>
      <c r="G181" s="193" t="s">
        <v>412</v>
      </c>
      <c r="H181" s="39" t="n">
        <v>0.5</v>
      </c>
      <c r="I181" s="40" t="n">
        <v>1</v>
      </c>
      <c r="J181" s="41" t="n">
        <v>1.5</v>
      </c>
      <c r="K181" s="76" t="s">
        <v>1348</v>
      </c>
      <c r="L181" s="76" t="s">
        <v>1349</v>
      </c>
      <c r="M181" s="245"/>
      <c r="N181" s="63" t="str">
        <f aca="false">IF(AND(L181="🔄 SWAP ME",M181&lt;&gt;""),"⚡ SWAPPED","")</f>
        <v/>
      </c>
      <c r="O181" s="9" t="s">
        <v>926</v>
      </c>
      <c r="P181" s="314" t="str">
        <f aca="true">IF(AND(L181="🔄 SWAP ME",M181&lt;&gt;""),TODAY(),"")</f>
        <v/>
      </c>
      <c r="Q181" s="270" t="s">
        <v>927</v>
      </c>
    </row>
    <row r="182" customFormat="false" ht="19.5" hidden="false" customHeight="true" outlineLevel="0" collapsed="false">
      <c r="B182" s="26" t="s">
        <v>167</v>
      </c>
      <c r="C182" s="273" t="s">
        <v>123</v>
      </c>
      <c r="D182" s="244" t="n">
        <v>46266</v>
      </c>
      <c r="E182" s="274" t="s">
        <v>623</v>
      </c>
      <c r="F182" s="37" t="str">
        <f aca="false">IF(AND(L182="🔄 SWAP ME",M182&lt;&gt;""),M182,IFERROR(INDEX($O$5:$O$375,MATCH(O182,$M$5:$M$375,0)),O182))</f>
        <v>Flink State: HashMapStateBackend vs RocksDB, keyed/operator state, State TTL</v>
      </c>
      <c r="G182" s="193" t="s">
        <v>412</v>
      </c>
      <c r="H182" s="39" t="n">
        <v>0.5</v>
      </c>
      <c r="I182" s="40" t="n">
        <v>1</v>
      </c>
      <c r="J182" s="41" t="n">
        <v>1.5</v>
      </c>
      <c r="K182" s="76" t="s">
        <v>1348</v>
      </c>
      <c r="L182" s="76" t="s">
        <v>1349</v>
      </c>
      <c r="M182" s="245"/>
      <c r="N182" s="63" t="str">
        <f aca="false">IF(AND(L182="🔄 SWAP ME",M182&lt;&gt;""),"⚡ SWAPPED","")</f>
        <v/>
      </c>
      <c r="O182" s="9" t="s">
        <v>928</v>
      </c>
      <c r="P182" s="314" t="str">
        <f aca="true">IF(AND(L182="🔄 SWAP ME",M182&lt;&gt;""),TODAY(),"")</f>
        <v/>
      </c>
      <c r="Q182" s="270" t="s">
        <v>927</v>
      </c>
    </row>
    <row r="183" customFormat="false" ht="19.5" hidden="false" customHeight="true" outlineLevel="0" collapsed="false">
      <c r="B183" s="26" t="s">
        <v>167</v>
      </c>
      <c r="C183" s="273" t="s">
        <v>126</v>
      </c>
      <c r="D183" s="244" t="n">
        <v>46267</v>
      </c>
      <c r="E183" s="274" t="s">
        <v>623</v>
      </c>
      <c r="F183" s="37" t="str">
        <f aca="false">IF(AND(L183="🔄 SWAP ME",M183&lt;&gt;""),M183,IFERROR(INDEX($O$5:$O$375,MATCH(O183,$M$5:$M$375,0)),O183))</f>
        <v>Flink: Checkpointing (barriers/2PC/incremental), savepoints, backpressure detection</v>
      </c>
      <c r="G183" s="193" t="s">
        <v>412</v>
      </c>
      <c r="H183" s="39" t="n">
        <v>0.5</v>
      </c>
      <c r="I183" s="40" t="n">
        <v>1</v>
      </c>
      <c r="J183" s="41" t="n">
        <v>1.5</v>
      </c>
      <c r="K183" s="76" t="s">
        <v>1348</v>
      </c>
      <c r="L183" s="76" t="s">
        <v>1349</v>
      </c>
      <c r="M183" s="245"/>
      <c r="N183" s="63" t="str">
        <f aca="false">IF(AND(L183="🔄 SWAP ME",M183&lt;&gt;""),"⚡ SWAPPED","")</f>
        <v/>
      </c>
      <c r="O183" s="9" t="s">
        <v>929</v>
      </c>
      <c r="P183" s="314" t="str">
        <f aca="true">IF(AND(L183="🔄 SWAP ME",M183&lt;&gt;""),TODAY(),"")</f>
        <v/>
      </c>
      <c r="Q183" s="270" t="s">
        <v>927</v>
      </c>
    </row>
    <row r="184" customFormat="false" ht="19.5" hidden="false" customHeight="true" outlineLevel="0" collapsed="false">
      <c r="B184" s="26" t="s">
        <v>167</v>
      </c>
      <c r="C184" s="273" t="s">
        <v>130</v>
      </c>
      <c r="D184" s="244" t="n">
        <v>46268</v>
      </c>
      <c r="E184" s="274" t="s">
        <v>623</v>
      </c>
      <c r="F184" s="37" t="str">
        <f aca="false">IF(AND(L184="🔄 SWAP ME",M184&lt;&gt;""),M184,IFERROR(INDEX($O$5:$O$375,MATCH(O184,$M$5:$M$375,0)),O184))</f>
        <v>Flink Time: event time vs processing time, watermarks, late events, side outputs</v>
      </c>
      <c r="G184" s="193" t="s">
        <v>412</v>
      </c>
      <c r="H184" s="39" t="n">
        <v>0.5</v>
      </c>
      <c r="I184" s="40" t="n">
        <v>1</v>
      </c>
      <c r="J184" s="41" t="n">
        <v>1.5</v>
      </c>
      <c r="K184" s="76" t="s">
        <v>1348</v>
      </c>
      <c r="L184" s="76" t="s">
        <v>1349</v>
      </c>
      <c r="M184" s="245"/>
      <c r="N184" s="63" t="str">
        <f aca="false">IF(AND(L184="🔄 SWAP ME",M184&lt;&gt;""),"⚡ SWAPPED","")</f>
        <v/>
      </c>
      <c r="O184" s="9" t="s">
        <v>930</v>
      </c>
      <c r="P184" s="314" t="str">
        <f aca="true">IF(AND(L184="🔄 SWAP ME",M184&lt;&gt;""),TODAY(),"")</f>
        <v/>
      </c>
      <c r="Q184" s="315" t="s">
        <v>931</v>
      </c>
    </row>
    <row r="185" customFormat="false" ht="19.5" hidden="false" customHeight="true" outlineLevel="0" collapsed="false">
      <c r="B185" s="26" t="s">
        <v>167</v>
      </c>
      <c r="C185" s="273" t="s">
        <v>133</v>
      </c>
      <c r="D185" s="244" t="n">
        <v>46269</v>
      </c>
      <c r="E185" s="274" t="s">
        <v>623</v>
      </c>
      <c r="F185" s="37" t="str">
        <f aca="false">IF(AND(L185="🔄 SWAP ME",M185&lt;&gt;""),M185,IFERROR(INDEX($O$5:$O$375,MATCH(O185,$M$5:$M$375,0)),O185))</f>
        <v>DSA: Hard problems — Alien Dictionary, Swim in Rising Water</v>
      </c>
      <c r="G185" s="193" t="s">
        <v>412</v>
      </c>
      <c r="H185" s="39" t="n">
        <v>0.3</v>
      </c>
      <c r="I185" s="40" t="n">
        <v>0.5</v>
      </c>
      <c r="J185" s="41" t="n">
        <v>0.75</v>
      </c>
      <c r="K185" s="76" t="s">
        <v>1348</v>
      </c>
      <c r="L185" s="76" t="s">
        <v>1349</v>
      </c>
      <c r="M185" s="245"/>
      <c r="N185" s="63" t="str">
        <f aca="false">IF(AND(L185="🔄 SWAP ME",M185&lt;&gt;""),"⚡ SWAPPED","")</f>
        <v/>
      </c>
      <c r="O185" s="9" t="s">
        <v>932</v>
      </c>
      <c r="P185" s="314" t="str">
        <f aca="true">IF(AND(L185="🔄 SWAP ME",M185&lt;&gt;""),TODAY(),"")</f>
        <v/>
      </c>
      <c r="Q185" s="315" t="s">
        <v>933</v>
      </c>
    </row>
    <row r="186" customFormat="false" ht="19.5" hidden="false" customHeight="true" outlineLevel="0" collapsed="false">
      <c r="B186" s="26" t="s">
        <v>167</v>
      </c>
      <c r="C186" s="309" t="s">
        <v>516</v>
      </c>
      <c r="D186" s="240" t="n">
        <v>46270</v>
      </c>
      <c r="E186" s="274" t="s">
        <v>623</v>
      </c>
      <c r="F186" s="178" t="str">
        <f aca="false">IF(AND(L186="🔄 SWAP ME",M186&lt;&gt;""),M186,IFERROR(INDEX($O$5:$O$375,MATCH(O186,$M$5:$M$375,0)),O186))</f>
        <v>Flink Windows: tumbling, sliding, session, global — assigners, triggers, evictors</v>
      </c>
      <c r="G186" s="193" t="s">
        <v>412</v>
      </c>
      <c r="H186" s="39" t="n">
        <v>1</v>
      </c>
      <c r="I186" s="40" t="n">
        <v>1.5</v>
      </c>
      <c r="J186" s="41" t="n">
        <v>2</v>
      </c>
      <c r="K186" s="179" t="s">
        <v>1351</v>
      </c>
      <c r="L186" s="179" t="s">
        <v>1349</v>
      </c>
      <c r="M186" s="241"/>
      <c r="N186" s="316" t="str">
        <f aca="false">IF(AND(L186="🔄 SWAP ME",M186&lt;&gt;""),"⚡ SWAPPED","")</f>
        <v/>
      </c>
      <c r="O186" s="9" t="s">
        <v>934</v>
      </c>
      <c r="P186" s="317" t="str">
        <f aca="true">IF(AND(L186="🔄 SWAP ME",M186&lt;&gt;""),TODAY(),"")</f>
        <v/>
      </c>
      <c r="Q186" s="315" t="s">
        <v>1387</v>
      </c>
    </row>
    <row r="187" customFormat="false" ht="19.5" hidden="false" customHeight="true" outlineLevel="0" collapsed="false">
      <c r="B187" s="26" t="s">
        <v>167</v>
      </c>
      <c r="C187" s="309" t="s">
        <v>517</v>
      </c>
      <c r="D187" s="240" t="n">
        <v>46271</v>
      </c>
      <c r="E187" s="274" t="s">
        <v>623</v>
      </c>
      <c r="F187" s="178" t="str">
        <f aca="false">IF(AND(L187="🔄 SWAP ME",M187&lt;&gt;""),M187,IFERROR(INDEX($O$5:$O$375,MATCH(O187,$M$5:$M$375,0)),O187))</f>
        <v>P15: PyFlink stateless pipeline — Kafka→filter/map→Kafka (from course, extend it)</v>
      </c>
      <c r="G187" s="193" t="s">
        <v>412</v>
      </c>
      <c r="H187" s="39" t="n">
        <v>1.5</v>
      </c>
      <c r="I187" s="40" t="n">
        <v>3</v>
      </c>
      <c r="J187" s="41" t="n">
        <v>5</v>
      </c>
      <c r="K187" s="179" t="s">
        <v>1352</v>
      </c>
      <c r="L187" s="179" t="s">
        <v>1349</v>
      </c>
      <c r="M187" s="241"/>
      <c r="N187" s="316" t="str">
        <f aca="false">IF(AND(L187="🔄 SWAP ME",M187&lt;&gt;""),"⚡ SWAPPED","")</f>
        <v/>
      </c>
      <c r="O187" s="9" t="s">
        <v>936</v>
      </c>
      <c r="P187" s="317" t="str">
        <f aca="true">IF(AND(L187="🔄 SWAP ME",M187&lt;&gt;""),TODAY(),"")</f>
        <v/>
      </c>
      <c r="Q187" s="315" t="s">
        <v>937</v>
      </c>
    </row>
    <row r="188" customFormat="false" ht="12" hidden="false" customHeight="true" outlineLevel="0" collapsed="false">
      <c r="B188" s="324" t="s">
        <v>1388</v>
      </c>
      <c r="C188" s="324"/>
      <c r="D188" s="324"/>
      <c r="E188" s="324"/>
      <c r="F188" s="324"/>
      <c r="G188" s="324"/>
      <c r="H188" s="324"/>
      <c r="I188" s="324"/>
      <c r="J188" s="324"/>
      <c r="K188" s="324"/>
      <c r="L188" s="324"/>
      <c r="M188" s="324"/>
      <c r="N188" s="324"/>
      <c r="O188" s="324"/>
      <c r="P188" s="324"/>
      <c r="Q188" s="324"/>
    </row>
    <row r="189" customFormat="false" ht="19.5" hidden="false" customHeight="true" outlineLevel="0" collapsed="false">
      <c r="B189" s="26" t="s">
        <v>168</v>
      </c>
      <c r="C189" s="273" t="s">
        <v>118</v>
      </c>
      <c r="D189" s="244" t="n">
        <v>46272</v>
      </c>
      <c r="E189" s="274" t="s">
        <v>623</v>
      </c>
      <c r="F189" s="37" t="str">
        <f aca="false">IF(AND(L189="🔄 SWAP ME",M189&lt;&gt;""),M189,IFERROR(INDEX($O$5:$O$375,MATCH(O189,$M$5:$M$375,0)),O189))</f>
        <v>Flink SQL: DDL with Kafka/Iceberg connectors, time attributes, temporal joins</v>
      </c>
      <c r="G189" s="193" t="s">
        <v>412</v>
      </c>
      <c r="H189" s="39" t="n">
        <v>0.5</v>
      </c>
      <c r="I189" s="40" t="n">
        <v>1</v>
      </c>
      <c r="J189" s="41" t="n">
        <v>1.5</v>
      </c>
      <c r="K189" s="76" t="s">
        <v>1348</v>
      </c>
      <c r="L189" s="76" t="s">
        <v>1349</v>
      </c>
      <c r="M189" s="245"/>
      <c r="N189" s="63" t="str">
        <f aca="false">IF(AND(L189="🔄 SWAP ME",M189&lt;&gt;""),"⚡ SWAPPED","")</f>
        <v/>
      </c>
      <c r="O189" s="9" t="s">
        <v>938</v>
      </c>
      <c r="P189" s="314" t="str">
        <f aca="true">IF(AND(L189="🔄 SWAP ME",M189&lt;&gt;""),TODAY(),"")</f>
        <v/>
      </c>
      <c r="Q189" s="315" t="s">
        <v>939</v>
      </c>
    </row>
    <row r="190" customFormat="false" ht="19.5" hidden="false" customHeight="true" outlineLevel="0" collapsed="false">
      <c r="B190" s="26" t="s">
        <v>168</v>
      </c>
      <c r="C190" s="273" t="s">
        <v>123</v>
      </c>
      <c r="D190" s="244" t="n">
        <v>46273</v>
      </c>
      <c r="E190" s="274" t="s">
        <v>623</v>
      </c>
      <c r="F190" s="37" t="str">
        <f aca="false">IF(AND(L190="🔄 SWAP ME",M190&lt;&gt;""),M190,IFERROR(INDEX($O$5:$O$375,MATCH(O190,$M$5:$M$375,0)),O190))</f>
        <v>Flink SQL: windowed aggregations (TUMBLE/HOP/SESSION), MATCH_RECOGNIZE for CEP</v>
      </c>
      <c r="G190" s="193" t="s">
        <v>412</v>
      </c>
      <c r="H190" s="39" t="n">
        <v>0.5</v>
      </c>
      <c r="I190" s="40" t="n">
        <v>1</v>
      </c>
      <c r="J190" s="41" t="n">
        <v>1.5</v>
      </c>
      <c r="K190" s="76" t="s">
        <v>1348</v>
      </c>
      <c r="L190" s="76" t="s">
        <v>1349</v>
      </c>
      <c r="M190" s="245"/>
      <c r="N190" s="63" t="str">
        <f aca="false">IF(AND(L190="🔄 SWAP ME",M190&lt;&gt;""),"⚡ SWAPPED","")</f>
        <v/>
      </c>
      <c r="O190" s="9" t="s">
        <v>940</v>
      </c>
      <c r="P190" s="314" t="str">
        <f aca="true">IF(AND(L190="🔄 SWAP ME",M190&lt;&gt;""),TODAY(),"")</f>
        <v/>
      </c>
      <c r="Q190" s="315" t="s">
        <v>941</v>
      </c>
    </row>
    <row r="191" customFormat="false" ht="19.5" hidden="false" customHeight="true" outlineLevel="0" collapsed="false">
      <c r="B191" s="26" t="s">
        <v>168</v>
      </c>
      <c r="C191" s="273" t="s">
        <v>126</v>
      </c>
      <c r="D191" s="244" t="n">
        <v>46274</v>
      </c>
      <c r="E191" s="274" t="s">
        <v>623</v>
      </c>
      <c r="F191" s="37" t="str">
        <f aca="false">IF(AND(L191="🔄 SWAP ME",M191&lt;&gt;""),M191,IFERROR(INDEX($O$5:$O$375,MATCH(O191,$M$5:$M$375,0)),O191))</f>
        <v>Flink: Kafka connector (source/sink), Iceberg sink connector, JDBC sink, Delta connector</v>
      </c>
      <c r="G191" s="193" t="s">
        <v>412</v>
      </c>
      <c r="H191" s="39" t="n">
        <v>0.5</v>
      </c>
      <c r="I191" s="40" t="n">
        <v>1</v>
      </c>
      <c r="J191" s="41" t="n">
        <v>1.5</v>
      </c>
      <c r="K191" s="76" t="s">
        <v>1348</v>
      </c>
      <c r="L191" s="76" t="s">
        <v>1349</v>
      </c>
      <c r="M191" s="245"/>
      <c r="N191" s="63" t="str">
        <f aca="false">IF(AND(L191="🔄 SWAP ME",M191&lt;&gt;""),"⚡ SWAPPED","")</f>
        <v/>
      </c>
      <c r="O191" s="9" t="s">
        <v>942</v>
      </c>
      <c r="P191" s="314" t="str">
        <f aca="true">IF(AND(L191="🔄 SWAP ME",M191&lt;&gt;""),TODAY(),"")</f>
        <v/>
      </c>
      <c r="Q191" s="315" t="s">
        <v>943</v>
      </c>
    </row>
    <row r="192" customFormat="false" ht="19.5" hidden="false" customHeight="true" outlineLevel="0" collapsed="false">
      <c r="B192" s="26" t="s">
        <v>168</v>
      </c>
      <c r="C192" s="273" t="s">
        <v>130</v>
      </c>
      <c r="D192" s="244" t="n">
        <v>46275</v>
      </c>
      <c r="E192" s="274" t="s">
        <v>623</v>
      </c>
      <c r="F192" s="37" t="str">
        <f aca="false">IF(AND(L192="🔄 SWAP ME",M192&lt;&gt;""),M192,IFERROR(INDEX($O$5:$O$375,MATCH(O192,$M$5:$M$375,0)),O192))</f>
        <v>Flink exactly-once: Kafka source + transactional Kafka/Iceberg sink — step by step</v>
      </c>
      <c r="G192" s="193" t="s">
        <v>412</v>
      </c>
      <c r="H192" s="39" t="n">
        <v>0.5</v>
      </c>
      <c r="I192" s="40" t="n">
        <v>1</v>
      </c>
      <c r="J192" s="41" t="n">
        <v>1.5</v>
      </c>
      <c r="K192" s="76" t="s">
        <v>1348</v>
      </c>
      <c r="L192" s="76" t="s">
        <v>1349</v>
      </c>
      <c r="M192" s="245"/>
      <c r="N192" s="63" t="str">
        <f aca="false">IF(AND(L192="🔄 SWAP ME",M192&lt;&gt;""),"⚡ SWAPPED","")</f>
        <v/>
      </c>
      <c r="O192" s="9" t="s">
        <v>944</v>
      </c>
      <c r="P192" s="314" t="str">
        <f aca="true">IF(AND(L192="🔄 SWAP ME",M192&lt;&gt;""),TODAY(),"")</f>
        <v/>
      </c>
      <c r="Q192" s="315" t="s">
        <v>945</v>
      </c>
    </row>
    <row r="193" customFormat="false" ht="19.5" hidden="false" customHeight="true" outlineLevel="0" collapsed="false">
      <c r="B193" s="26" t="s">
        <v>168</v>
      </c>
      <c r="C193" s="273" t="s">
        <v>133</v>
      </c>
      <c r="D193" s="244" t="n">
        <v>46276</v>
      </c>
      <c r="E193" s="274" t="s">
        <v>623</v>
      </c>
      <c r="F193" s="37" t="str">
        <f aca="false">IF(AND(L193="🔄 SWAP ME",M193&lt;&gt;""),M193,IFERROR(INDEX($O$5:$O$375,MATCH(O193,$M$5:$M$375,0)),O193))</f>
        <v>DSA: Amazon mock interview — 45 min, 1 medium + 1 hard, explain every thought</v>
      </c>
      <c r="G193" s="193" t="s">
        <v>412</v>
      </c>
      <c r="H193" s="39" t="n">
        <v>0.3</v>
      </c>
      <c r="I193" s="40" t="n">
        <v>0.5</v>
      </c>
      <c r="J193" s="41" t="n">
        <v>0.75</v>
      </c>
      <c r="K193" s="76" t="s">
        <v>1348</v>
      </c>
      <c r="L193" s="76" t="s">
        <v>1349</v>
      </c>
      <c r="M193" s="245"/>
      <c r="N193" s="63" t="str">
        <f aca="false">IF(AND(L193="🔄 SWAP ME",M193&lt;&gt;""),"⚡ SWAPPED","")</f>
        <v/>
      </c>
      <c r="O193" s="9" t="s">
        <v>946</v>
      </c>
      <c r="P193" s="314" t="str">
        <f aca="true">IF(AND(L193="🔄 SWAP ME",M193&lt;&gt;""),TODAY(),"")</f>
        <v/>
      </c>
      <c r="Q193" s="315" t="s">
        <v>947</v>
      </c>
    </row>
    <row r="194" customFormat="false" ht="19.5" hidden="false" customHeight="true" outlineLevel="0" collapsed="false">
      <c r="B194" s="26" t="s">
        <v>168</v>
      </c>
      <c r="C194" s="309" t="s">
        <v>516</v>
      </c>
      <c r="D194" s="240" t="n">
        <v>46277</v>
      </c>
      <c r="E194" s="274" t="s">
        <v>623</v>
      </c>
      <c r="F194" s="178" t="str">
        <f aca="false">IF(AND(L194="🔄 SWAP ME",M194&lt;&gt;""),M194,IFERROR(INDEX($O$5:$O$375,MATCH(O194,$M$5:$M$375,0)),O194))</f>
        <v>AWS Managed Flink: setup, Kinesis source, S3 checkpointing, IAM, CloudWatch</v>
      </c>
      <c r="G194" s="193" t="s">
        <v>412</v>
      </c>
      <c r="H194" s="39" t="n">
        <v>1</v>
      </c>
      <c r="I194" s="40" t="n">
        <v>1.5</v>
      </c>
      <c r="J194" s="41" t="n">
        <v>2</v>
      </c>
      <c r="K194" s="179" t="s">
        <v>1351</v>
      </c>
      <c r="L194" s="179" t="s">
        <v>1349</v>
      </c>
      <c r="M194" s="241"/>
      <c r="N194" s="316" t="str">
        <f aca="false">IF(AND(L194="🔄 SWAP ME",M194&lt;&gt;""),"⚡ SWAPPED","")</f>
        <v/>
      </c>
      <c r="O194" s="9" t="s">
        <v>948</v>
      </c>
      <c r="P194" s="317" t="str">
        <f aca="true">IF(AND(L194="🔄 SWAP ME",M194&lt;&gt;""),TODAY(),"")</f>
        <v/>
      </c>
      <c r="Q194" s="315" t="s">
        <v>949</v>
      </c>
    </row>
    <row r="195" customFormat="false" ht="19.5" hidden="false" customHeight="true" outlineLevel="0" collapsed="false">
      <c r="B195" s="26" t="s">
        <v>168</v>
      </c>
      <c r="C195" s="309" t="s">
        <v>517</v>
      </c>
      <c r="D195" s="240" t="n">
        <v>46278</v>
      </c>
      <c r="E195" s="274" t="s">
        <v>623</v>
      </c>
      <c r="F195" s="178" t="str">
        <f aca="false">IF(AND(L195="🔄 SWAP ME",M195&lt;&gt;""),M195,IFERROR(INDEX($O$5:$O$375,MATCH(O195,$M$5:$M$375,0)),O195))</f>
        <v>P16: Ad Tech real-time — AWS Kinesis→Managed Flink→Iceberg→Athena (from course)</v>
      </c>
      <c r="G195" s="193" t="s">
        <v>412</v>
      </c>
      <c r="H195" s="39" t="n">
        <v>1.5</v>
      </c>
      <c r="I195" s="40" t="n">
        <v>3</v>
      </c>
      <c r="J195" s="41" t="n">
        <v>5</v>
      </c>
      <c r="K195" s="179" t="s">
        <v>1352</v>
      </c>
      <c r="L195" s="179" t="s">
        <v>1349</v>
      </c>
      <c r="M195" s="241"/>
      <c r="N195" s="316" t="str">
        <f aca="false">IF(AND(L195="🔄 SWAP ME",M195&lt;&gt;""),"⚡ SWAPPED","")</f>
        <v/>
      </c>
      <c r="O195" s="9" t="s">
        <v>950</v>
      </c>
      <c r="P195" s="317" t="str">
        <f aca="true">IF(AND(L195="🔄 SWAP ME",M195&lt;&gt;""),TODAY(),"")</f>
        <v/>
      </c>
      <c r="Q195" s="270" t="s">
        <v>951</v>
      </c>
    </row>
    <row r="196" customFormat="false" ht="12" hidden="false" customHeight="true" outlineLevel="0" collapsed="false">
      <c r="B196" s="324" t="s">
        <v>1389</v>
      </c>
      <c r="C196" s="324"/>
      <c r="D196" s="324"/>
      <c r="E196" s="324"/>
      <c r="F196" s="324"/>
      <c r="G196" s="324"/>
      <c r="H196" s="324"/>
      <c r="I196" s="324"/>
      <c r="J196" s="324"/>
      <c r="K196" s="324"/>
      <c r="L196" s="324"/>
      <c r="M196" s="324"/>
      <c r="N196" s="324"/>
      <c r="O196" s="324"/>
      <c r="P196" s="324"/>
      <c r="Q196" s="324"/>
    </row>
    <row r="197" customFormat="false" ht="19.5" hidden="false" customHeight="true" outlineLevel="0" collapsed="false">
      <c r="B197" s="26" t="s">
        <v>169</v>
      </c>
      <c r="C197" s="273" t="s">
        <v>118</v>
      </c>
      <c r="D197" s="244" t="n">
        <v>46279</v>
      </c>
      <c r="E197" s="274" t="s">
        <v>623</v>
      </c>
      <c r="F197" s="37" t="str">
        <f aca="false">IF(AND(L197="🔄 SWAP ME",M197&lt;&gt;""),M197,IFERROR(INDEX($O$5:$O$375,MATCH(O197,$M$5:$M$375,0)),O197))</f>
        <v>PyFlink: DataStream API, Table API, UDFs, limitations vs Java Flink</v>
      </c>
      <c r="G197" s="193" t="s">
        <v>412</v>
      </c>
      <c r="H197" s="39" t="n">
        <v>0.5</v>
      </c>
      <c r="I197" s="40" t="n">
        <v>1</v>
      </c>
      <c r="J197" s="41" t="n">
        <v>1.5</v>
      </c>
      <c r="K197" s="76" t="s">
        <v>1348</v>
      </c>
      <c r="L197" s="76" t="s">
        <v>1349</v>
      </c>
      <c r="M197" s="245"/>
      <c r="N197" s="63" t="str">
        <f aca="false">IF(AND(L197="🔄 SWAP ME",M197&lt;&gt;""),"⚡ SWAPPED","")</f>
        <v/>
      </c>
      <c r="O197" s="9" t="s">
        <v>952</v>
      </c>
      <c r="P197" s="314" t="str">
        <f aca="true">IF(AND(L197="🔄 SWAP ME",M197&lt;&gt;""),TODAY(),"")</f>
        <v/>
      </c>
      <c r="Q197" s="315" t="s">
        <v>953</v>
      </c>
    </row>
    <row r="198" customFormat="false" ht="19.5" hidden="false" customHeight="true" outlineLevel="0" collapsed="false">
      <c r="B198" s="26" t="s">
        <v>169</v>
      </c>
      <c r="C198" s="273" t="s">
        <v>123</v>
      </c>
      <c r="D198" s="244" t="n">
        <v>46280</v>
      </c>
      <c r="E198" s="274" t="s">
        <v>623</v>
      </c>
      <c r="F198" s="37" t="str">
        <f aca="false">IF(AND(L198="🔄 SWAP ME",M198&lt;&gt;""),M198,IFERROR(INDEX($O$5:$O$375,MATCH(O198,$M$5:$M$375,0)),O198))</f>
        <v>Flink CDC: MySQL/PostgreSQL CDC connectors (Debezium-based), binlog reading</v>
      </c>
      <c r="G198" s="193" t="s">
        <v>412</v>
      </c>
      <c r="H198" s="39" t="n">
        <v>0.5</v>
      </c>
      <c r="I198" s="40" t="n">
        <v>0.75</v>
      </c>
      <c r="J198" s="41" t="n">
        <v>1</v>
      </c>
      <c r="K198" s="76" t="s">
        <v>1348</v>
      </c>
      <c r="L198" s="76" t="s">
        <v>1349</v>
      </c>
      <c r="M198" s="245"/>
      <c r="N198" s="63" t="str">
        <f aca="false">IF(AND(L198="🔄 SWAP ME",M198&lt;&gt;""),"⚡ SWAPPED","")</f>
        <v/>
      </c>
      <c r="O198" s="9" t="s">
        <v>954</v>
      </c>
      <c r="P198" s="314" t="str">
        <f aca="true">IF(AND(L198="🔄 SWAP ME",M198&lt;&gt;""),TODAY(),"")</f>
        <v/>
      </c>
      <c r="Q198" s="315" t="s">
        <v>955</v>
      </c>
    </row>
    <row r="199" customFormat="false" ht="19.5" hidden="false" customHeight="true" outlineLevel="0" collapsed="false">
      <c r="B199" s="26" t="s">
        <v>169</v>
      </c>
      <c r="C199" s="273" t="s">
        <v>126</v>
      </c>
      <c r="D199" s="244" t="n">
        <v>46281</v>
      </c>
      <c r="E199" s="36" t="s">
        <v>617</v>
      </c>
      <c r="F199" s="37" t="str">
        <f aca="false">IF(AND(L199="🔄 SWAP ME",M199&lt;&gt;""),M199,IFERROR(INDEX($O$5:$O$375,MATCH(O199,$M$5:$M$375,0)),O199))</f>
        <v>Flink RocksDB tuning: block cache, write buffer, compaction — production config</v>
      </c>
      <c r="G199" s="193" t="s">
        <v>412</v>
      </c>
      <c r="H199" s="39" t="n">
        <v>0.5</v>
      </c>
      <c r="I199" s="40" t="n">
        <v>0.75</v>
      </c>
      <c r="J199" s="41" t="n">
        <v>1</v>
      </c>
      <c r="K199" s="76" t="s">
        <v>1348</v>
      </c>
      <c r="L199" s="76" t="s">
        <v>1349</v>
      </c>
      <c r="M199" s="245"/>
      <c r="N199" s="63" t="str">
        <f aca="false">IF(AND(L199="🔄 SWAP ME",M199&lt;&gt;""),"⚡ SWAPPED","")</f>
        <v/>
      </c>
      <c r="O199" s="9" t="s">
        <v>956</v>
      </c>
      <c r="P199" s="314" t="str">
        <f aca="true">IF(AND(L199="🔄 SWAP ME",M199&lt;&gt;""),TODAY(),"")</f>
        <v/>
      </c>
      <c r="Q199" s="315" t="s">
        <v>957</v>
      </c>
    </row>
    <row r="200" customFormat="false" ht="19.5" hidden="false" customHeight="true" outlineLevel="0" collapsed="false">
      <c r="B200" s="26" t="s">
        <v>169</v>
      </c>
      <c r="C200" s="273" t="s">
        <v>130</v>
      </c>
      <c r="D200" s="244" t="n">
        <v>46282</v>
      </c>
      <c r="E200" s="274" t="s">
        <v>623</v>
      </c>
      <c r="F200" s="37" t="str">
        <f aca="false">IF(AND(L200="🔄 SWAP ME",M200&lt;&gt;""),M200,IFERROR(INDEX($O$5:$O$375,MATCH(O200,$M$5:$M$375,0)),O200))</f>
        <v>P17: Betting app real-time — Kinesis→Managed Flink→Firehose→S3 (from course)</v>
      </c>
      <c r="G200" s="193" t="s">
        <v>412</v>
      </c>
      <c r="H200" s="39" t="n">
        <v>1</v>
      </c>
      <c r="I200" s="40" t="n">
        <v>2</v>
      </c>
      <c r="J200" s="41" t="n">
        <v>3</v>
      </c>
      <c r="K200" s="76" t="s">
        <v>1351</v>
      </c>
      <c r="L200" s="76" t="s">
        <v>1349</v>
      </c>
      <c r="M200" s="245"/>
      <c r="N200" s="63" t="str">
        <f aca="false">IF(AND(L200="🔄 SWAP ME",M200&lt;&gt;""),"⚡ SWAPPED","")</f>
        <v/>
      </c>
      <c r="O200" s="9" t="s">
        <v>958</v>
      </c>
      <c r="P200" s="314" t="str">
        <f aca="true">IF(AND(L200="🔄 SWAP ME",M200&lt;&gt;""),TODAY(),"")</f>
        <v/>
      </c>
      <c r="Q200" s="270" t="s">
        <v>959</v>
      </c>
    </row>
    <row r="201" customFormat="false" ht="19.5" hidden="false" customHeight="true" outlineLevel="0" collapsed="false">
      <c r="B201" s="26" t="s">
        <v>169</v>
      </c>
      <c r="C201" s="273" t="s">
        <v>133</v>
      </c>
      <c r="D201" s="244" t="n">
        <v>46283</v>
      </c>
      <c r="E201" s="274" t="s">
        <v>623</v>
      </c>
      <c r="F201" s="37" t="str">
        <f aca="false">IF(AND(L201="🔄 SWAP ME",M201&lt;&gt;""),M201,IFERROR(INDEX($O$5:$O$375,MATCH(O201,$M$5:$M$375,0)),O201))</f>
        <v>DSA: Flipkart machine coding mock — 90 min, complete OOP system in Python</v>
      </c>
      <c r="G201" s="193" t="s">
        <v>412</v>
      </c>
      <c r="H201" s="39" t="n">
        <v>0.3</v>
      </c>
      <c r="I201" s="40" t="n">
        <v>0.5</v>
      </c>
      <c r="J201" s="41" t="n">
        <v>0.75</v>
      </c>
      <c r="K201" s="76" t="s">
        <v>1348</v>
      </c>
      <c r="L201" s="76" t="s">
        <v>1349</v>
      </c>
      <c r="M201" s="245"/>
      <c r="N201" s="63" t="str">
        <f aca="false">IF(AND(L201="🔄 SWAP ME",M201&lt;&gt;""),"⚡ SWAPPED","")</f>
        <v/>
      </c>
      <c r="O201" s="9" t="s">
        <v>960</v>
      </c>
      <c r="P201" s="314" t="str">
        <f aca="true">IF(AND(L201="🔄 SWAP ME",M201&lt;&gt;""),TODAY(),"")</f>
        <v/>
      </c>
      <c r="Q201" s="315" t="s">
        <v>1390</v>
      </c>
    </row>
    <row r="202" customFormat="false" ht="19.5" hidden="false" customHeight="true" outlineLevel="0" collapsed="false">
      <c r="B202" s="26" t="s">
        <v>169</v>
      </c>
      <c r="C202" s="309" t="s">
        <v>516</v>
      </c>
      <c r="D202" s="240" t="n">
        <v>46284</v>
      </c>
      <c r="E202" s="274" t="s">
        <v>623</v>
      </c>
      <c r="F202" s="178" t="str">
        <f aca="false">IF(AND(L202="🔄 SWAP ME",M202&lt;&gt;""),M202,IFERROR(INDEX($O$5:$O$375,MATCH(O202,$M$5:$M$375,0)),O202))</f>
        <v>P18: Flink CDC pipeline — MySQL binlog→Flink→Delta Lake (build from scratch)</v>
      </c>
      <c r="G202" s="193" t="s">
        <v>412</v>
      </c>
      <c r="H202" s="39" t="n">
        <v>1.5</v>
      </c>
      <c r="I202" s="40" t="n">
        <v>3</v>
      </c>
      <c r="J202" s="41" t="n">
        <v>5</v>
      </c>
      <c r="K202" s="179" t="s">
        <v>1352</v>
      </c>
      <c r="L202" s="179" t="s">
        <v>1349</v>
      </c>
      <c r="M202" s="241"/>
      <c r="N202" s="316" t="str">
        <f aca="false">IF(AND(L202="🔄 SWAP ME",M202&lt;&gt;""),"⚡ SWAPPED","")</f>
        <v/>
      </c>
      <c r="O202" s="9" t="s">
        <v>962</v>
      </c>
      <c r="P202" s="317" t="str">
        <f aca="true">IF(AND(L202="🔄 SWAP ME",M202&lt;&gt;""),TODAY(),"")</f>
        <v/>
      </c>
      <c r="Q202" s="315" t="s">
        <v>963</v>
      </c>
    </row>
    <row r="203" customFormat="false" ht="19.5" hidden="false" customHeight="true" outlineLevel="0" collapsed="false">
      <c r="B203" s="26" t="s">
        <v>169</v>
      </c>
      <c r="C203" s="309" t="s">
        <v>517</v>
      </c>
      <c r="D203" s="240" t="n">
        <v>46285</v>
      </c>
      <c r="E203" s="274" t="s">
        <v>623</v>
      </c>
      <c r="F203" s="178" t="str">
        <f aca="false">IF(AND(L203="🔄 SWAP ME",M203&lt;&gt;""),M203,IFERROR(INDEX($O$5:$O$375,MATCH(O203,$M$5:$M$375,0)),O203))</f>
        <v>Flink review: interview Q&amp;A, system design with Flink, performance scenarios</v>
      </c>
      <c r="G203" s="193" t="s">
        <v>412</v>
      </c>
      <c r="H203" s="39" t="n">
        <v>1.5</v>
      </c>
      <c r="I203" s="40" t="n">
        <v>3</v>
      </c>
      <c r="J203" s="41" t="n">
        <v>4</v>
      </c>
      <c r="K203" s="179" t="s">
        <v>1352</v>
      </c>
      <c r="L203" s="179" t="s">
        <v>1349</v>
      </c>
      <c r="M203" s="241"/>
      <c r="N203" s="316" t="str">
        <f aca="false">IF(AND(L203="🔄 SWAP ME",M203&lt;&gt;""),"⚡ SWAPPED","")</f>
        <v/>
      </c>
      <c r="O203" s="9" t="s">
        <v>964</v>
      </c>
      <c r="P203" s="317" t="str">
        <f aca="true">IF(AND(L203="🔄 SWAP ME",M203&lt;&gt;""),TODAY(),"")</f>
        <v/>
      </c>
      <c r="Q203" s="315" t="s">
        <v>965</v>
      </c>
    </row>
    <row r="204" customFormat="false" ht="12" hidden="false" customHeight="true" outlineLevel="0" collapsed="false">
      <c r="B204" s="325" t="s">
        <v>1391</v>
      </c>
      <c r="C204" s="325"/>
      <c r="D204" s="325"/>
      <c r="E204" s="325"/>
      <c r="F204" s="325"/>
      <c r="G204" s="325"/>
      <c r="H204" s="325"/>
      <c r="I204" s="325"/>
      <c r="J204" s="325"/>
      <c r="K204" s="325"/>
      <c r="L204" s="325"/>
      <c r="M204" s="325"/>
      <c r="N204" s="325"/>
      <c r="O204" s="325"/>
      <c r="P204" s="325"/>
      <c r="Q204" s="325"/>
    </row>
    <row r="205" customFormat="false" ht="19.5" hidden="false" customHeight="true" outlineLevel="0" collapsed="false">
      <c r="B205" s="235" t="s">
        <v>170</v>
      </c>
      <c r="C205" s="273" t="s">
        <v>118</v>
      </c>
      <c r="D205" s="244" t="n">
        <v>46286</v>
      </c>
      <c r="E205" s="274" t="s">
        <v>623</v>
      </c>
      <c r="F205" s="37" t="str">
        <f aca="false">IF(AND(L205="🔄 SWAP ME",M205&lt;&gt;""),M205,IFERROR(INDEX($O$5:$O$375,MATCH(O205,$M$5:$M$375,0)),O205))</f>
        <v>DWH Theory: OLTP vs OLAP, fact/dim tables, star/snowflake/galaxy, Inmon vs Kimball</v>
      </c>
      <c r="G205" s="196" t="s">
        <v>425</v>
      </c>
      <c r="H205" s="39" t="n">
        <v>0.5</v>
      </c>
      <c r="I205" s="40" t="n">
        <v>1</v>
      </c>
      <c r="J205" s="41" t="n">
        <v>1.5</v>
      </c>
      <c r="K205" s="76" t="s">
        <v>1348</v>
      </c>
      <c r="L205" s="76" t="s">
        <v>1349</v>
      </c>
      <c r="M205" s="245"/>
      <c r="N205" s="63" t="str">
        <f aca="false">IF(AND(L205="🔄 SWAP ME",M205&lt;&gt;""),"⚡ SWAPPED","")</f>
        <v/>
      </c>
      <c r="O205" s="9" t="s">
        <v>967</v>
      </c>
      <c r="P205" s="314" t="str">
        <f aca="true">IF(AND(L205="🔄 SWAP ME",M205&lt;&gt;""),TODAY(),"")</f>
        <v/>
      </c>
      <c r="Q205" s="270" t="s">
        <v>968</v>
      </c>
    </row>
    <row r="206" customFormat="false" ht="19.5" hidden="false" customHeight="true" outlineLevel="0" collapsed="false">
      <c r="B206" s="235" t="s">
        <v>170</v>
      </c>
      <c r="C206" s="273" t="s">
        <v>123</v>
      </c>
      <c r="D206" s="244" t="n">
        <v>46287</v>
      </c>
      <c r="E206" s="274" t="s">
        <v>623</v>
      </c>
      <c r="F206" s="37" t="str">
        <f aca="false">IF(AND(L206="🔄 SWAP ME",M206&lt;&gt;""),M206,IFERROR(INDEX($O$5:$O$375,MATCH(O206,$M$5:$M$375,0)),O206))</f>
        <v>Dimensional Modeling: SCD 0/1/2/3/4/6, transaction/snapshot/accumulating fact tables</v>
      </c>
      <c r="G206" s="196" t="s">
        <v>425</v>
      </c>
      <c r="H206" s="39" t="n">
        <v>0.5</v>
      </c>
      <c r="I206" s="40" t="n">
        <v>1</v>
      </c>
      <c r="J206" s="41" t="n">
        <v>1.5</v>
      </c>
      <c r="K206" s="76" t="s">
        <v>1348</v>
      </c>
      <c r="L206" s="76" t="s">
        <v>1349</v>
      </c>
      <c r="M206" s="245"/>
      <c r="N206" s="63" t="str">
        <f aca="false">IF(AND(L206="🔄 SWAP ME",M206&lt;&gt;""),"⚡ SWAPPED","")</f>
        <v/>
      </c>
      <c r="O206" s="9" t="s">
        <v>969</v>
      </c>
      <c r="P206" s="314" t="str">
        <f aca="true">IF(AND(L206="🔄 SWAP ME",M206&lt;&gt;""),TODAY(),"")</f>
        <v/>
      </c>
      <c r="Q206" s="315" t="s">
        <v>970</v>
      </c>
    </row>
    <row r="207" customFormat="false" ht="19.5" hidden="false" customHeight="true" outlineLevel="0" collapsed="false">
      <c r="B207" s="235" t="s">
        <v>170</v>
      </c>
      <c r="C207" s="273" t="s">
        <v>126</v>
      </c>
      <c r="D207" s="244" t="n">
        <v>46288</v>
      </c>
      <c r="E207" s="36" t="s">
        <v>617</v>
      </c>
      <c r="F207" s="37" t="str">
        <f aca="false">IF(AND(L207="🔄 SWAP ME",M207&lt;&gt;""),M207,IFERROR(INDEX($O$5:$O$375,MATCH(O207,$M$5:$M$375,0)),O207))</f>
        <v>Dimensional Modeling: conformed dims, degenerate/role-playing/junk/bridge tables</v>
      </c>
      <c r="G207" s="196" t="s">
        <v>425</v>
      </c>
      <c r="H207" s="39" t="n">
        <v>0.5</v>
      </c>
      <c r="I207" s="40" t="n">
        <v>1</v>
      </c>
      <c r="J207" s="41" t="n">
        <v>1.5</v>
      </c>
      <c r="K207" s="76" t="s">
        <v>1348</v>
      </c>
      <c r="L207" s="76" t="s">
        <v>1349</v>
      </c>
      <c r="M207" s="245"/>
      <c r="N207" s="63" t="str">
        <f aca="false">IF(AND(L207="🔄 SWAP ME",M207&lt;&gt;""),"⚡ SWAPPED","")</f>
        <v/>
      </c>
      <c r="O207" s="9" t="s">
        <v>971</v>
      </c>
      <c r="P207" s="314" t="str">
        <f aca="true">IF(AND(L207="🔄 SWAP ME",M207&lt;&gt;""),TODAY(),"")</f>
        <v/>
      </c>
      <c r="Q207" s="315" t="s">
        <v>972</v>
      </c>
    </row>
    <row r="208" customFormat="false" ht="19.5" hidden="false" customHeight="true" outlineLevel="0" collapsed="false">
      <c r="B208" s="235" t="s">
        <v>170</v>
      </c>
      <c r="C208" s="273" t="s">
        <v>130</v>
      </c>
      <c r="D208" s="244" t="n">
        <v>46289</v>
      </c>
      <c r="E208" s="274" t="s">
        <v>623</v>
      </c>
      <c r="F208" s="37" t="str">
        <f aca="false">IF(AND(L208="🔄 SWAP ME",M208&lt;&gt;""),M208,IFERROR(INDEX($O$5:$O$375,MATCH(O208,$M$5:$M$375,0)),O208))</f>
        <v>Case Study: Expedia galaxy schema — 7 fact tables, 12 dims, KPI SQL (from course)</v>
      </c>
      <c r="G208" s="196" t="s">
        <v>425</v>
      </c>
      <c r="H208" s="39" t="n">
        <v>0.5</v>
      </c>
      <c r="I208" s="40" t="n">
        <v>1</v>
      </c>
      <c r="J208" s="41" t="n">
        <v>1.5</v>
      </c>
      <c r="K208" s="76" t="s">
        <v>1348</v>
      </c>
      <c r="L208" s="76" t="s">
        <v>1349</v>
      </c>
      <c r="M208" s="245"/>
      <c r="N208" s="63" t="str">
        <f aca="false">IF(AND(L208="🔄 SWAP ME",M208&lt;&gt;""),"⚡ SWAPPED","")</f>
        <v/>
      </c>
      <c r="O208" s="9" t="s">
        <v>973</v>
      </c>
      <c r="P208" s="314" t="str">
        <f aca="true">IF(AND(L208="🔄 SWAP ME",M208&lt;&gt;""),TODAY(),"")</f>
        <v/>
      </c>
      <c r="Q208" s="270" t="s">
        <v>974</v>
      </c>
    </row>
    <row r="209" customFormat="false" ht="19.5" hidden="false" customHeight="true" outlineLevel="0" collapsed="false">
      <c r="B209" s="235" t="s">
        <v>170</v>
      </c>
      <c r="C209" s="273" t="s">
        <v>133</v>
      </c>
      <c r="D209" s="244" t="n">
        <v>46290</v>
      </c>
      <c r="E209" s="274" t="s">
        <v>623</v>
      </c>
      <c r="F209" s="37" t="str">
        <f aca="false">IF(AND(L209="🔄 SWAP ME",M209&lt;&gt;""),M209,IFERROR(INDEX($O$5:$O$375,MATCH(O209,$M$5:$M$375,0)),O209))</f>
        <v>DSA: Hard — Distinct Subsequences, Stone Game, Palindrome Partitioning</v>
      </c>
      <c r="G209" s="196" t="s">
        <v>425</v>
      </c>
      <c r="H209" s="39" t="n">
        <v>0.3</v>
      </c>
      <c r="I209" s="40" t="n">
        <v>0.5</v>
      </c>
      <c r="J209" s="41" t="n">
        <v>0.75</v>
      </c>
      <c r="K209" s="76" t="s">
        <v>1348</v>
      </c>
      <c r="L209" s="76" t="s">
        <v>1349</v>
      </c>
      <c r="M209" s="245"/>
      <c r="N209" s="63" t="str">
        <f aca="false">IF(AND(L209="🔄 SWAP ME",M209&lt;&gt;""),"⚡ SWAPPED","")</f>
        <v/>
      </c>
      <c r="O209" s="9" t="s">
        <v>975</v>
      </c>
      <c r="P209" s="314" t="str">
        <f aca="true">IF(AND(L209="🔄 SWAP ME",M209&lt;&gt;""),TODAY(),"")</f>
        <v/>
      </c>
      <c r="Q209" s="315" t="s">
        <v>864</v>
      </c>
    </row>
    <row r="210" customFormat="false" ht="19.5" hidden="false" customHeight="true" outlineLevel="0" collapsed="false">
      <c r="B210" s="235" t="s">
        <v>170</v>
      </c>
      <c r="C210" s="309" t="s">
        <v>516</v>
      </c>
      <c r="D210" s="240" t="n">
        <v>46291</v>
      </c>
      <c r="E210" s="274" t="s">
        <v>623</v>
      </c>
      <c r="F210" s="178" t="str">
        <f aca="false">IF(AND(L210="🔄 SWAP ME",M210&lt;&gt;""),M210,IFERROR(INDEX($O$5:$O$375,MATCH(O210,$M$5:$M$375,0)),O210))</f>
        <v>Case Study: Swiggy food delivery model — 10 fact tables, SCD2, business metrics SQL</v>
      </c>
      <c r="G210" s="196" t="s">
        <v>425</v>
      </c>
      <c r="H210" s="39" t="n">
        <v>1</v>
      </c>
      <c r="I210" s="40" t="n">
        <v>1.5</v>
      </c>
      <c r="J210" s="41" t="n">
        <v>2</v>
      </c>
      <c r="K210" s="179" t="s">
        <v>1351</v>
      </c>
      <c r="L210" s="179" t="s">
        <v>1349</v>
      </c>
      <c r="M210" s="241"/>
      <c r="N210" s="316" t="str">
        <f aca="false">IF(AND(L210="🔄 SWAP ME",M210&lt;&gt;""),"⚡ SWAPPED","")</f>
        <v/>
      </c>
      <c r="O210" s="9" t="s">
        <v>976</v>
      </c>
      <c r="P210" s="317" t="str">
        <f aca="true">IF(AND(L210="🔄 SWAP ME",M210&lt;&gt;""),TODAY(),"")</f>
        <v/>
      </c>
      <c r="Q210" s="270" t="s">
        <v>974</v>
      </c>
    </row>
    <row r="211" customFormat="false" ht="19.5" hidden="false" customHeight="true" outlineLevel="0" collapsed="false">
      <c r="B211" s="235" t="s">
        <v>170</v>
      </c>
      <c r="C211" s="309" t="s">
        <v>517</v>
      </c>
      <c r="D211" s="240" t="n">
        <v>46292</v>
      </c>
      <c r="E211" s="274" t="s">
        <v>623</v>
      </c>
      <c r="F211" s="178" t="str">
        <f aca="false">IF(AND(L211="🔄 SWAP ME",M211&lt;&gt;""),M211,IFERROR(INDEX($O$5:$O$375,MATCH(O211,$M$5:$M$375,0)),O211))</f>
        <v>P19: Implement Swiggy star schema + 20 analytical SQL queries + SCD2 MERGE</v>
      </c>
      <c r="G211" s="196" t="s">
        <v>425</v>
      </c>
      <c r="H211" s="39" t="n">
        <v>1.5</v>
      </c>
      <c r="I211" s="40" t="n">
        <v>3</v>
      </c>
      <c r="J211" s="41" t="n">
        <v>5</v>
      </c>
      <c r="K211" s="179" t="s">
        <v>1352</v>
      </c>
      <c r="L211" s="179" t="s">
        <v>1349</v>
      </c>
      <c r="M211" s="241"/>
      <c r="N211" s="316" t="str">
        <f aca="false">IF(AND(L211="🔄 SWAP ME",M211&lt;&gt;""),"⚡ SWAPPED","")</f>
        <v/>
      </c>
      <c r="O211" s="9" t="s">
        <v>977</v>
      </c>
      <c r="P211" s="317" t="str">
        <f aca="true">IF(AND(L211="🔄 SWAP ME",M211&lt;&gt;""),TODAY(),"")</f>
        <v/>
      </c>
      <c r="Q211" s="315" t="s">
        <v>978</v>
      </c>
    </row>
    <row r="212" customFormat="false" ht="12" hidden="false" customHeight="true" outlineLevel="0" collapsed="false">
      <c r="B212" s="325" t="s">
        <v>1392</v>
      </c>
      <c r="C212" s="325"/>
      <c r="D212" s="325"/>
      <c r="E212" s="325"/>
      <c r="F212" s="325"/>
      <c r="G212" s="325"/>
      <c r="H212" s="325"/>
      <c r="I212" s="325"/>
      <c r="J212" s="325"/>
      <c r="K212" s="325"/>
      <c r="L212" s="325"/>
      <c r="M212" s="325"/>
      <c r="N212" s="325"/>
      <c r="O212" s="325"/>
      <c r="P212" s="325"/>
      <c r="Q212" s="325"/>
    </row>
    <row r="213" customFormat="false" ht="19.5" hidden="false" customHeight="true" outlineLevel="0" collapsed="false">
      <c r="B213" s="235" t="s">
        <v>171</v>
      </c>
      <c r="C213" s="273" t="s">
        <v>118</v>
      </c>
      <c r="D213" s="244" t="n">
        <v>46293</v>
      </c>
      <c r="E213" s="36" t="s">
        <v>617</v>
      </c>
      <c r="F213" s="37" t="str">
        <f aca="false">IF(AND(L213="🔄 SWAP ME",M213&lt;&gt;""),M213,IFERROR(INDEX($O$5:$O$375,MATCH(O213,$M$5:$M$375,0)),O213))</f>
        <v>Data Vault 2.0: Hubs, Links, Satellites — when to use DV over Kimball</v>
      </c>
      <c r="G213" s="196" t="s">
        <v>425</v>
      </c>
      <c r="H213" s="39" t="n">
        <v>0.5</v>
      </c>
      <c r="I213" s="40" t="n">
        <v>0.75</v>
      </c>
      <c r="J213" s="41" t="n">
        <v>1</v>
      </c>
      <c r="K213" s="76" t="s">
        <v>1348</v>
      </c>
      <c r="L213" s="76" t="s">
        <v>1349</v>
      </c>
      <c r="M213" s="245"/>
      <c r="N213" s="63" t="str">
        <f aca="false">IF(AND(L213="🔄 SWAP ME",M213&lt;&gt;""),"⚡ SWAPPED","")</f>
        <v/>
      </c>
      <c r="O213" s="9" t="s">
        <v>979</v>
      </c>
      <c r="P213" s="314" t="str">
        <f aca="true">IF(AND(L213="🔄 SWAP ME",M213&lt;&gt;""),TODAY(),"")</f>
        <v/>
      </c>
      <c r="Q213" s="315" t="s">
        <v>980</v>
      </c>
    </row>
    <row r="214" customFormat="false" ht="19.5" hidden="false" customHeight="true" outlineLevel="0" collapsed="false">
      <c r="B214" s="235" t="s">
        <v>171</v>
      </c>
      <c r="C214" s="273" t="s">
        <v>123</v>
      </c>
      <c r="D214" s="244" t="n">
        <v>46294</v>
      </c>
      <c r="E214" s="274" t="s">
        <v>623</v>
      </c>
      <c r="F214" s="37" t="str">
        <f aca="false">IF(AND(L214="🔄 SWAP ME",M214&lt;&gt;""),M214,IFERROR(INDEX($O$5:$O$375,MATCH(O214,$M$5:$M$375,0)),O214))</f>
        <v>dbt: project structure, models, sources, refs, materializations (view/table/incremental)</v>
      </c>
      <c r="G214" s="196" t="s">
        <v>425</v>
      </c>
      <c r="H214" s="39" t="n">
        <v>0.5</v>
      </c>
      <c r="I214" s="40" t="n">
        <v>1</v>
      </c>
      <c r="J214" s="41" t="n">
        <v>1.5</v>
      </c>
      <c r="K214" s="76" t="s">
        <v>1348</v>
      </c>
      <c r="L214" s="76" t="s">
        <v>1349</v>
      </c>
      <c r="M214" s="245"/>
      <c r="N214" s="63" t="str">
        <f aca="false">IF(AND(L214="🔄 SWAP ME",M214&lt;&gt;""),"⚡ SWAPPED","")</f>
        <v/>
      </c>
      <c r="O214" s="9" t="s">
        <v>981</v>
      </c>
      <c r="P214" s="314" t="str">
        <f aca="true">IF(AND(L214="🔄 SWAP ME",M214&lt;&gt;""),TODAY(),"")</f>
        <v/>
      </c>
      <c r="Q214" s="315" t="s">
        <v>982</v>
      </c>
    </row>
    <row r="215" customFormat="false" ht="19.5" hidden="false" customHeight="true" outlineLevel="0" collapsed="false">
      <c r="B215" s="235" t="s">
        <v>171</v>
      </c>
      <c r="C215" s="273" t="s">
        <v>126</v>
      </c>
      <c r="D215" s="244" t="n">
        <v>46295</v>
      </c>
      <c r="E215" s="36" t="s">
        <v>617</v>
      </c>
      <c r="F215" s="37" t="str">
        <f aca="false">IF(AND(L215="🔄 SWAP ME",M215&lt;&gt;""),M215,IFERROR(INDEX($O$5:$O$375,MATCH(O215,$M$5:$M$375,0)),O215))</f>
        <v>dbt: built-in tests, dbt-expectations, documentation, dbt docs serve</v>
      </c>
      <c r="G215" s="196" t="s">
        <v>425</v>
      </c>
      <c r="H215" s="39" t="n">
        <v>0.5</v>
      </c>
      <c r="I215" s="40" t="n">
        <v>0.75</v>
      </c>
      <c r="J215" s="41" t="n">
        <v>1</v>
      </c>
      <c r="K215" s="76" t="s">
        <v>1348</v>
      </c>
      <c r="L215" s="76" t="s">
        <v>1349</v>
      </c>
      <c r="M215" s="245"/>
      <c r="N215" s="63" t="str">
        <f aca="false">IF(AND(L215="🔄 SWAP ME",M215&lt;&gt;""),"⚡ SWAPPED","")</f>
        <v/>
      </c>
      <c r="O215" s="9" t="s">
        <v>983</v>
      </c>
      <c r="P215" s="314" t="str">
        <f aca="true">IF(AND(L215="🔄 SWAP ME",M215&lt;&gt;""),TODAY(),"")</f>
        <v/>
      </c>
      <c r="Q215" s="315" t="s">
        <v>984</v>
      </c>
    </row>
    <row r="216" customFormat="false" ht="19.5" hidden="false" customHeight="true" outlineLevel="0" collapsed="false">
      <c r="B216" s="235" t="s">
        <v>171</v>
      </c>
      <c r="C216" s="273" t="s">
        <v>130</v>
      </c>
      <c r="D216" s="244" t="n">
        <v>46296</v>
      </c>
      <c r="E216" s="274" t="s">
        <v>623</v>
      </c>
      <c r="F216" s="37" t="str">
        <f aca="false">IF(AND(L216="🔄 SWAP ME",M216&lt;&gt;""),M216,IFERROR(INDEX($O$5:$O$375,MATCH(O216,$M$5:$M$375,0)),O216))</f>
        <v>dbt: Incremental models — append/delete+insert/merge/insert_overwrite strategies</v>
      </c>
      <c r="G216" s="196" t="s">
        <v>425</v>
      </c>
      <c r="H216" s="39" t="n">
        <v>0.5</v>
      </c>
      <c r="I216" s="40" t="n">
        <v>1</v>
      </c>
      <c r="J216" s="41" t="n">
        <v>1.5</v>
      </c>
      <c r="K216" s="76" t="s">
        <v>1348</v>
      </c>
      <c r="L216" s="76" t="s">
        <v>1349</v>
      </c>
      <c r="M216" s="245"/>
      <c r="N216" s="63" t="str">
        <f aca="false">IF(AND(L216="🔄 SWAP ME",M216&lt;&gt;""),"⚡ SWAPPED","")</f>
        <v/>
      </c>
      <c r="O216" s="9" t="s">
        <v>985</v>
      </c>
      <c r="P216" s="314" t="str">
        <f aca="true">IF(AND(L216="🔄 SWAP ME",M216&lt;&gt;""),TODAY(),"")</f>
        <v/>
      </c>
      <c r="Q216" s="315" t="s">
        <v>986</v>
      </c>
    </row>
    <row r="217" customFormat="false" ht="19.5" hidden="false" customHeight="true" outlineLevel="0" collapsed="false">
      <c r="B217" s="235" t="s">
        <v>171</v>
      </c>
      <c r="C217" s="273" t="s">
        <v>133</v>
      </c>
      <c r="D217" s="244" t="n">
        <v>46297</v>
      </c>
      <c r="E217" s="274" t="s">
        <v>623</v>
      </c>
      <c r="F217" s="37" t="str">
        <f aca="false">IF(AND(L217="🔄 SWAP ME",M217&lt;&gt;""),M217,IFERROR(INDEX($O$5:$O$375,MATCH(O217,$M$5:$M$375,0)),O217))</f>
        <v>DSA: Amazon DSA mock — 45 min (2 medium problems), record and review</v>
      </c>
      <c r="G217" s="196" t="s">
        <v>425</v>
      </c>
      <c r="H217" s="39" t="n">
        <v>0.3</v>
      </c>
      <c r="I217" s="40" t="n">
        <v>0.5</v>
      </c>
      <c r="J217" s="41" t="n">
        <v>0.75</v>
      </c>
      <c r="K217" s="76" t="s">
        <v>1348</v>
      </c>
      <c r="L217" s="76" t="s">
        <v>1349</v>
      </c>
      <c r="M217" s="245"/>
      <c r="N217" s="63" t="str">
        <f aca="false">IF(AND(L217="🔄 SWAP ME",M217&lt;&gt;""),"⚡ SWAPPED","")</f>
        <v/>
      </c>
      <c r="O217" s="9" t="s">
        <v>987</v>
      </c>
      <c r="P217" s="314" t="str">
        <f aca="true">IF(AND(L217="🔄 SWAP ME",M217&lt;&gt;""),TODAY(),"")</f>
        <v/>
      </c>
      <c r="Q217" s="315" t="s">
        <v>988</v>
      </c>
    </row>
    <row r="218" customFormat="false" ht="19.5" hidden="false" customHeight="true" outlineLevel="0" collapsed="false">
      <c r="B218" s="235" t="s">
        <v>171</v>
      </c>
      <c r="C218" s="309" t="s">
        <v>516</v>
      </c>
      <c r="D218" s="240" t="n">
        <v>46298</v>
      </c>
      <c r="E218" s="36" t="s">
        <v>617</v>
      </c>
      <c r="F218" s="178" t="str">
        <f aca="false">IF(AND(L218="🔄 SWAP ME",M218&lt;&gt;""),M218,IFERROR(INDEX($O$5:$O$375,MATCH(O218,$M$5:$M$375,0)),O218))</f>
        <v>dbt: Snapshots (SCD2), macros (Jinja), dbt_utils, dbt Cloud CI (Slim CI)</v>
      </c>
      <c r="G218" s="196" t="s">
        <v>425</v>
      </c>
      <c r="H218" s="39" t="n">
        <v>1</v>
      </c>
      <c r="I218" s="40" t="n">
        <v>1.5</v>
      </c>
      <c r="J218" s="41" t="n">
        <v>2</v>
      </c>
      <c r="K218" s="179" t="s">
        <v>1351</v>
      </c>
      <c r="L218" s="179" t="s">
        <v>1349</v>
      </c>
      <c r="M218" s="241"/>
      <c r="N218" s="316" t="str">
        <f aca="false">IF(AND(L218="🔄 SWAP ME",M218&lt;&gt;""),"⚡ SWAPPED","")</f>
        <v/>
      </c>
      <c r="O218" s="9" t="s">
        <v>989</v>
      </c>
      <c r="P218" s="317" t="str">
        <f aca="true">IF(AND(L218="🔄 SWAP ME",M218&lt;&gt;""),TODAY(),"")</f>
        <v/>
      </c>
      <c r="Q218" s="315" t="s">
        <v>990</v>
      </c>
    </row>
    <row r="219" customFormat="false" ht="19.5" hidden="false" customHeight="true" outlineLevel="0" collapsed="false">
      <c r="B219" s="235" t="s">
        <v>171</v>
      </c>
      <c r="C219" s="309" t="s">
        <v>517</v>
      </c>
      <c r="D219" s="240" t="n">
        <v>46299</v>
      </c>
      <c r="E219" s="274" t="s">
        <v>623</v>
      </c>
      <c r="F219" s="178" t="str">
        <f aca="false">IF(AND(L219="🔄 SWAP ME",M219&lt;&gt;""),M219,IFERROR(INDEX($O$5:$O$375,MATCH(O219,$M$5:$M$375,0)),O219))</f>
        <v>P20: Build dbt project on Databricks — Bronze/Silver/Gold + SCD2 + tests + docs</v>
      </c>
      <c r="G219" s="196" t="s">
        <v>425</v>
      </c>
      <c r="H219" s="39" t="n">
        <v>1.5</v>
      </c>
      <c r="I219" s="40" t="n">
        <v>3</v>
      </c>
      <c r="J219" s="41" t="n">
        <v>5</v>
      </c>
      <c r="K219" s="179" t="s">
        <v>1352</v>
      </c>
      <c r="L219" s="179" t="s">
        <v>1349</v>
      </c>
      <c r="M219" s="241"/>
      <c r="N219" s="316" t="str">
        <f aca="false">IF(AND(L219="🔄 SWAP ME",M219&lt;&gt;""),"⚡ SWAPPED","")</f>
        <v/>
      </c>
      <c r="O219" s="9" t="s">
        <v>991</v>
      </c>
      <c r="P219" s="317" t="str">
        <f aca="true">IF(AND(L219="🔄 SWAP ME",M219&lt;&gt;""),TODAY(),"")</f>
        <v/>
      </c>
      <c r="Q219" s="315" t="s">
        <v>1393</v>
      </c>
    </row>
    <row r="220" customFormat="false" ht="12" hidden="false" customHeight="true" outlineLevel="0" collapsed="false">
      <c r="B220" s="325" t="s">
        <v>1394</v>
      </c>
      <c r="C220" s="325"/>
      <c r="D220" s="325"/>
      <c r="E220" s="325"/>
      <c r="F220" s="325"/>
      <c r="G220" s="325"/>
      <c r="H220" s="325"/>
      <c r="I220" s="325"/>
      <c r="J220" s="325"/>
      <c r="K220" s="325"/>
      <c r="L220" s="325"/>
      <c r="M220" s="325"/>
      <c r="N220" s="325"/>
      <c r="O220" s="325"/>
      <c r="P220" s="325"/>
      <c r="Q220" s="325"/>
    </row>
    <row r="221" customFormat="false" ht="19.5" hidden="false" customHeight="true" outlineLevel="0" collapsed="false">
      <c r="B221" s="235" t="s">
        <v>172</v>
      </c>
      <c r="C221" s="273" t="s">
        <v>118</v>
      </c>
      <c r="D221" s="244" t="n">
        <v>46300</v>
      </c>
      <c r="E221" s="36" t="s">
        <v>617</v>
      </c>
      <c r="F221" s="37" t="str">
        <f aca="false">IF(AND(L221="🔄 SWAP ME",M221&lt;&gt;""),M221,IFERROR(INDEX($O$5:$O$375,MATCH(O221,$M$5:$M$375,0)),O221))</f>
        <v>dbt: Semantic Layer/MetricFlow, Python models, dbt-databricks/snowflake adapters</v>
      </c>
      <c r="G221" s="196" t="s">
        <v>425</v>
      </c>
      <c r="H221" s="39" t="n">
        <v>0.5</v>
      </c>
      <c r="I221" s="40" t="n">
        <v>0.75</v>
      </c>
      <c r="J221" s="41" t="n">
        <v>1</v>
      </c>
      <c r="K221" s="76" t="s">
        <v>1348</v>
      </c>
      <c r="L221" s="76" t="s">
        <v>1349</v>
      </c>
      <c r="M221" s="245"/>
      <c r="N221" s="63" t="str">
        <f aca="false">IF(AND(L221="🔄 SWAP ME",M221&lt;&gt;""),"⚡ SWAPPED","")</f>
        <v/>
      </c>
      <c r="O221" s="9" t="s">
        <v>993</v>
      </c>
      <c r="P221" s="314" t="str">
        <f aca="true">IF(AND(L221="🔄 SWAP ME",M221&lt;&gt;""),TODAY(),"")</f>
        <v/>
      </c>
      <c r="Q221" s="315" t="s">
        <v>994</v>
      </c>
    </row>
    <row r="222" customFormat="false" ht="19.5" hidden="false" customHeight="true" outlineLevel="0" collapsed="false">
      <c r="B222" s="235" t="s">
        <v>172</v>
      </c>
      <c r="C222" s="273" t="s">
        <v>123</v>
      </c>
      <c r="D222" s="244" t="n">
        <v>46301</v>
      </c>
      <c r="E222" s="36" t="s">
        <v>617</v>
      </c>
      <c r="F222" s="37" t="str">
        <f aca="false">IF(AND(L222="🔄 SWAP ME",M222&lt;&gt;""),M222,IFERROR(INDEX($O$5:$O$375,MATCH(O222,$M$5:$M$375,0)),O222))</f>
        <v>dbt: Slim CI (state comparison), dbt defer, advanced testing patterns</v>
      </c>
      <c r="G222" s="196" t="s">
        <v>425</v>
      </c>
      <c r="H222" s="39" t="n">
        <v>0.5</v>
      </c>
      <c r="I222" s="40" t="n">
        <v>0.75</v>
      </c>
      <c r="J222" s="41" t="n">
        <v>1</v>
      </c>
      <c r="K222" s="76" t="s">
        <v>1348</v>
      </c>
      <c r="L222" s="76" t="s">
        <v>1349</v>
      </c>
      <c r="M222" s="245"/>
      <c r="N222" s="63" t="str">
        <f aca="false">IF(AND(L222="🔄 SWAP ME",M222&lt;&gt;""),"⚡ SWAPPED","")</f>
        <v/>
      </c>
      <c r="O222" s="9" t="s">
        <v>995</v>
      </c>
      <c r="P222" s="314" t="str">
        <f aca="true">IF(AND(L222="🔄 SWAP ME",M222&lt;&gt;""),TODAY(),"")</f>
        <v/>
      </c>
      <c r="Q222" s="315" t="s">
        <v>996</v>
      </c>
    </row>
    <row r="223" customFormat="false" ht="19.5" hidden="false" customHeight="true" outlineLevel="0" collapsed="false">
      <c r="B223" s="235" t="s">
        <v>172</v>
      </c>
      <c r="C223" s="273" t="s">
        <v>126</v>
      </c>
      <c r="D223" s="244" t="n">
        <v>46302</v>
      </c>
      <c r="E223" s="36" t="s">
        <v>617</v>
      </c>
      <c r="F223" s="37" t="str">
        <f aca="false">IF(AND(L223="🔄 SWAP ME",M223&lt;&gt;""),M223,IFERROR(INDEX($O$5:$O$375,MATCH(O223,$M$5:$M$375,0)),O223))</f>
        <v>P20 cont: Add dbt Semantic Layer + CI/CD with GitHub Actions for dbt Cloud</v>
      </c>
      <c r="G223" s="196" t="s">
        <v>425</v>
      </c>
      <c r="H223" s="39" t="n">
        <v>0.5</v>
      </c>
      <c r="I223" s="40" t="n">
        <v>1</v>
      </c>
      <c r="J223" s="41" t="n">
        <v>2</v>
      </c>
      <c r="K223" s="76" t="s">
        <v>1348</v>
      </c>
      <c r="L223" s="76" t="s">
        <v>1349</v>
      </c>
      <c r="M223" s="245"/>
      <c r="N223" s="63" t="str">
        <f aca="false">IF(AND(L223="🔄 SWAP ME",M223&lt;&gt;""),"⚡ SWAPPED","")</f>
        <v/>
      </c>
      <c r="O223" s="9" t="s">
        <v>997</v>
      </c>
      <c r="P223" s="314" t="str">
        <f aca="true">IF(AND(L223="🔄 SWAP ME",M223&lt;&gt;""),TODAY(),"")</f>
        <v/>
      </c>
      <c r="Q223" s="315" t="s">
        <v>998</v>
      </c>
    </row>
    <row r="224" customFormat="false" ht="19.5" hidden="false" customHeight="true" outlineLevel="0" collapsed="false">
      <c r="B224" s="235" t="s">
        <v>172</v>
      </c>
      <c r="C224" s="273" t="s">
        <v>130</v>
      </c>
      <c r="D224" s="244" t="n">
        <v>46303</v>
      </c>
      <c r="E224" s="274" t="s">
        <v>623</v>
      </c>
      <c r="F224" s="37" t="str">
        <f aca="false">IF(AND(L224="🔄 SWAP ME",M224&lt;&gt;""),M224,IFERROR(INDEX($O$5:$O$375,MATCH(O224,$M$5:$M$375,0)),O224))</f>
        <v>P21: Design Ola/Uber star schema + Data Vault comparison + implement in SQL + dbt</v>
      </c>
      <c r="G224" s="196" t="s">
        <v>425</v>
      </c>
      <c r="H224" s="39" t="n">
        <v>0.5</v>
      </c>
      <c r="I224" s="40" t="n">
        <v>1.5</v>
      </c>
      <c r="J224" s="41" t="n">
        <v>3</v>
      </c>
      <c r="K224" s="76" t="s">
        <v>1351</v>
      </c>
      <c r="L224" s="76" t="s">
        <v>1349</v>
      </c>
      <c r="M224" s="245"/>
      <c r="N224" s="63" t="str">
        <f aca="false">IF(AND(L224="🔄 SWAP ME",M224&lt;&gt;""),"⚡ SWAPPED","")</f>
        <v/>
      </c>
      <c r="O224" s="9" t="s">
        <v>999</v>
      </c>
      <c r="P224" s="314" t="str">
        <f aca="true">IF(AND(L224="🔄 SWAP ME",M224&lt;&gt;""),TODAY(),"")</f>
        <v/>
      </c>
      <c r="Q224" s="315" t="s">
        <v>1000</v>
      </c>
    </row>
    <row r="225" customFormat="false" ht="19.5" hidden="false" customHeight="true" outlineLevel="0" collapsed="false">
      <c r="B225" s="235" t="s">
        <v>172</v>
      </c>
      <c r="C225" s="273" t="s">
        <v>133</v>
      </c>
      <c r="D225" s="244" t="n">
        <v>46304</v>
      </c>
      <c r="E225" s="274" t="s">
        <v>623</v>
      </c>
      <c r="F225" s="37" t="str">
        <f aca="false">IF(AND(L225="🔄 SWAP ME",M225&lt;&gt;""),M225,IFERROR(INDEX($O$5:$O$375,MATCH(O225,$M$5:$M$375,0)),O225))</f>
        <v>DSA: Flipkart mock — 90 min machine coding, complete Python OOP system</v>
      </c>
      <c r="G225" s="196" t="s">
        <v>425</v>
      </c>
      <c r="H225" s="39" t="n">
        <v>0.3</v>
      </c>
      <c r="I225" s="40" t="n">
        <v>0.5</v>
      </c>
      <c r="J225" s="41" t="n">
        <v>0.75</v>
      </c>
      <c r="K225" s="76" t="s">
        <v>1348</v>
      </c>
      <c r="L225" s="76" t="s">
        <v>1349</v>
      </c>
      <c r="M225" s="245"/>
      <c r="N225" s="63" t="str">
        <f aca="false">IF(AND(L225="🔄 SWAP ME",M225&lt;&gt;""),"⚡ SWAPPED","")</f>
        <v/>
      </c>
      <c r="O225" s="9" t="s">
        <v>1001</v>
      </c>
      <c r="P225" s="314" t="str">
        <f aca="true">IF(AND(L225="🔄 SWAP ME",M225&lt;&gt;""),TODAY(),"")</f>
        <v/>
      </c>
      <c r="Q225" s="315" t="s">
        <v>1002</v>
      </c>
    </row>
    <row r="226" customFormat="false" ht="19.5" hidden="false" customHeight="true" outlineLevel="0" collapsed="false">
      <c r="B226" s="235" t="s">
        <v>172</v>
      </c>
      <c r="C226" s="309" t="s">
        <v>516</v>
      </c>
      <c r="D226" s="240" t="n">
        <v>46305</v>
      </c>
      <c r="E226" s="274" t="s">
        <v>623</v>
      </c>
      <c r="F226" s="178" t="str">
        <f aca="false">IF(AND(L226="🔄 SWAP ME",M226&lt;&gt;""),M226,IFERROR(INDEX($O$5:$O$375,MATCH(O226,$M$5:$M$375,0)),O226))</f>
        <v>DWH + dbt interview prep — 10 practice questions with whiteboard answers</v>
      </c>
      <c r="G226" s="196" t="s">
        <v>425</v>
      </c>
      <c r="H226" s="39" t="n">
        <v>1</v>
      </c>
      <c r="I226" s="40" t="n">
        <v>1.5</v>
      </c>
      <c r="J226" s="41" t="n">
        <v>2</v>
      </c>
      <c r="K226" s="179" t="s">
        <v>1351</v>
      </c>
      <c r="L226" s="179" t="s">
        <v>1349</v>
      </c>
      <c r="M226" s="241"/>
      <c r="N226" s="316" t="str">
        <f aca="false">IF(AND(L226="🔄 SWAP ME",M226&lt;&gt;""),"⚡ SWAPPED","")</f>
        <v/>
      </c>
      <c r="O226" s="9" t="s">
        <v>1003</v>
      </c>
      <c r="P226" s="317" t="str">
        <f aca="true">IF(AND(L226="🔄 SWAP ME",M226&lt;&gt;""),TODAY(),"")</f>
        <v/>
      </c>
      <c r="Q226" s="315" t="s">
        <v>1004</v>
      </c>
    </row>
    <row r="227" customFormat="false" ht="19.5" hidden="false" customHeight="true" outlineLevel="0" collapsed="false">
      <c r="B227" s="235" t="s">
        <v>172</v>
      </c>
      <c r="C227" s="309" t="s">
        <v>517</v>
      </c>
      <c r="D227" s="240" t="n">
        <v>46306</v>
      </c>
      <c r="E227" s="274" t="s">
        <v>623</v>
      </c>
      <c r="F227" s="178" t="str">
        <f aca="false">IF(AND(L227="🔄 SWAP ME",M227&lt;&gt;""),M227,IFERROR(INDEX($O$5:$O$375,MATCH(O227,$M$5:$M$375,0)),O227))</f>
        <v>P20 final: Deploy dbt project to production-equivalent environment with monitoring</v>
      </c>
      <c r="G227" s="196" t="s">
        <v>425</v>
      </c>
      <c r="H227" s="39" t="n">
        <v>1.5</v>
      </c>
      <c r="I227" s="40" t="n">
        <v>3</v>
      </c>
      <c r="J227" s="41" t="n">
        <v>5</v>
      </c>
      <c r="K227" s="179" t="s">
        <v>1352</v>
      </c>
      <c r="L227" s="179" t="s">
        <v>1349</v>
      </c>
      <c r="M227" s="241"/>
      <c r="N227" s="316" t="str">
        <f aca="false">IF(AND(L227="🔄 SWAP ME",M227&lt;&gt;""),"⚡ SWAPPED","")</f>
        <v/>
      </c>
      <c r="O227" s="9" t="s">
        <v>1005</v>
      </c>
      <c r="P227" s="317" t="str">
        <f aca="true">IF(AND(L227="🔄 SWAP ME",M227&lt;&gt;""),TODAY(),"")</f>
        <v/>
      </c>
      <c r="Q227" s="315" t="s">
        <v>1006</v>
      </c>
    </row>
    <row r="228" customFormat="false" ht="12" hidden="false" customHeight="true" outlineLevel="0" collapsed="false">
      <c r="B228" s="318" t="s">
        <v>1395</v>
      </c>
      <c r="C228" s="318"/>
      <c r="D228" s="318"/>
      <c r="E228" s="318"/>
      <c r="F228" s="318"/>
      <c r="G228" s="318"/>
      <c r="H228" s="318"/>
      <c r="I228" s="318"/>
      <c r="J228" s="318"/>
      <c r="K228" s="318"/>
      <c r="L228" s="318"/>
      <c r="M228" s="318"/>
      <c r="N228" s="318"/>
      <c r="O228" s="318"/>
      <c r="P228" s="318"/>
      <c r="Q228" s="318"/>
    </row>
    <row r="229" customFormat="false" ht="19.5" hidden="false" customHeight="true" outlineLevel="0" collapsed="false">
      <c r="B229" s="319" t="s">
        <v>173</v>
      </c>
      <c r="C229" s="273" t="s">
        <v>118</v>
      </c>
      <c r="D229" s="244" t="n">
        <v>46307</v>
      </c>
      <c r="E229" s="274" t="s">
        <v>623</v>
      </c>
      <c r="F229" s="37" t="str">
        <f aca="false">IF(AND(L229="🔄 SWAP ME",M229&lt;&gt;""),M229,IFERROR(INDEX($O$5:$O$375,MATCH(O229,$M$5:$M$375,0)),O229))</f>
        <v>Snowflake: 3-layer architecture, micro-partitions, Virtual Warehouses, multi-cluster</v>
      </c>
      <c r="G229" s="182" t="s">
        <v>434</v>
      </c>
      <c r="H229" s="39" t="n">
        <v>0.5</v>
      </c>
      <c r="I229" s="40" t="n">
        <v>1</v>
      </c>
      <c r="J229" s="41" t="n">
        <v>1.5</v>
      </c>
      <c r="K229" s="76" t="s">
        <v>1348</v>
      </c>
      <c r="L229" s="76" t="s">
        <v>1349</v>
      </c>
      <c r="M229" s="245"/>
      <c r="N229" s="63" t="str">
        <f aca="false">IF(AND(L229="🔄 SWAP ME",M229&lt;&gt;""),"⚡ SWAPPED","")</f>
        <v/>
      </c>
      <c r="O229" s="9" t="s">
        <v>1008</v>
      </c>
      <c r="P229" s="314" t="str">
        <f aca="true">IF(AND(L229="🔄 SWAP ME",M229&lt;&gt;""),TODAY(),"")</f>
        <v/>
      </c>
      <c r="Q229" s="270" t="s">
        <v>1009</v>
      </c>
    </row>
    <row r="230" customFormat="false" ht="19.5" hidden="false" customHeight="true" outlineLevel="0" collapsed="false">
      <c r="B230" s="319" t="s">
        <v>173</v>
      </c>
      <c r="C230" s="273" t="s">
        <v>123</v>
      </c>
      <c r="D230" s="244" t="n">
        <v>46308</v>
      </c>
      <c r="E230" s="274" t="s">
        <v>623</v>
      </c>
      <c r="F230" s="37" t="str">
        <f aca="false">IF(AND(L230="🔄 SWAP ME",M230&lt;&gt;""),M230,IFERROR(INDEX($O$5:$O$375,MATCH(O230,$M$5:$M$375,0)),O230))</f>
        <v>Snowflake: SnowPipe, Streams (standard/append-only), Tasks, Dynamic Tables</v>
      </c>
      <c r="G230" s="182" t="s">
        <v>434</v>
      </c>
      <c r="H230" s="39" t="n">
        <v>0.5</v>
      </c>
      <c r="I230" s="40" t="n">
        <v>1</v>
      </c>
      <c r="J230" s="41" t="n">
        <v>1.5</v>
      </c>
      <c r="K230" s="76" t="s">
        <v>1348</v>
      </c>
      <c r="L230" s="76" t="s">
        <v>1349</v>
      </c>
      <c r="M230" s="245"/>
      <c r="N230" s="63" t="str">
        <f aca="false">IF(AND(L230="🔄 SWAP ME",M230&lt;&gt;""),"⚡ SWAPPED","")</f>
        <v/>
      </c>
      <c r="O230" s="9" t="s">
        <v>1010</v>
      </c>
      <c r="P230" s="314" t="str">
        <f aca="true">IF(AND(L230="🔄 SWAP ME",M230&lt;&gt;""),TODAY(),"")</f>
        <v/>
      </c>
      <c r="Q230" s="270" t="s">
        <v>1009</v>
      </c>
    </row>
    <row r="231" customFormat="false" ht="19.5" hidden="false" customHeight="true" outlineLevel="0" collapsed="false">
      <c r="B231" s="319" t="s">
        <v>173</v>
      </c>
      <c r="C231" s="273" t="s">
        <v>126</v>
      </c>
      <c r="D231" s="244" t="n">
        <v>46309</v>
      </c>
      <c r="E231" s="36" t="s">
        <v>617</v>
      </c>
      <c r="F231" s="37" t="str">
        <f aca="false">IF(AND(L231="🔄 SWAP ME",M231&lt;&gt;""),M231,IFERROR(INDEX($O$5:$O$375,MATCH(O231,$M$5:$M$375,0)),O231))</f>
        <v>Snowflake: RBAC system roles, Time Travel, Fail-safe, zero-copy cloning</v>
      </c>
      <c r="G231" s="182" t="s">
        <v>434</v>
      </c>
      <c r="H231" s="39" t="n">
        <v>0.5</v>
      </c>
      <c r="I231" s="40" t="n">
        <v>0.75</v>
      </c>
      <c r="J231" s="41" t="n">
        <v>1</v>
      </c>
      <c r="K231" s="76" t="s">
        <v>1348</v>
      </c>
      <c r="L231" s="76" t="s">
        <v>1349</v>
      </c>
      <c r="M231" s="245"/>
      <c r="N231" s="63" t="str">
        <f aca="false">IF(AND(L231="🔄 SWAP ME",M231&lt;&gt;""),"⚡ SWAPPED","")</f>
        <v/>
      </c>
      <c r="O231" s="9" t="s">
        <v>1011</v>
      </c>
      <c r="P231" s="314" t="str">
        <f aca="true">IF(AND(L231="🔄 SWAP ME",M231&lt;&gt;""),TODAY(),"")</f>
        <v/>
      </c>
      <c r="Q231" s="315" t="s">
        <v>1012</v>
      </c>
    </row>
    <row r="232" customFormat="false" ht="19.5" hidden="false" customHeight="true" outlineLevel="0" collapsed="false">
      <c r="B232" s="319" t="s">
        <v>173</v>
      </c>
      <c r="C232" s="273" t="s">
        <v>130</v>
      </c>
      <c r="D232" s="244" t="n">
        <v>46310</v>
      </c>
      <c r="E232" s="274" t="s">
        <v>623</v>
      </c>
      <c r="F232" s="37" t="str">
        <f aca="false">IF(AND(L232="🔄 SWAP ME",M232&lt;&gt;""),M232,IFERROR(INDEX($O$5:$O$375,MATCH(O232,$M$5:$M$375,0)),O232))</f>
        <v>Snowflake: Column masking, row access policies, Horizon governance, network policies</v>
      </c>
      <c r="G232" s="182" t="s">
        <v>434</v>
      </c>
      <c r="H232" s="39" t="n">
        <v>0.5</v>
      </c>
      <c r="I232" s="40" t="n">
        <v>1</v>
      </c>
      <c r="J232" s="41" t="n">
        <v>1.5</v>
      </c>
      <c r="K232" s="76" t="s">
        <v>1348</v>
      </c>
      <c r="L232" s="76" t="s">
        <v>1349</v>
      </c>
      <c r="M232" s="245"/>
      <c r="N232" s="63" t="str">
        <f aca="false">IF(AND(L232="🔄 SWAP ME",M232&lt;&gt;""),"⚡ SWAPPED","")</f>
        <v/>
      </c>
      <c r="O232" s="9" t="s">
        <v>1013</v>
      </c>
      <c r="P232" s="314" t="str">
        <f aca="true">IF(AND(L232="🔄 SWAP ME",M232&lt;&gt;""),TODAY(),"")</f>
        <v/>
      </c>
      <c r="Q232" s="315" t="s">
        <v>1014</v>
      </c>
    </row>
    <row r="233" customFormat="false" ht="19.5" hidden="false" customHeight="true" outlineLevel="0" collapsed="false">
      <c r="B233" s="319" t="s">
        <v>173</v>
      </c>
      <c r="C233" s="273" t="s">
        <v>133</v>
      </c>
      <c r="D233" s="244" t="n">
        <v>46311</v>
      </c>
      <c r="E233" s="274" t="s">
        <v>623</v>
      </c>
      <c r="F233" s="37" t="str">
        <f aca="false">IF(AND(L233="🔄 SWAP ME",M233&lt;&gt;""),M233,IFERROR(INDEX($O$5:$O$375,MATCH(O233,$M$5:$M$375,0)),O233))</f>
        <v>DSA: Timed mock — 45 min, 2 medium problems from Amazon/Flipkart filter</v>
      </c>
      <c r="G233" s="182" t="s">
        <v>434</v>
      </c>
      <c r="H233" s="39" t="n">
        <v>0.3</v>
      </c>
      <c r="I233" s="40" t="n">
        <v>0.5</v>
      </c>
      <c r="J233" s="41" t="n">
        <v>0.75</v>
      </c>
      <c r="K233" s="76" t="s">
        <v>1348</v>
      </c>
      <c r="L233" s="76" t="s">
        <v>1349</v>
      </c>
      <c r="M233" s="245"/>
      <c r="N233" s="63" t="str">
        <f aca="false">IF(AND(L233="🔄 SWAP ME",M233&lt;&gt;""),"⚡ SWAPPED","")</f>
        <v/>
      </c>
      <c r="O233" s="9" t="s">
        <v>1015</v>
      </c>
      <c r="P233" s="314" t="str">
        <f aca="true">IF(AND(L233="🔄 SWAP ME",M233&lt;&gt;""),TODAY(),"")</f>
        <v/>
      </c>
      <c r="Q233" s="315" t="s">
        <v>1016</v>
      </c>
    </row>
    <row r="234" customFormat="false" ht="19.5" hidden="false" customHeight="true" outlineLevel="0" collapsed="false">
      <c r="B234" s="319" t="s">
        <v>173</v>
      </c>
      <c r="C234" s="309" t="s">
        <v>516</v>
      </c>
      <c r="D234" s="240" t="n">
        <v>46312</v>
      </c>
      <c r="E234" s="274" t="s">
        <v>623</v>
      </c>
      <c r="F234" s="178" t="str">
        <f aca="false">IF(AND(L234="🔄 SWAP ME",M234&lt;&gt;""),M234,IFERROR(INDEX($O$5:$O$375,MATCH(O234,$M$5:$M$375,0)),O234))</f>
        <v>P22-P24: 3 Snowflake projects (News API, Car Rental SCD2, Movies CDC) from course</v>
      </c>
      <c r="G234" s="182" t="s">
        <v>434</v>
      </c>
      <c r="H234" s="39" t="n">
        <v>2</v>
      </c>
      <c r="I234" s="40" t="n">
        <v>4</v>
      </c>
      <c r="J234" s="41" t="n">
        <v>6</v>
      </c>
      <c r="K234" s="179" t="s">
        <v>1352</v>
      </c>
      <c r="L234" s="179" t="s">
        <v>1349</v>
      </c>
      <c r="M234" s="241"/>
      <c r="N234" s="316" t="str">
        <f aca="false">IF(AND(L234="🔄 SWAP ME",M234&lt;&gt;""),"⚡ SWAPPED","")</f>
        <v/>
      </c>
      <c r="O234" s="9" t="s">
        <v>1017</v>
      </c>
      <c r="P234" s="317" t="str">
        <f aca="true">IF(AND(L234="🔄 SWAP ME",M234&lt;&gt;""),TODAY(),"")</f>
        <v/>
      </c>
      <c r="Q234" s="270" t="s">
        <v>1018</v>
      </c>
    </row>
    <row r="235" customFormat="false" ht="19.5" hidden="false" customHeight="true" outlineLevel="0" collapsed="false">
      <c r="B235" s="319" t="s">
        <v>173</v>
      </c>
      <c r="C235" s="309" t="s">
        <v>517</v>
      </c>
      <c r="D235" s="240" t="n">
        <v>46313</v>
      </c>
      <c r="E235" s="274" t="s">
        <v>623</v>
      </c>
      <c r="F235" s="178" t="str">
        <f aca="false">IF(AND(L235="🔄 SWAP ME",M235&lt;&gt;""),M235,IFERROR(INDEX($O$5:$O$375,MATCH(O235,$M$5:$M$375,0)),O235))</f>
        <v>Snowflake performance: Query Profile, clustering, search optimization, spill</v>
      </c>
      <c r="G235" s="182" t="s">
        <v>434</v>
      </c>
      <c r="H235" s="39" t="n">
        <v>1.5</v>
      </c>
      <c r="I235" s="40" t="n">
        <v>3</v>
      </c>
      <c r="J235" s="41" t="n">
        <v>4</v>
      </c>
      <c r="K235" s="179" t="s">
        <v>1352</v>
      </c>
      <c r="L235" s="179" t="s">
        <v>1349</v>
      </c>
      <c r="M235" s="241"/>
      <c r="N235" s="316" t="str">
        <f aca="false">IF(AND(L235="🔄 SWAP ME",M235&lt;&gt;""),"⚡ SWAPPED","")</f>
        <v/>
      </c>
      <c r="O235" s="9" t="s">
        <v>1019</v>
      </c>
      <c r="P235" s="317" t="str">
        <f aca="true">IF(AND(L235="🔄 SWAP ME",M235&lt;&gt;""),TODAY(),"")</f>
        <v/>
      </c>
      <c r="Q235" s="315" t="s">
        <v>1020</v>
      </c>
    </row>
    <row r="236" customFormat="false" ht="12" hidden="false" customHeight="true" outlineLevel="0" collapsed="false">
      <c r="B236" s="318" t="s">
        <v>1396</v>
      </c>
      <c r="C236" s="318"/>
      <c r="D236" s="318"/>
      <c r="E236" s="318"/>
      <c r="F236" s="318"/>
      <c r="G236" s="318"/>
      <c r="H236" s="318"/>
      <c r="I236" s="318"/>
      <c r="J236" s="318"/>
      <c r="K236" s="318"/>
      <c r="L236" s="318"/>
      <c r="M236" s="318"/>
      <c r="N236" s="318"/>
      <c r="O236" s="318"/>
      <c r="P236" s="318"/>
      <c r="Q236" s="318"/>
    </row>
    <row r="237" customFormat="false" ht="19.5" hidden="false" customHeight="true" outlineLevel="0" collapsed="false">
      <c r="B237" s="319" t="s">
        <v>174</v>
      </c>
      <c r="C237" s="273" t="s">
        <v>118</v>
      </c>
      <c r="D237" s="244" t="n">
        <v>46314</v>
      </c>
      <c r="E237" s="274" t="s">
        <v>623</v>
      </c>
      <c r="F237" s="37" t="str">
        <f aca="false">IF(AND(L237="🔄 SWAP ME",M237&lt;&gt;""),M237,IFERROR(INDEX($O$5:$O$375,MATCH(O237,$M$5:$M$375,0)),O237))</f>
        <v>Snowflake: Kafka Connector, Snowpipe Streaming, Iceberg tables in Snowflake</v>
      </c>
      <c r="G237" s="182" t="s">
        <v>434</v>
      </c>
      <c r="H237" s="39" t="n">
        <v>0.5</v>
      </c>
      <c r="I237" s="40" t="n">
        <v>1</v>
      </c>
      <c r="J237" s="41" t="n">
        <v>1.5</v>
      </c>
      <c r="K237" s="76" t="s">
        <v>1348</v>
      </c>
      <c r="L237" s="76" t="s">
        <v>1349</v>
      </c>
      <c r="M237" s="245"/>
      <c r="N237" s="63" t="str">
        <f aca="false">IF(AND(L237="🔄 SWAP ME",M237&lt;&gt;""),"⚡ SWAPPED","")</f>
        <v/>
      </c>
      <c r="O237" s="9" t="s">
        <v>1021</v>
      </c>
      <c r="P237" s="314" t="str">
        <f aca="true">IF(AND(L237="🔄 SWAP ME",M237&lt;&gt;""),TODAY(),"")</f>
        <v/>
      </c>
      <c r="Q237" s="315" t="s">
        <v>1022</v>
      </c>
    </row>
    <row r="238" customFormat="false" ht="19.5" hidden="false" customHeight="true" outlineLevel="0" collapsed="false">
      <c r="B238" s="319" t="s">
        <v>174</v>
      </c>
      <c r="C238" s="273" t="s">
        <v>123</v>
      </c>
      <c r="D238" s="244" t="n">
        <v>46315</v>
      </c>
      <c r="E238" s="36" t="s">
        <v>617</v>
      </c>
      <c r="F238" s="37" t="str">
        <f aca="false">IF(AND(L238="🔄 SWAP ME",M238&lt;&gt;""),M238,IFERROR(INDEX($O$5:$O$375,MATCH(O238,$M$5:$M$375,0)),O238))</f>
        <v>Snowflake: Snowpark Python, Cortex LLM functions, Streamlit in Snowflake</v>
      </c>
      <c r="G238" s="182" t="s">
        <v>434</v>
      </c>
      <c r="H238" s="39" t="n">
        <v>0.5</v>
      </c>
      <c r="I238" s="40" t="n">
        <v>0.75</v>
      </c>
      <c r="J238" s="41" t="n">
        <v>1</v>
      </c>
      <c r="K238" s="76" t="s">
        <v>1348</v>
      </c>
      <c r="L238" s="76" t="s">
        <v>1349</v>
      </c>
      <c r="M238" s="245"/>
      <c r="N238" s="63" t="str">
        <f aca="false">IF(AND(L238="🔄 SWAP ME",M238&lt;&gt;""),"⚡ SWAPPED","")</f>
        <v/>
      </c>
      <c r="O238" s="9" t="s">
        <v>1023</v>
      </c>
      <c r="P238" s="314" t="str">
        <f aca="true">IF(AND(L238="🔄 SWAP ME",M238&lt;&gt;""),TODAY(),"")</f>
        <v/>
      </c>
      <c r="Q238" s="315" t="s">
        <v>1024</v>
      </c>
    </row>
    <row r="239" customFormat="false" ht="19.5" hidden="false" customHeight="true" outlineLevel="0" collapsed="false">
      <c r="B239" s="319" t="s">
        <v>174</v>
      </c>
      <c r="C239" s="273" t="s">
        <v>126</v>
      </c>
      <c r="D239" s="244" t="n">
        <v>46316</v>
      </c>
      <c r="E239" s="274" t="s">
        <v>623</v>
      </c>
      <c r="F239" s="37" t="str">
        <f aca="false">IF(AND(L239="🔄 SWAP ME",M239&lt;&gt;""),M239,IFERROR(INDEX($O$5:$O$375,MATCH(O239,$M$5:$M$375,0)),O239))</f>
        <v>Snowflake vs Synapse vs Databricks — decision guide (must-know for 80+ LPA)</v>
      </c>
      <c r="G239" s="182" t="s">
        <v>434</v>
      </c>
      <c r="H239" s="39" t="n">
        <v>0.5</v>
      </c>
      <c r="I239" s="40" t="n">
        <v>0.75</v>
      </c>
      <c r="J239" s="41" t="n">
        <v>1</v>
      </c>
      <c r="K239" s="76" t="s">
        <v>1348</v>
      </c>
      <c r="L239" s="76" t="s">
        <v>1349</v>
      </c>
      <c r="M239" s="245"/>
      <c r="N239" s="63" t="str">
        <f aca="false">IF(AND(L239="🔄 SWAP ME",M239&lt;&gt;""),"⚡ SWAPPED","")</f>
        <v/>
      </c>
      <c r="O239" s="9" t="s">
        <v>1025</v>
      </c>
      <c r="P239" s="314" t="str">
        <f aca="true">IF(AND(L239="🔄 SWAP ME",M239&lt;&gt;""),TODAY(),"")</f>
        <v/>
      </c>
      <c r="Q239" s="315" t="s">
        <v>1026</v>
      </c>
    </row>
    <row r="240" customFormat="false" ht="19.5" hidden="false" customHeight="true" outlineLevel="0" collapsed="false">
      <c r="B240" s="319" t="s">
        <v>174</v>
      </c>
      <c r="C240" s="273" t="s">
        <v>130</v>
      </c>
      <c r="D240" s="244" t="n">
        <v>46317</v>
      </c>
      <c r="E240" s="274" t="s">
        <v>623</v>
      </c>
      <c r="F240" s="37" t="str">
        <f aca="false">IF(AND(L240="🔄 SWAP ME",M240&lt;&gt;""),M240,IFERROR(INDEX($O$5:$O$375,MATCH(O240,$M$5:$M$375,0)),O240))</f>
        <v>📅 SNOWPRO CORE EXAM PREP: Tom Bailey mock exam (100 questions, timed)</v>
      </c>
      <c r="G240" s="182" t="s">
        <v>434</v>
      </c>
      <c r="H240" s="39" t="n">
        <v>0.5</v>
      </c>
      <c r="I240" s="40" t="n">
        <v>1.5</v>
      </c>
      <c r="J240" s="41" t="n">
        <v>2.5</v>
      </c>
      <c r="K240" s="76" t="s">
        <v>1351</v>
      </c>
      <c r="L240" s="76" t="s">
        <v>1349</v>
      </c>
      <c r="M240" s="245"/>
      <c r="N240" s="63" t="str">
        <f aca="false">IF(AND(L240="🔄 SWAP ME",M240&lt;&gt;""),"⚡ SWAPPED","")</f>
        <v/>
      </c>
      <c r="O240" s="9" t="s">
        <v>1027</v>
      </c>
      <c r="P240" s="314" t="str">
        <f aca="true">IF(AND(L240="🔄 SWAP ME",M240&lt;&gt;""),TODAY(),"")</f>
        <v/>
      </c>
      <c r="Q240" s="315" t="s">
        <v>1028</v>
      </c>
    </row>
    <row r="241" customFormat="false" ht="19.5" hidden="false" customHeight="true" outlineLevel="0" collapsed="false">
      <c r="B241" s="319" t="s">
        <v>174</v>
      </c>
      <c r="C241" s="273" t="s">
        <v>133</v>
      </c>
      <c r="D241" s="244" t="n">
        <v>46318</v>
      </c>
      <c r="E241" s="274" t="s">
        <v>623</v>
      </c>
      <c r="F241" s="37" t="str">
        <f aca="false">IF(AND(L241="🔄 SWAP ME",M241&lt;&gt;""),M241,IFERROR(INDEX($O$5:$O$375,MATCH(O241,$M$5:$M$375,0)),O241))</f>
        <v>DSA: HLD warm-up — design data platform for Razorpay (30 min sketch)</v>
      </c>
      <c r="G241" s="182" t="s">
        <v>434</v>
      </c>
      <c r="H241" s="39" t="n">
        <v>0.3</v>
      </c>
      <c r="I241" s="40" t="n">
        <v>0.5</v>
      </c>
      <c r="J241" s="41" t="n">
        <v>0.75</v>
      </c>
      <c r="K241" s="76" t="s">
        <v>1348</v>
      </c>
      <c r="L241" s="76" t="s">
        <v>1349</v>
      </c>
      <c r="M241" s="245"/>
      <c r="N241" s="63" t="str">
        <f aca="false">IF(AND(L241="🔄 SWAP ME",M241&lt;&gt;""),"⚡ SWAPPED","")</f>
        <v/>
      </c>
      <c r="O241" s="9" t="s">
        <v>1029</v>
      </c>
      <c r="P241" s="314" t="str">
        <f aca="true">IF(AND(L241="🔄 SWAP ME",M241&lt;&gt;""),TODAY(),"")</f>
        <v/>
      </c>
      <c r="Q241" s="315" t="s">
        <v>1030</v>
      </c>
    </row>
    <row r="242" customFormat="false" ht="19.5" hidden="false" customHeight="true" outlineLevel="0" collapsed="false">
      <c r="B242" s="319" t="s">
        <v>174</v>
      </c>
      <c r="C242" s="309" t="s">
        <v>516</v>
      </c>
      <c r="D242" s="240" t="n">
        <v>46319</v>
      </c>
      <c r="E242" s="274" t="s">
        <v>623</v>
      </c>
      <c r="F242" s="178" t="str">
        <f aca="false">IF(AND(L242="🔄 SWAP ME",M242&lt;&gt;""),M242,IFERROR(INDEX($O$5:$O$375,MATCH(O242,$M$5:$M$375,0)),O242))</f>
        <v>📅 EXAM DAY — SnowPro Core Certification (COF-C02)</v>
      </c>
      <c r="G242" s="182" t="s">
        <v>434</v>
      </c>
      <c r="H242" s="39" t="n">
        <v>1</v>
      </c>
      <c r="I242" s="40" t="n">
        <v>1.5</v>
      </c>
      <c r="J242" s="41" t="n">
        <v>2</v>
      </c>
      <c r="K242" s="179" t="s">
        <v>1351</v>
      </c>
      <c r="L242" s="179" t="s">
        <v>1349</v>
      </c>
      <c r="M242" s="241"/>
      <c r="N242" s="316" t="str">
        <f aca="false">IF(AND(L242="🔄 SWAP ME",M242&lt;&gt;""),"⚡ SWAPPED","")</f>
        <v/>
      </c>
      <c r="O242" s="9" t="s">
        <v>1031</v>
      </c>
      <c r="P242" s="317" t="str">
        <f aca="true">IF(AND(L242="🔄 SWAP ME",M242&lt;&gt;""),TODAY(),"")</f>
        <v/>
      </c>
      <c r="Q242" s="315" t="s">
        <v>1032</v>
      </c>
    </row>
    <row r="243" customFormat="false" ht="19.5" hidden="false" customHeight="true" outlineLevel="0" collapsed="false">
      <c r="B243" s="319" t="s">
        <v>174</v>
      </c>
      <c r="C243" s="309" t="s">
        <v>517</v>
      </c>
      <c r="D243" s="240" t="n">
        <v>46320</v>
      </c>
      <c r="E243" s="274" t="s">
        <v>623</v>
      </c>
      <c r="F243" s="178" t="str">
        <f aca="false">IF(AND(L243="🔄 SWAP ME",M243&lt;&gt;""),M243,IFERROR(INDEX($O$5:$O$375,MATCH(O243,$M$5:$M$375,0)),O243))</f>
        <v>📅 SNOWPRO ADVANCED EXAM PREP: scenario-based Q&amp;A (Kafka/performance/masking)</v>
      </c>
      <c r="G243" s="182" t="s">
        <v>434</v>
      </c>
      <c r="H243" s="39" t="n">
        <v>1.5</v>
      </c>
      <c r="I243" s="40" t="n">
        <v>3</v>
      </c>
      <c r="J243" s="41" t="n">
        <v>4</v>
      </c>
      <c r="K243" s="179" t="s">
        <v>1352</v>
      </c>
      <c r="L243" s="179" t="s">
        <v>1349</v>
      </c>
      <c r="M243" s="241"/>
      <c r="N243" s="316" t="str">
        <f aca="false">IF(AND(L243="🔄 SWAP ME",M243&lt;&gt;""),"⚡ SWAPPED","")</f>
        <v/>
      </c>
      <c r="O243" s="9" t="s">
        <v>1033</v>
      </c>
      <c r="P243" s="317" t="str">
        <f aca="true">IF(AND(L243="🔄 SWAP ME",M243&lt;&gt;""),TODAY(),"")</f>
        <v/>
      </c>
      <c r="Q243" s="315" t="s">
        <v>1397</v>
      </c>
    </row>
    <row r="244" customFormat="false" ht="12" hidden="false" customHeight="true" outlineLevel="0" collapsed="false">
      <c r="B244" s="318" t="s">
        <v>1398</v>
      </c>
      <c r="C244" s="318"/>
      <c r="D244" s="318"/>
      <c r="E244" s="318"/>
      <c r="F244" s="318"/>
      <c r="G244" s="318"/>
      <c r="H244" s="318"/>
      <c r="I244" s="318"/>
      <c r="J244" s="318"/>
      <c r="K244" s="318"/>
      <c r="L244" s="318"/>
      <c r="M244" s="318"/>
      <c r="N244" s="318"/>
      <c r="O244" s="318"/>
      <c r="P244" s="318"/>
      <c r="Q244" s="318"/>
    </row>
    <row r="245" customFormat="false" ht="19.5" hidden="false" customHeight="true" outlineLevel="0" collapsed="false">
      <c r="B245" s="319" t="s">
        <v>175</v>
      </c>
      <c r="C245" s="273" t="s">
        <v>118</v>
      </c>
      <c r="D245" s="244" t="n">
        <v>46321</v>
      </c>
      <c r="E245" s="36" t="s">
        <v>617</v>
      </c>
      <c r="F245" s="37" t="str">
        <f aca="false">IF(AND(L245="🔄 SWAP ME",M245&lt;&gt;""),M245,IFERROR(INDEX($O$5:$O$375,MATCH(O245,$M$5:$M$375,0)),O245))</f>
        <v>Azure Basics: Blob Storage, Functions (HTTP/Blob/Service Bus triggers)</v>
      </c>
      <c r="G245" s="182" t="s">
        <v>446</v>
      </c>
      <c r="H245" s="39" t="n">
        <v>0.5</v>
      </c>
      <c r="I245" s="40" t="n">
        <v>1</v>
      </c>
      <c r="J245" s="41" t="n">
        <v>1.5</v>
      </c>
      <c r="K245" s="76" t="s">
        <v>1348</v>
      </c>
      <c r="L245" s="76" t="s">
        <v>1349</v>
      </c>
      <c r="M245" s="245"/>
      <c r="N245" s="63" t="str">
        <f aca="false">IF(AND(L245="🔄 SWAP ME",M245&lt;&gt;""),"⚡ SWAPPED","")</f>
        <v/>
      </c>
      <c r="O245" s="9" t="s">
        <v>1036</v>
      </c>
      <c r="P245" s="314" t="str">
        <f aca="true">IF(AND(L245="🔄 SWAP ME",M245&lt;&gt;""),TODAY(),"")</f>
        <v/>
      </c>
      <c r="Q245" s="270" t="s">
        <v>1037</v>
      </c>
    </row>
    <row r="246" customFormat="false" ht="19.5" hidden="false" customHeight="true" outlineLevel="0" collapsed="false">
      <c r="B246" s="319" t="s">
        <v>175</v>
      </c>
      <c r="C246" s="273" t="s">
        <v>123</v>
      </c>
      <c r="D246" s="244" t="n">
        <v>46322</v>
      </c>
      <c r="E246" s="36" t="s">
        <v>617</v>
      </c>
      <c r="F246" s="37" t="str">
        <f aca="false">IF(AND(L246="🔄 SWAP ME",M246&lt;&gt;""),M246,IFERROR(INDEX($O$5:$O$375,MATCH(O246,$M$5:$M$375,0)),O246))</f>
        <v>Azure Basics: Service Bus, Logic Apps, Key Vault, Azure SQL, Event Hub basics</v>
      </c>
      <c r="G246" s="182" t="s">
        <v>446</v>
      </c>
      <c r="H246" s="39" t="n">
        <v>0.5</v>
      </c>
      <c r="I246" s="40" t="n">
        <v>1</v>
      </c>
      <c r="J246" s="41" t="n">
        <v>1.5</v>
      </c>
      <c r="K246" s="76" t="s">
        <v>1348</v>
      </c>
      <c r="L246" s="76" t="s">
        <v>1349</v>
      </c>
      <c r="M246" s="245"/>
      <c r="N246" s="63" t="str">
        <f aca="false">IF(AND(L246="🔄 SWAP ME",M246&lt;&gt;""),"⚡ SWAPPED","")</f>
        <v/>
      </c>
      <c r="O246" s="9" t="s">
        <v>1038</v>
      </c>
      <c r="P246" s="314" t="str">
        <f aca="true">IF(AND(L246="🔄 SWAP ME",M246&lt;&gt;""),TODAY(),"")</f>
        <v/>
      </c>
      <c r="Q246" s="270" t="s">
        <v>1039</v>
      </c>
    </row>
    <row r="247" customFormat="false" ht="19.5" hidden="false" customHeight="true" outlineLevel="0" collapsed="false">
      <c r="B247" s="319" t="s">
        <v>175</v>
      </c>
      <c r="C247" s="273" t="s">
        <v>126</v>
      </c>
      <c r="D247" s="244" t="n">
        <v>46323</v>
      </c>
      <c r="E247" s="274" t="s">
        <v>623</v>
      </c>
      <c r="F247" s="37" t="str">
        <f aca="false">IF(AND(L247="🔄 SWAP ME",M247&lt;&gt;""),M247,IFERROR(INDEX($O$5:$O$375,MATCH(O247,$M$5:$M$375,0)),O247))</f>
        <v>ADF Advanced: parameterization, dynamic pipelines (ForEach/metadata-driven), Data Flows</v>
      </c>
      <c r="G247" s="182" t="s">
        <v>446</v>
      </c>
      <c r="H247" s="39" t="n">
        <v>0.5</v>
      </c>
      <c r="I247" s="40" t="n">
        <v>1</v>
      </c>
      <c r="J247" s="41" t="n">
        <v>1.5</v>
      </c>
      <c r="K247" s="76" t="s">
        <v>1348</v>
      </c>
      <c r="L247" s="76" t="s">
        <v>1349</v>
      </c>
      <c r="M247" s="245"/>
      <c r="N247" s="63" t="str">
        <f aca="false">IF(AND(L247="🔄 SWAP ME",M247&lt;&gt;""),"⚡ SWAPPED","")</f>
        <v/>
      </c>
      <c r="O247" s="9" t="s">
        <v>1040</v>
      </c>
      <c r="P247" s="314" t="str">
        <f aca="true">IF(AND(L247="🔄 SWAP ME",M247&lt;&gt;""),TODAY(),"")</f>
        <v/>
      </c>
      <c r="Q247" s="315" t="s">
        <v>1041</v>
      </c>
    </row>
    <row r="248" customFormat="false" ht="19.5" hidden="false" customHeight="true" outlineLevel="0" collapsed="false">
      <c r="B248" s="319" t="s">
        <v>175</v>
      </c>
      <c r="C248" s="273" t="s">
        <v>130</v>
      </c>
      <c r="D248" s="244" t="n">
        <v>46324</v>
      </c>
      <c r="E248" s="274" t="s">
        <v>623</v>
      </c>
      <c r="F248" s="37" t="str">
        <f aca="false">IF(AND(L248="🔄 SWAP ME",M248&lt;&gt;""),M248,IFERROR(INDEX($O$5:$O$375,MATCH(O248,$M$5:$M$375,0)),O248))</f>
        <v>ADF Advanced: CI/CD (ARM templates + Azure DevOps), error handling, private endpoints</v>
      </c>
      <c r="G248" s="182" t="s">
        <v>446</v>
      </c>
      <c r="H248" s="39" t="n">
        <v>0.5</v>
      </c>
      <c r="I248" s="40" t="n">
        <v>1</v>
      </c>
      <c r="J248" s="41" t="n">
        <v>1.5</v>
      </c>
      <c r="K248" s="76" t="s">
        <v>1348</v>
      </c>
      <c r="L248" s="76" t="s">
        <v>1349</v>
      </c>
      <c r="M248" s="245"/>
      <c r="N248" s="63" t="str">
        <f aca="false">IF(AND(L248="🔄 SWAP ME",M248&lt;&gt;""),"⚡ SWAPPED","")</f>
        <v/>
      </c>
      <c r="O248" s="9" t="s">
        <v>1042</v>
      </c>
      <c r="P248" s="314" t="str">
        <f aca="true">IF(AND(L248="🔄 SWAP ME",M248&lt;&gt;""),TODAY(),"")</f>
        <v/>
      </c>
      <c r="Q248" s="315" t="s">
        <v>1399</v>
      </c>
    </row>
    <row r="249" customFormat="false" ht="19.5" hidden="false" customHeight="true" outlineLevel="0" collapsed="false">
      <c r="B249" s="319" t="s">
        <v>175</v>
      </c>
      <c r="C249" s="273" t="s">
        <v>133</v>
      </c>
      <c r="D249" s="244" t="n">
        <v>46325</v>
      </c>
      <c r="E249" s="274" t="s">
        <v>623</v>
      </c>
      <c r="F249" s="37" t="str">
        <f aca="false">IF(AND(L249="🔄 SWAP ME",M249&lt;&gt;""),M249,IFERROR(INDEX($O$5:$O$375,MATCH(O249,$M$5:$M$375,0)),O249))</f>
        <v>DSA: Amazon mock — 45 min timed, 2 medium problems, no hints</v>
      </c>
      <c r="G249" s="182" t="s">
        <v>446</v>
      </c>
      <c r="H249" s="39" t="n">
        <v>0.3</v>
      </c>
      <c r="I249" s="40" t="n">
        <v>0.5</v>
      </c>
      <c r="J249" s="41" t="n">
        <v>0.75</v>
      </c>
      <c r="K249" s="76" t="s">
        <v>1348</v>
      </c>
      <c r="L249" s="76" t="s">
        <v>1349</v>
      </c>
      <c r="M249" s="245"/>
      <c r="N249" s="63" t="str">
        <f aca="false">IF(AND(L249="🔄 SWAP ME",M249&lt;&gt;""),"⚡ SWAPPED","")</f>
        <v/>
      </c>
      <c r="O249" s="9" t="s">
        <v>1044</v>
      </c>
      <c r="P249" s="314" t="str">
        <f aca="true">IF(AND(L249="🔄 SWAP ME",M249&lt;&gt;""),TODAY(),"")</f>
        <v/>
      </c>
      <c r="Q249" s="315" t="s">
        <v>893</v>
      </c>
    </row>
    <row r="250" customFormat="false" ht="19.5" hidden="false" customHeight="true" outlineLevel="0" collapsed="false">
      <c r="B250" s="319" t="s">
        <v>175</v>
      </c>
      <c r="C250" s="309" t="s">
        <v>516</v>
      </c>
      <c r="D250" s="240" t="n">
        <v>46326</v>
      </c>
      <c r="E250" s="274" t="s">
        <v>623</v>
      </c>
      <c r="F250" s="178" t="str">
        <f aca="false">IF(AND(L250="🔄 SWAP ME",M250&lt;&gt;""),M250,IFERROR(INDEX($O$5:$O$375,MATCH(O250,$M$5:$M$375,0)),O250))</f>
        <v>ADLS Gen2 Deep: HNS, POSIX ACLs, lifecycle policies, folder structure for pruning</v>
      </c>
      <c r="G250" s="182" t="s">
        <v>446</v>
      </c>
      <c r="H250" s="39" t="n">
        <v>1</v>
      </c>
      <c r="I250" s="40" t="n">
        <v>1.5</v>
      </c>
      <c r="J250" s="41" t="n">
        <v>2</v>
      </c>
      <c r="K250" s="179" t="s">
        <v>1351</v>
      </c>
      <c r="L250" s="179" t="s">
        <v>1349</v>
      </c>
      <c r="M250" s="241"/>
      <c r="N250" s="316" t="str">
        <f aca="false">IF(AND(L250="🔄 SWAP ME",M250&lt;&gt;""),"⚡ SWAPPED","")</f>
        <v/>
      </c>
      <c r="O250" s="9" t="s">
        <v>1045</v>
      </c>
      <c r="P250" s="317" t="str">
        <f aca="true">IF(AND(L250="🔄 SWAP ME",M250&lt;&gt;""),TODAY(),"")</f>
        <v/>
      </c>
      <c r="Q250" s="315" t="s">
        <v>1400</v>
      </c>
    </row>
    <row r="251" customFormat="false" ht="19.5" hidden="false" customHeight="true" outlineLevel="0" collapsed="false">
      <c r="B251" s="319" t="s">
        <v>175</v>
      </c>
      <c r="C251" s="309" t="s">
        <v>517</v>
      </c>
      <c r="D251" s="240" t="n">
        <v>46327</v>
      </c>
      <c r="E251" s="274" t="s">
        <v>623</v>
      </c>
      <c r="F251" s="178" t="str">
        <f aca="false">IF(AND(L251="🔄 SWAP ME",M251&lt;&gt;""),M251,IFERROR(INDEX($O$5:$O$375,MATCH(O251,$M$5:$M$375,0)),O251))</f>
        <v>P25: AirBnB CDC pipeline — ADLS→CosmosDB→ADF→Synapse (from course)</v>
      </c>
      <c r="G251" s="182" t="s">
        <v>446</v>
      </c>
      <c r="H251" s="39" t="n">
        <v>1.5</v>
      </c>
      <c r="I251" s="40" t="n">
        <v>3</v>
      </c>
      <c r="J251" s="41" t="n">
        <v>5</v>
      </c>
      <c r="K251" s="179" t="s">
        <v>1352</v>
      </c>
      <c r="L251" s="179" t="s">
        <v>1349</v>
      </c>
      <c r="M251" s="241"/>
      <c r="N251" s="316" t="str">
        <f aca="false">IF(AND(L251="🔄 SWAP ME",M251&lt;&gt;""),"⚡ SWAPPED","")</f>
        <v/>
      </c>
      <c r="O251" s="9" t="s">
        <v>1047</v>
      </c>
      <c r="P251" s="317" t="str">
        <f aca="true">IF(AND(L251="🔄 SWAP ME",M251&lt;&gt;""),TODAY(),"")</f>
        <v/>
      </c>
      <c r="Q251" s="270" t="s">
        <v>1048</v>
      </c>
    </row>
    <row r="252" customFormat="false" ht="12" hidden="false" customHeight="true" outlineLevel="0" collapsed="false">
      <c r="B252" s="318" t="s">
        <v>1401</v>
      </c>
      <c r="C252" s="318"/>
      <c r="D252" s="318"/>
      <c r="E252" s="318"/>
      <c r="F252" s="318"/>
      <c r="G252" s="318"/>
      <c r="H252" s="318"/>
      <c r="I252" s="318"/>
      <c r="J252" s="318"/>
      <c r="K252" s="318"/>
      <c r="L252" s="318"/>
      <c r="M252" s="318"/>
      <c r="N252" s="318"/>
      <c r="O252" s="318"/>
      <c r="P252" s="318"/>
      <c r="Q252" s="318"/>
    </row>
    <row r="253" customFormat="false" ht="19.5" hidden="false" customHeight="true" outlineLevel="0" collapsed="false">
      <c r="B253" s="319" t="s">
        <v>176</v>
      </c>
      <c r="C253" s="273" t="s">
        <v>118</v>
      </c>
      <c r="D253" s="244" t="n">
        <v>46328</v>
      </c>
      <c r="E253" s="274" t="s">
        <v>623</v>
      </c>
      <c r="F253" s="37" t="str">
        <f aca="false">IF(AND(L253="🔄 SWAP ME",M253&lt;&gt;""),M253,IFERROR(INDEX($O$5:$O$375,MATCH(O253,$M$5:$M$375,0)),O253))</f>
        <v>Microsoft Fabric: OneLake, architecture, experiences (DE/DS/DW/RTI), F-SKUs</v>
      </c>
      <c r="G253" s="182" t="s">
        <v>446</v>
      </c>
      <c r="H253" s="39" t="n">
        <v>0.5</v>
      </c>
      <c r="I253" s="40" t="n">
        <v>1</v>
      </c>
      <c r="J253" s="41" t="n">
        <v>1.5</v>
      </c>
      <c r="K253" s="76" t="s">
        <v>1348</v>
      </c>
      <c r="L253" s="76" t="s">
        <v>1349</v>
      </c>
      <c r="M253" s="245"/>
      <c r="N253" s="63" t="str">
        <f aca="false">IF(AND(L253="🔄 SWAP ME",M253&lt;&gt;""),"⚡ SWAPPED","")</f>
        <v/>
      </c>
      <c r="O253" s="9" t="s">
        <v>1049</v>
      </c>
      <c r="P253" s="314" t="str">
        <f aca="true">IF(AND(L253="🔄 SWAP ME",M253&lt;&gt;""),TODAY(),"")</f>
        <v/>
      </c>
      <c r="Q253" s="315" t="s">
        <v>1050</v>
      </c>
    </row>
    <row r="254" customFormat="false" ht="19.5" hidden="false" customHeight="true" outlineLevel="0" collapsed="false">
      <c r="B254" s="319" t="s">
        <v>176</v>
      </c>
      <c r="C254" s="273" t="s">
        <v>123</v>
      </c>
      <c r="D254" s="244" t="n">
        <v>46329</v>
      </c>
      <c r="E254" s="274" t="s">
        <v>623</v>
      </c>
      <c r="F254" s="37" t="str">
        <f aca="false">IF(AND(L254="🔄 SWAP ME",M254&lt;&gt;""),M254,IFERROR(INDEX($O$5:$O$375,MATCH(O254,$M$5:$M$375,0)),O254))</f>
        <v>Fabric: Lakehouse, OneLake shortcuts, Pipelines, Dataflows Gen2, Notebooks</v>
      </c>
      <c r="G254" s="182" t="s">
        <v>446</v>
      </c>
      <c r="H254" s="39" t="n">
        <v>0.5</v>
      </c>
      <c r="I254" s="40" t="n">
        <v>1</v>
      </c>
      <c r="J254" s="41" t="n">
        <v>1.5</v>
      </c>
      <c r="K254" s="76" t="s">
        <v>1348</v>
      </c>
      <c r="L254" s="76" t="s">
        <v>1349</v>
      </c>
      <c r="M254" s="245"/>
      <c r="N254" s="63" t="str">
        <f aca="false">IF(AND(L254="🔄 SWAP ME",M254&lt;&gt;""),"⚡ SWAPPED","")</f>
        <v/>
      </c>
      <c r="O254" s="9" t="s">
        <v>1051</v>
      </c>
      <c r="P254" s="314" t="str">
        <f aca="true">IF(AND(L254="🔄 SWAP ME",M254&lt;&gt;""),TODAY(),"")</f>
        <v/>
      </c>
      <c r="Q254" s="315" t="s">
        <v>1052</v>
      </c>
    </row>
    <row r="255" customFormat="false" ht="19.5" hidden="false" customHeight="true" outlineLevel="0" collapsed="false">
      <c r="B255" s="319" t="s">
        <v>176</v>
      </c>
      <c r="C255" s="273" t="s">
        <v>126</v>
      </c>
      <c r="D255" s="244" t="n">
        <v>46330</v>
      </c>
      <c r="E255" s="274" t="s">
        <v>623</v>
      </c>
      <c r="F255" s="37" t="str">
        <f aca="false">IF(AND(L255="🔄 SWAP ME",M255&lt;&gt;""),M255,IFERROR(INDEX($O$5:$O$375,MATCH(O255,$M$5:$M$375,0)),O255))</f>
        <v>Fabric: Warehouse (T-SQL), Real-Time Intelligence, KQL complete syntax</v>
      </c>
      <c r="G255" s="182" t="s">
        <v>446</v>
      </c>
      <c r="H255" s="39" t="n">
        <v>0.5</v>
      </c>
      <c r="I255" s="40" t="n">
        <v>1</v>
      </c>
      <c r="J255" s="41" t="n">
        <v>1.5</v>
      </c>
      <c r="K255" s="76" t="s">
        <v>1348</v>
      </c>
      <c r="L255" s="76" t="s">
        <v>1349</v>
      </c>
      <c r="M255" s="245"/>
      <c r="N255" s="63" t="str">
        <f aca="false">IF(AND(L255="🔄 SWAP ME",M255&lt;&gt;""),"⚡ SWAPPED","")</f>
        <v/>
      </c>
      <c r="O255" s="9" t="s">
        <v>1053</v>
      </c>
      <c r="P255" s="314" t="str">
        <f aca="true">IF(AND(L255="🔄 SWAP ME",M255&lt;&gt;""),TODAY(),"")</f>
        <v/>
      </c>
      <c r="Q255" s="315" t="s">
        <v>1054</v>
      </c>
    </row>
    <row r="256" customFormat="false" ht="19.5" hidden="false" customHeight="true" outlineLevel="0" collapsed="false">
      <c r="B256" s="319" t="s">
        <v>176</v>
      </c>
      <c r="C256" s="273" t="s">
        <v>130</v>
      </c>
      <c r="D256" s="244" t="n">
        <v>46331</v>
      </c>
      <c r="E256" s="36" t="s">
        <v>617</v>
      </c>
      <c r="F256" s="37" t="str">
        <f aca="false">IF(AND(L256="🔄 SWAP ME",M256&lt;&gt;""),M256,IFERROR(INDEX($O$5:$O$375,MATCH(O256,$M$5:$M$375,0)),O256))</f>
        <v>Fabric: Mirroring, shortcuts, deployment pipelines (Dev→Test→Prod), Git integration</v>
      </c>
      <c r="G256" s="182" t="s">
        <v>446</v>
      </c>
      <c r="H256" s="39" t="n">
        <v>0.5</v>
      </c>
      <c r="I256" s="40" t="n">
        <v>0.75</v>
      </c>
      <c r="J256" s="41" t="n">
        <v>1</v>
      </c>
      <c r="K256" s="76" t="s">
        <v>1348</v>
      </c>
      <c r="L256" s="76" t="s">
        <v>1349</v>
      </c>
      <c r="M256" s="245"/>
      <c r="N256" s="63" t="str">
        <f aca="false">IF(AND(L256="🔄 SWAP ME",M256&lt;&gt;""),"⚡ SWAPPED","")</f>
        <v/>
      </c>
      <c r="O256" s="9" t="s">
        <v>1055</v>
      </c>
      <c r="P256" s="314" t="str">
        <f aca="true">IF(AND(L256="🔄 SWAP ME",M256&lt;&gt;""),TODAY(),"")</f>
        <v/>
      </c>
      <c r="Q256" s="315" t="s">
        <v>1056</v>
      </c>
    </row>
    <row r="257" customFormat="false" ht="19.5" hidden="false" customHeight="true" outlineLevel="0" collapsed="false">
      <c r="B257" s="319" t="s">
        <v>176</v>
      </c>
      <c r="C257" s="273" t="s">
        <v>133</v>
      </c>
      <c r="D257" s="244" t="n">
        <v>46332</v>
      </c>
      <c r="E257" s="274" t="s">
        <v>623</v>
      </c>
      <c r="F257" s="37" t="str">
        <f aca="false">IF(AND(L257="🔄 SWAP ME",M257&lt;&gt;""),M257,IFERROR(INDEX($O$5:$O$375,MATCH(O257,$M$5:$M$375,0)),O257))</f>
        <v>DSA: Flipkart machine coding — 90 min, working Python system with tests</v>
      </c>
      <c r="G257" s="182" t="s">
        <v>446</v>
      </c>
      <c r="H257" s="39" t="n">
        <v>0.3</v>
      </c>
      <c r="I257" s="40" t="n">
        <v>0.5</v>
      </c>
      <c r="J257" s="41" t="n">
        <v>0.75</v>
      </c>
      <c r="K257" s="76" t="s">
        <v>1348</v>
      </c>
      <c r="L257" s="76" t="s">
        <v>1349</v>
      </c>
      <c r="M257" s="245"/>
      <c r="N257" s="63" t="str">
        <f aca="false">IF(AND(L257="🔄 SWAP ME",M257&lt;&gt;""),"⚡ SWAPPED","")</f>
        <v/>
      </c>
      <c r="O257" s="9" t="s">
        <v>1057</v>
      </c>
      <c r="P257" s="314" t="str">
        <f aca="true">IF(AND(L257="🔄 SWAP ME",M257&lt;&gt;""),TODAY(),"")</f>
        <v/>
      </c>
      <c r="Q257" s="315" t="s">
        <v>1058</v>
      </c>
    </row>
    <row r="258" customFormat="false" ht="19.5" hidden="false" customHeight="true" outlineLevel="0" collapsed="false">
      <c r="B258" s="319" t="s">
        <v>176</v>
      </c>
      <c r="C258" s="309" t="s">
        <v>516</v>
      </c>
      <c r="D258" s="240" t="n">
        <v>46333</v>
      </c>
      <c r="E258" s="274" t="s">
        <v>623</v>
      </c>
      <c r="F258" s="178" t="str">
        <f aca="false">IF(AND(L258="🔄 SWAP ME",M258&lt;&gt;""),M258,IFERROR(INDEX($O$5:$O$375,MATCH(O258,$M$5:$M$375,0)),O258))</f>
        <v>📅 DP-700 EXAM PREP: Microsoft Learn practice assessment + review all Fabric topics</v>
      </c>
      <c r="G258" s="182" t="s">
        <v>446</v>
      </c>
      <c r="H258" s="39" t="n">
        <v>2</v>
      </c>
      <c r="I258" s="40" t="n">
        <v>3</v>
      </c>
      <c r="J258" s="41" t="n">
        <v>4</v>
      </c>
      <c r="K258" s="179" t="s">
        <v>1352</v>
      </c>
      <c r="L258" s="179" t="s">
        <v>1349</v>
      </c>
      <c r="M258" s="241"/>
      <c r="N258" s="316" t="str">
        <f aca="false">IF(AND(L258="🔄 SWAP ME",M258&lt;&gt;""),"⚡ SWAPPED","")</f>
        <v/>
      </c>
      <c r="O258" s="9" t="s">
        <v>1059</v>
      </c>
      <c r="P258" s="317" t="str">
        <f aca="true">IF(AND(L258="🔄 SWAP ME",M258&lt;&gt;""),TODAY(),"")</f>
        <v/>
      </c>
      <c r="Q258" s="315" t="s">
        <v>1402</v>
      </c>
    </row>
    <row r="259" customFormat="false" ht="19.5" hidden="false" customHeight="true" outlineLevel="0" collapsed="false">
      <c r="B259" s="319" t="s">
        <v>176</v>
      </c>
      <c r="C259" s="309" t="s">
        <v>517</v>
      </c>
      <c r="D259" s="240" t="n">
        <v>46334</v>
      </c>
      <c r="E259" s="274" t="s">
        <v>623</v>
      </c>
      <c r="F259" s="178" t="str">
        <f aca="false">IF(AND(L259="🔄 SWAP ME",M259&lt;&gt;""),M259,IFERROR(INDEX($O$5:$O$375,MATCH(O259,$M$5:$M$375,0)),O259))</f>
        <v>📅 EXAM DAY — DP-700 Microsoft Fabric Data Engineer Associate</v>
      </c>
      <c r="G259" s="182" t="s">
        <v>446</v>
      </c>
      <c r="H259" s="39" t="n">
        <v>1</v>
      </c>
      <c r="I259" s="40" t="n">
        <v>1.5</v>
      </c>
      <c r="J259" s="41" t="n">
        <v>2</v>
      </c>
      <c r="K259" s="179" t="s">
        <v>1351</v>
      </c>
      <c r="L259" s="179" t="s">
        <v>1349</v>
      </c>
      <c r="M259" s="241"/>
      <c r="N259" s="316" t="str">
        <f aca="false">IF(AND(L259="🔄 SWAP ME",M259&lt;&gt;""),"⚡ SWAPPED","")</f>
        <v/>
      </c>
      <c r="O259" s="9" t="s">
        <v>1061</v>
      </c>
      <c r="P259" s="317" t="str">
        <f aca="true">IF(AND(L259="🔄 SWAP ME",M259&lt;&gt;""),TODAY(),"")</f>
        <v/>
      </c>
      <c r="Q259" s="315" t="s">
        <v>1062</v>
      </c>
    </row>
    <row r="260" customFormat="false" ht="12" hidden="false" customHeight="true" outlineLevel="0" collapsed="false">
      <c r="B260" s="318" t="s">
        <v>1403</v>
      </c>
      <c r="C260" s="318"/>
      <c r="D260" s="318"/>
      <c r="E260" s="318"/>
      <c r="F260" s="318"/>
      <c r="G260" s="318"/>
      <c r="H260" s="318"/>
      <c r="I260" s="318"/>
      <c r="J260" s="318"/>
      <c r="K260" s="318"/>
      <c r="L260" s="318"/>
      <c r="M260" s="318"/>
      <c r="N260" s="318"/>
      <c r="O260" s="318"/>
      <c r="P260" s="318"/>
      <c r="Q260" s="318"/>
    </row>
    <row r="261" customFormat="false" ht="19.5" hidden="false" customHeight="true" outlineLevel="0" collapsed="false">
      <c r="B261" s="319" t="s">
        <v>177</v>
      </c>
      <c r="C261" s="273" t="s">
        <v>118</v>
      </c>
      <c r="D261" s="244" t="n">
        <v>46335</v>
      </c>
      <c r="E261" s="274" t="s">
        <v>623</v>
      </c>
      <c r="F261" s="37" t="str">
        <f aca="false">IF(AND(L261="🔄 SWAP ME",M261&lt;&gt;""),M261,IFERROR(INDEX($O$5:$O$375,MATCH(O261,$M$5:$M$375,0)),O261))</f>
        <v>DP-600: DAX fundamentals — CALCULATE, FILTER, ALL, ALLEXCEPT, time intelligence</v>
      </c>
      <c r="G261" s="182" t="s">
        <v>446</v>
      </c>
      <c r="H261" s="39" t="n">
        <v>0.5</v>
      </c>
      <c r="I261" s="40" t="n">
        <v>1</v>
      </c>
      <c r="J261" s="41" t="n">
        <v>1.5</v>
      </c>
      <c r="K261" s="76" t="s">
        <v>1348</v>
      </c>
      <c r="L261" s="76" t="s">
        <v>1349</v>
      </c>
      <c r="M261" s="245"/>
      <c r="N261" s="63" t="str">
        <f aca="false">IF(AND(L261="🔄 SWAP ME",M261&lt;&gt;""),"⚡ SWAPPED","")</f>
        <v/>
      </c>
      <c r="O261" s="9" t="s">
        <v>1063</v>
      </c>
      <c r="P261" s="314" t="str">
        <f aca="true">IF(AND(L261="🔄 SWAP ME",M261&lt;&gt;""),TODAY(),"")</f>
        <v/>
      </c>
      <c r="Q261" s="315" t="s">
        <v>1064</v>
      </c>
    </row>
    <row r="262" customFormat="false" ht="19.5" hidden="false" customHeight="true" outlineLevel="0" collapsed="false">
      <c r="B262" s="319" t="s">
        <v>177</v>
      </c>
      <c r="C262" s="273" t="s">
        <v>123</v>
      </c>
      <c r="D262" s="244" t="n">
        <v>46336</v>
      </c>
      <c r="E262" s="274" t="s">
        <v>623</v>
      </c>
      <c r="F262" s="37" t="str">
        <f aca="false">IF(AND(L262="🔄 SWAP ME",M262&lt;&gt;""),M262,IFERROR(INDEX($O$5:$O$375,MATCH(O262,$M$5:$M$375,0)),O262))</f>
        <v>DP-600: DirectLake mode, semantic models (import/DirectQuery/composite/DirectLake)</v>
      </c>
      <c r="G262" s="182" t="s">
        <v>446</v>
      </c>
      <c r="H262" s="39" t="n">
        <v>0.5</v>
      </c>
      <c r="I262" s="40" t="n">
        <v>1</v>
      </c>
      <c r="J262" s="41" t="n">
        <v>1.5</v>
      </c>
      <c r="K262" s="76" t="s">
        <v>1348</v>
      </c>
      <c r="L262" s="76" t="s">
        <v>1349</v>
      </c>
      <c r="M262" s="245"/>
      <c r="N262" s="63" t="str">
        <f aca="false">IF(AND(L262="🔄 SWAP ME",M262&lt;&gt;""),"⚡ SWAPPED","")</f>
        <v/>
      </c>
      <c r="O262" s="9" t="s">
        <v>1065</v>
      </c>
      <c r="P262" s="314" t="str">
        <f aca="true">IF(AND(L262="🔄 SWAP ME",M262&lt;&gt;""),TODAY(),"")</f>
        <v/>
      </c>
      <c r="Q262" s="315" t="s">
        <v>1404</v>
      </c>
    </row>
    <row r="263" customFormat="false" ht="19.5" hidden="false" customHeight="true" outlineLevel="0" collapsed="false">
      <c r="B263" s="319" t="s">
        <v>177</v>
      </c>
      <c r="C263" s="273" t="s">
        <v>126</v>
      </c>
      <c r="D263" s="244" t="n">
        <v>46337</v>
      </c>
      <c r="E263" s="36" t="s">
        <v>617</v>
      </c>
      <c r="F263" s="37" t="str">
        <f aca="false">IF(AND(L263="🔄 SWAP ME",M263&lt;&gt;""),M263,IFERROR(INDEX($O$5:$O$375,MATCH(O263,$M$5:$M$375,0)),O263))</f>
        <v>DP-600: Power BI in Fabric, paginated reports, row-level security in semantic models</v>
      </c>
      <c r="G263" s="182" t="s">
        <v>446</v>
      </c>
      <c r="H263" s="39" t="n">
        <v>0.5</v>
      </c>
      <c r="I263" s="40" t="n">
        <v>0.75</v>
      </c>
      <c r="J263" s="41" t="n">
        <v>1</v>
      </c>
      <c r="K263" s="76" t="s">
        <v>1348</v>
      </c>
      <c r="L263" s="76" t="s">
        <v>1349</v>
      </c>
      <c r="M263" s="245"/>
      <c r="N263" s="63" t="str">
        <f aca="false">IF(AND(L263="🔄 SWAP ME",M263&lt;&gt;""),"⚡ SWAPPED","")</f>
        <v/>
      </c>
      <c r="O263" s="9" t="s">
        <v>1067</v>
      </c>
      <c r="P263" s="314" t="str">
        <f aca="true">IF(AND(L263="🔄 SWAP ME",M263&lt;&gt;""),TODAY(),"")</f>
        <v/>
      </c>
      <c r="Q263" s="315" t="s">
        <v>1068</v>
      </c>
    </row>
    <row r="264" customFormat="false" ht="19.5" hidden="false" customHeight="true" outlineLevel="0" collapsed="false">
      <c r="B264" s="319" t="s">
        <v>177</v>
      </c>
      <c r="C264" s="273" t="s">
        <v>130</v>
      </c>
      <c r="D264" s="244" t="n">
        <v>46338</v>
      </c>
      <c r="E264" s="274" t="s">
        <v>623</v>
      </c>
      <c r="F264" s="37" t="str">
        <f aca="false">IF(AND(L264="🔄 SWAP ME",M264&lt;&gt;""),M264,IFERROR(INDEX($O$5:$O$375,MATCH(O264,$M$5:$M$375,0)),O264))</f>
        <v>📅 DP-600 EXAM PREP: practice assessment + review DirectLake + semantic model tuning</v>
      </c>
      <c r="G264" s="182" t="s">
        <v>446</v>
      </c>
      <c r="H264" s="39" t="n">
        <v>1</v>
      </c>
      <c r="I264" s="40" t="n">
        <v>2</v>
      </c>
      <c r="J264" s="41" t="n">
        <v>3</v>
      </c>
      <c r="K264" s="76" t="s">
        <v>1351</v>
      </c>
      <c r="L264" s="76" t="s">
        <v>1349</v>
      </c>
      <c r="M264" s="245"/>
      <c r="N264" s="63" t="str">
        <f aca="false">IF(AND(L264="🔄 SWAP ME",M264&lt;&gt;""),"⚡ SWAPPED","")</f>
        <v/>
      </c>
      <c r="O264" s="9" t="s">
        <v>1069</v>
      </c>
      <c r="P264" s="314" t="str">
        <f aca="true">IF(AND(L264="🔄 SWAP ME",M264&lt;&gt;""),TODAY(),"")</f>
        <v/>
      </c>
      <c r="Q264" s="315" t="s">
        <v>1405</v>
      </c>
    </row>
    <row r="265" customFormat="false" ht="19.5" hidden="false" customHeight="true" outlineLevel="0" collapsed="false">
      <c r="B265" s="319" t="s">
        <v>177</v>
      </c>
      <c r="C265" s="273" t="s">
        <v>133</v>
      </c>
      <c r="D265" s="244" t="n">
        <v>46339</v>
      </c>
      <c r="E265" s="274" t="s">
        <v>623</v>
      </c>
      <c r="F265" s="37" t="str">
        <f aca="false">IF(AND(L265="🔄 SWAP ME",M265&lt;&gt;""),M265,IFERROR(INDEX($O$5:$O$375,MATCH(O265,$M$5:$M$375,0)),O265))</f>
        <v>DSA: HLD warm-up — design Swiggy real-time analytics (30 min sketch + draw.io)</v>
      </c>
      <c r="G265" s="182" t="s">
        <v>446</v>
      </c>
      <c r="H265" s="39" t="n">
        <v>0.3</v>
      </c>
      <c r="I265" s="40" t="n">
        <v>0.5</v>
      </c>
      <c r="J265" s="41" t="n">
        <v>0.75</v>
      </c>
      <c r="K265" s="76" t="s">
        <v>1348</v>
      </c>
      <c r="L265" s="76" t="s">
        <v>1349</v>
      </c>
      <c r="M265" s="245"/>
      <c r="N265" s="63" t="str">
        <f aca="false">IF(AND(L265="🔄 SWAP ME",M265&lt;&gt;""),"⚡ SWAPPED","")</f>
        <v/>
      </c>
      <c r="O265" s="9" t="s">
        <v>1071</v>
      </c>
      <c r="P265" s="314" t="str">
        <f aca="true">IF(AND(L265="🔄 SWAP ME",M265&lt;&gt;""),TODAY(),"")</f>
        <v/>
      </c>
      <c r="Q265" s="315" t="s">
        <v>1072</v>
      </c>
    </row>
    <row r="266" customFormat="false" ht="19.5" hidden="false" customHeight="true" outlineLevel="0" collapsed="false">
      <c r="B266" s="319" t="s">
        <v>177</v>
      </c>
      <c r="C266" s="309" t="s">
        <v>516</v>
      </c>
      <c r="D266" s="240" t="n">
        <v>46340</v>
      </c>
      <c r="E266" s="274" t="s">
        <v>623</v>
      </c>
      <c r="F266" s="178" t="str">
        <f aca="false">IF(AND(L266="🔄 SWAP ME",M266&lt;&gt;""),M266,IFERROR(INDEX($O$5:$O$375,MATCH(O266,$M$5:$M$375,0)),O266))</f>
        <v>📅 EXAM DAY — DP-600 Microsoft Fabric Analytics Engineer Associate</v>
      </c>
      <c r="G266" s="182" t="s">
        <v>446</v>
      </c>
      <c r="H266" s="39" t="n">
        <v>1</v>
      </c>
      <c r="I266" s="40" t="n">
        <v>1.5</v>
      </c>
      <c r="J266" s="41" t="n">
        <v>2</v>
      </c>
      <c r="K266" s="179" t="s">
        <v>1351</v>
      </c>
      <c r="L266" s="179" t="s">
        <v>1349</v>
      </c>
      <c r="M266" s="241"/>
      <c r="N266" s="316" t="str">
        <f aca="false">IF(AND(L266="🔄 SWAP ME",M266&lt;&gt;""),"⚡ SWAPPED","")</f>
        <v/>
      </c>
      <c r="O266" s="9" t="s">
        <v>1073</v>
      </c>
      <c r="P266" s="317" t="str">
        <f aca="true">IF(AND(L266="🔄 SWAP ME",M266&lt;&gt;""),TODAY(),"")</f>
        <v/>
      </c>
      <c r="Q266" s="315" t="s">
        <v>1074</v>
      </c>
    </row>
    <row r="267" customFormat="false" ht="19.5" hidden="false" customHeight="true" outlineLevel="0" collapsed="false">
      <c r="B267" s="319" t="s">
        <v>177</v>
      </c>
      <c r="C267" s="309" t="s">
        <v>517</v>
      </c>
      <c r="D267" s="240" t="n">
        <v>46341</v>
      </c>
      <c r="E267" s="274" t="s">
        <v>623</v>
      </c>
      <c r="F267" s="178" t="str">
        <f aca="false">IF(AND(L267="🔄 SWAP ME",M267&lt;&gt;""),M267,IFERROR(INDEX($O$5:$O$375,MATCH(O267,$M$5:$M$375,0)),O267))</f>
        <v>P26: BookMyShow real-time — Event Hub→Stream Analytics→Synapse (from course)</v>
      </c>
      <c r="G267" s="182" t="s">
        <v>446</v>
      </c>
      <c r="H267" s="39" t="n">
        <v>1.5</v>
      </c>
      <c r="I267" s="40" t="n">
        <v>3</v>
      </c>
      <c r="J267" s="41" t="n">
        <v>5</v>
      </c>
      <c r="K267" s="179" t="s">
        <v>1352</v>
      </c>
      <c r="L267" s="179" t="s">
        <v>1349</v>
      </c>
      <c r="M267" s="241"/>
      <c r="N267" s="316" t="str">
        <f aca="false">IF(AND(L267="🔄 SWAP ME",M267&lt;&gt;""),"⚡ SWAPPED","")</f>
        <v/>
      </c>
      <c r="O267" s="9" t="s">
        <v>1075</v>
      </c>
      <c r="P267" s="317" t="str">
        <f aca="true">IF(AND(L267="🔄 SWAP ME",M267&lt;&gt;""),TODAY(),"")</f>
        <v/>
      </c>
      <c r="Q267" s="270" t="s">
        <v>1076</v>
      </c>
    </row>
    <row r="268" customFormat="false" ht="12" hidden="false" customHeight="true" outlineLevel="0" collapsed="false">
      <c r="B268" s="318" t="s">
        <v>1406</v>
      </c>
      <c r="C268" s="318"/>
      <c r="D268" s="318"/>
      <c r="E268" s="318"/>
      <c r="F268" s="318"/>
      <c r="G268" s="318"/>
      <c r="H268" s="318"/>
      <c r="I268" s="318"/>
      <c r="J268" s="318"/>
      <c r="K268" s="318"/>
      <c r="L268" s="318"/>
      <c r="M268" s="318"/>
      <c r="N268" s="318"/>
      <c r="O268" s="318"/>
      <c r="P268" s="318"/>
      <c r="Q268" s="318"/>
    </row>
    <row r="269" customFormat="false" ht="19.5" hidden="false" customHeight="true" outlineLevel="0" collapsed="false">
      <c r="B269" s="319" t="s">
        <v>178</v>
      </c>
      <c r="C269" s="273" t="s">
        <v>118</v>
      </c>
      <c r="D269" s="244" t="n">
        <v>46342</v>
      </c>
      <c r="E269" s="274" t="s">
        <v>623</v>
      </c>
      <c r="F269" s="37" t="str">
        <f aca="false">IF(AND(L269="🔄 SWAP ME",M269&lt;&gt;""),M269,IFERROR(INDEX($O$5:$O$375,MATCH(O269,$M$5:$M$375,0)),O269))</f>
        <v>Synapse Analytics: MPP, 60 distributions, HASH/REPLICATE/ROUND_ROBIN strategy</v>
      </c>
      <c r="G269" s="182" t="s">
        <v>446</v>
      </c>
      <c r="H269" s="39" t="n">
        <v>0.5</v>
      </c>
      <c r="I269" s="40" t="n">
        <v>1</v>
      </c>
      <c r="J269" s="41" t="n">
        <v>1.5</v>
      </c>
      <c r="K269" s="76" t="s">
        <v>1348</v>
      </c>
      <c r="L269" s="76" t="s">
        <v>1349</v>
      </c>
      <c r="M269" s="245"/>
      <c r="N269" s="63" t="str">
        <f aca="false">IF(AND(L269="🔄 SWAP ME",M269&lt;&gt;""),"⚡ SWAPPED","")</f>
        <v/>
      </c>
      <c r="O269" s="9" t="s">
        <v>1077</v>
      </c>
      <c r="P269" s="314" t="str">
        <f aca="true">IF(AND(L269="🔄 SWAP ME",M269&lt;&gt;""),TODAY(),"")</f>
        <v/>
      </c>
      <c r="Q269" s="315" t="s">
        <v>1078</v>
      </c>
    </row>
    <row r="270" customFormat="false" ht="19.5" hidden="false" customHeight="true" outlineLevel="0" collapsed="false">
      <c r="B270" s="319" t="s">
        <v>178</v>
      </c>
      <c r="C270" s="273" t="s">
        <v>123</v>
      </c>
      <c r="D270" s="244" t="n">
        <v>46343</v>
      </c>
      <c r="E270" s="274" t="s">
        <v>623</v>
      </c>
      <c r="F270" s="37" t="str">
        <f aca="false">IF(AND(L270="🔄 SWAP ME",M270&lt;&gt;""),M270,IFERROR(INDEX($O$5:$O$375,MATCH(O270,$M$5:$M$375,0)),O270))</f>
        <v>Synapse: CCI vs heap, partitioning, statistics, WLM, CTAS, COPY INTO vs PolyBase</v>
      </c>
      <c r="G270" s="182" t="s">
        <v>446</v>
      </c>
      <c r="H270" s="39" t="n">
        <v>0.5</v>
      </c>
      <c r="I270" s="40" t="n">
        <v>1</v>
      </c>
      <c r="J270" s="41" t="n">
        <v>1.5</v>
      </c>
      <c r="K270" s="76" t="s">
        <v>1348</v>
      </c>
      <c r="L270" s="76" t="s">
        <v>1349</v>
      </c>
      <c r="M270" s="245"/>
      <c r="N270" s="63" t="str">
        <f aca="false">IF(AND(L270="🔄 SWAP ME",M270&lt;&gt;""),"⚡ SWAPPED","")</f>
        <v/>
      </c>
      <c r="O270" s="9" t="s">
        <v>1079</v>
      </c>
      <c r="P270" s="314" t="str">
        <f aca="true">IF(AND(L270="🔄 SWAP ME",M270&lt;&gt;""),TODAY(),"")</f>
        <v/>
      </c>
      <c r="Q270" s="315" t="s">
        <v>1080</v>
      </c>
    </row>
    <row r="271" customFormat="false" ht="19.5" hidden="false" customHeight="true" outlineLevel="0" collapsed="false">
      <c r="B271" s="319" t="s">
        <v>178</v>
      </c>
      <c r="C271" s="273" t="s">
        <v>126</v>
      </c>
      <c r="D271" s="244" t="n">
        <v>46344</v>
      </c>
      <c r="E271" s="36" t="s">
        <v>617</v>
      </c>
      <c r="F271" s="37" t="str">
        <f aca="false">IF(AND(L271="🔄 SWAP ME",M271&lt;&gt;""),M271,IFERROR(INDEX($O$5:$O$375,MATCH(O271,$M$5:$M$375,0)),O271))</f>
        <v>Azure Purview: Data Map scanning, sensitivity labels, lineage from ADF/Databricks</v>
      </c>
      <c r="G271" s="182" t="s">
        <v>446</v>
      </c>
      <c r="H271" s="39" t="n">
        <v>0.5</v>
      </c>
      <c r="I271" s="40" t="n">
        <v>0.75</v>
      </c>
      <c r="J271" s="41" t="n">
        <v>1</v>
      </c>
      <c r="K271" s="76" t="s">
        <v>1348</v>
      </c>
      <c r="L271" s="76" t="s">
        <v>1349</v>
      </c>
      <c r="M271" s="245"/>
      <c r="N271" s="63" t="str">
        <f aca="false">IF(AND(L271="🔄 SWAP ME",M271&lt;&gt;""),"⚡ SWAPPED","")</f>
        <v/>
      </c>
      <c r="O271" s="9" t="s">
        <v>1081</v>
      </c>
      <c r="P271" s="314" t="str">
        <f aca="true">IF(AND(L271="🔄 SWAP ME",M271&lt;&gt;""),TODAY(),"")</f>
        <v/>
      </c>
      <c r="Q271" s="315" t="s">
        <v>1082</v>
      </c>
    </row>
    <row r="272" customFormat="false" ht="19.5" hidden="false" customHeight="true" outlineLevel="0" collapsed="false">
      <c r="B272" s="319" t="s">
        <v>178</v>
      </c>
      <c r="C272" s="273" t="s">
        <v>130</v>
      </c>
      <c r="D272" s="244" t="n">
        <v>46345</v>
      </c>
      <c r="E272" s="274" t="s">
        <v>623</v>
      </c>
      <c r="F272" s="37" t="str">
        <f aca="false">IF(AND(L272="🔄 SWAP ME",M272&lt;&gt;""),M272,IFERROR(INDEX($O$5:$O$375,MATCH(O272,$M$5:$M$375,0)),O272))</f>
        <v>Azure OpenAI: deploying GPT-4o, embeddings API, rate limiting, Azure AI Studio</v>
      </c>
      <c r="G272" s="182" t="s">
        <v>446</v>
      </c>
      <c r="H272" s="39" t="n">
        <v>0.5</v>
      </c>
      <c r="I272" s="40" t="n">
        <v>0.75</v>
      </c>
      <c r="J272" s="41" t="n">
        <v>1</v>
      </c>
      <c r="K272" s="76" t="s">
        <v>1348</v>
      </c>
      <c r="L272" s="76" t="s">
        <v>1349</v>
      </c>
      <c r="M272" s="245"/>
      <c r="N272" s="63" t="str">
        <f aca="false">IF(AND(L272="🔄 SWAP ME",M272&lt;&gt;""),"⚡ SWAPPED","")</f>
        <v/>
      </c>
      <c r="O272" s="9" t="s">
        <v>1083</v>
      </c>
      <c r="P272" s="314" t="str">
        <f aca="true">IF(AND(L272="🔄 SWAP ME",M272&lt;&gt;""),TODAY(),"")</f>
        <v/>
      </c>
      <c r="Q272" s="315" t="s">
        <v>1084</v>
      </c>
    </row>
    <row r="273" customFormat="false" ht="19.5" hidden="false" customHeight="true" outlineLevel="0" collapsed="false">
      <c r="B273" s="319" t="s">
        <v>178</v>
      </c>
      <c r="C273" s="273" t="s">
        <v>133</v>
      </c>
      <c r="D273" s="244" t="n">
        <v>46346</v>
      </c>
      <c r="E273" s="274" t="s">
        <v>623</v>
      </c>
      <c r="F273" s="37" t="str">
        <f aca="false">IF(AND(L273="🔄 SWAP ME",M273&lt;&gt;""),M273,IFERROR(INDEX($O$5:$O$375,MATCH(O273,$M$5:$M$375,0)),O273))</f>
        <v>DSA: HLD mock — 45 min design Flipkart data lake (scale, components, tradeoffs)</v>
      </c>
      <c r="G273" s="182" t="s">
        <v>446</v>
      </c>
      <c r="H273" s="39" t="n">
        <v>0.3</v>
      </c>
      <c r="I273" s="40" t="n">
        <v>0.5</v>
      </c>
      <c r="J273" s="41" t="n">
        <v>0.75</v>
      </c>
      <c r="K273" s="76" t="s">
        <v>1348</v>
      </c>
      <c r="L273" s="76" t="s">
        <v>1349</v>
      </c>
      <c r="M273" s="245"/>
      <c r="N273" s="63" t="str">
        <f aca="false">IF(AND(L273="🔄 SWAP ME",M273&lt;&gt;""),"⚡ SWAPPED","")</f>
        <v/>
      </c>
      <c r="O273" s="9" t="s">
        <v>1085</v>
      </c>
      <c r="P273" s="314" t="str">
        <f aca="true">IF(AND(L273="🔄 SWAP ME",M273&lt;&gt;""),TODAY(),"")</f>
        <v/>
      </c>
      <c r="Q273" s="315" t="s">
        <v>1072</v>
      </c>
    </row>
    <row r="274" customFormat="false" ht="19.5" hidden="false" customHeight="true" outlineLevel="0" collapsed="false">
      <c r="B274" s="319" t="s">
        <v>178</v>
      </c>
      <c r="C274" s="309" t="s">
        <v>516</v>
      </c>
      <c r="D274" s="240" t="n">
        <v>46347</v>
      </c>
      <c r="E274" s="274" t="s">
        <v>623</v>
      </c>
      <c r="F274" s="178" t="str">
        <f aca="false">IF(AND(L274="🔄 SWAP ME",M274&lt;&gt;""),M274,IFERROR(INDEX($O$5:$O$375,MATCH(O274,$M$5:$M$375,0)),O274))</f>
        <v>P27: Airlines incremental pipeline with CI/CD — ADLS→ADF→Synapse + DevOps</v>
      </c>
      <c r="G274" s="182" t="s">
        <v>446</v>
      </c>
      <c r="H274" s="39" t="n">
        <v>1.5</v>
      </c>
      <c r="I274" s="40" t="n">
        <v>3</v>
      </c>
      <c r="J274" s="41" t="n">
        <v>5</v>
      </c>
      <c r="K274" s="179" t="s">
        <v>1352</v>
      </c>
      <c r="L274" s="179" t="s">
        <v>1349</v>
      </c>
      <c r="M274" s="241"/>
      <c r="N274" s="316" t="str">
        <f aca="false">IF(AND(L274="🔄 SWAP ME",M274&lt;&gt;""),"⚡ SWAPPED","")</f>
        <v/>
      </c>
      <c r="O274" s="9" t="s">
        <v>1086</v>
      </c>
      <c r="P274" s="317" t="str">
        <f aca="true">IF(AND(L274="🔄 SWAP ME",M274&lt;&gt;""),TODAY(),"")</f>
        <v/>
      </c>
      <c r="Q274" s="270" t="s">
        <v>1087</v>
      </c>
    </row>
    <row r="275" customFormat="false" ht="19.5" hidden="false" customHeight="true" outlineLevel="0" collapsed="false">
      <c r="B275" s="319" t="s">
        <v>178</v>
      </c>
      <c r="C275" s="309" t="s">
        <v>517</v>
      </c>
      <c r="D275" s="240" t="n">
        <v>46348</v>
      </c>
      <c r="E275" s="274" t="s">
        <v>623</v>
      </c>
      <c r="F275" s="178" t="str">
        <f aca="false">IF(AND(L275="🔄 SWAP ME",M275&lt;&gt;""),M275,IFERROR(INDEX($O$5:$O$375,MATCH(O275,$M$5:$M$375,0)),O275))</f>
        <v>📅 EXAM DAY — SnowPro Advanced: Data Engineer (DEA-C02)</v>
      </c>
      <c r="G275" s="182" t="s">
        <v>446</v>
      </c>
      <c r="H275" s="39" t="n">
        <v>1</v>
      </c>
      <c r="I275" s="40" t="n">
        <v>1.5</v>
      </c>
      <c r="J275" s="41" t="n">
        <v>2</v>
      </c>
      <c r="K275" s="179" t="s">
        <v>1351</v>
      </c>
      <c r="L275" s="179" t="s">
        <v>1349</v>
      </c>
      <c r="M275" s="241"/>
      <c r="N275" s="316" t="str">
        <f aca="false">IF(AND(L275="🔄 SWAP ME",M275&lt;&gt;""),"⚡ SWAPPED","")</f>
        <v/>
      </c>
      <c r="O275" s="9" t="s">
        <v>1088</v>
      </c>
      <c r="P275" s="317" t="str">
        <f aca="true">IF(AND(L275="🔄 SWAP ME",M275&lt;&gt;""),TODAY(),"")</f>
        <v/>
      </c>
      <c r="Q275" s="315" t="s">
        <v>1089</v>
      </c>
    </row>
    <row r="276" customFormat="false" ht="12" hidden="false" customHeight="true" outlineLevel="0" collapsed="false">
      <c r="B276" s="322" t="s">
        <v>1407</v>
      </c>
      <c r="C276" s="322"/>
      <c r="D276" s="322"/>
      <c r="E276" s="322"/>
      <c r="F276" s="322"/>
      <c r="G276" s="322"/>
      <c r="H276" s="322"/>
      <c r="I276" s="322"/>
      <c r="J276" s="322"/>
      <c r="K276" s="322"/>
      <c r="L276" s="322"/>
      <c r="M276" s="322"/>
      <c r="N276" s="322"/>
      <c r="O276" s="322"/>
      <c r="P276" s="322"/>
      <c r="Q276" s="322"/>
    </row>
    <row r="277" customFormat="false" ht="19.5" hidden="false" customHeight="true" outlineLevel="0" collapsed="false">
      <c r="B277" s="323" t="s">
        <v>179</v>
      </c>
      <c r="C277" s="273" t="s">
        <v>118</v>
      </c>
      <c r="D277" s="244" t="n">
        <v>46349</v>
      </c>
      <c r="E277" s="274" t="s">
        <v>623</v>
      </c>
      <c r="F277" s="37" t="str">
        <f aca="false">IF(AND(L277="🔄 SWAP ME",M277&lt;&gt;""),M277,IFERROR(INDEX($O$5:$O$375,MATCH(O277,$M$5:$M$375,0)),O277))</f>
        <v>AWS: S3, Lambda, SQS, SNS, EventBridge — extend course knowledge with depth</v>
      </c>
      <c r="G277" s="190" t="s">
        <v>458</v>
      </c>
      <c r="H277" s="39" t="n">
        <v>0.5</v>
      </c>
      <c r="I277" s="40" t="n">
        <v>1</v>
      </c>
      <c r="J277" s="41" t="n">
        <v>1.5</v>
      </c>
      <c r="K277" s="76" t="s">
        <v>1348</v>
      </c>
      <c r="L277" s="76" t="s">
        <v>1349</v>
      </c>
      <c r="M277" s="245"/>
      <c r="N277" s="63" t="str">
        <f aca="false">IF(AND(L277="🔄 SWAP ME",M277&lt;&gt;""),"⚡ SWAPPED","")</f>
        <v/>
      </c>
      <c r="O277" s="9" t="s">
        <v>1091</v>
      </c>
      <c r="P277" s="314" t="str">
        <f aca="true">IF(AND(L277="🔄 SWAP ME",M277&lt;&gt;""),TODAY(),"")</f>
        <v/>
      </c>
      <c r="Q277" s="270" t="s">
        <v>1092</v>
      </c>
    </row>
    <row r="278" customFormat="false" ht="19.5" hidden="false" customHeight="true" outlineLevel="0" collapsed="false">
      <c r="B278" s="323" t="s">
        <v>179</v>
      </c>
      <c r="C278" s="273" t="s">
        <v>123</v>
      </c>
      <c r="D278" s="244" t="n">
        <v>46350</v>
      </c>
      <c r="E278" s="274" t="s">
        <v>623</v>
      </c>
      <c r="F278" s="37" t="str">
        <f aca="false">IF(AND(L278="🔄 SWAP ME",M278&lt;&gt;""),M278,IFERROR(INDEX($O$5:$O$375,MATCH(O278,$M$5:$M$375,0)),O278))</f>
        <v>AWS Glue deep: ETL jobs, crawlers, Data Catalog, bookmarks, Studio, DataBrew, DQ</v>
      </c>
      <c r="G278" s="190" t="s">
        <v>458</v>
      </c>
      <c r="H278" s="39" t="n">
        <v>0.5</v>
      </c>
      <c r="I278" s="40" t="n">
        <v>1</v>
      </c>
      <c r="J278" s="41" t="n">
        <v>1.5</v>
      </c>
      <c r="K278" s="76" t="s">
        <v>1348</v>
      </c>
      <c r="L278" s="76" t="s">
        <v>1349</v>
      </c>
      <c r="M278" s="245"/>
      <c r="N278" s="63" t="str">
        <f aca="false">IF(AND(L278="🔄 SWAP ME",M278&lt;&gt;""),"⚡ SWAPPED","")</f>
        <v/>
      </c>
      <c r="O278" s="9" t="s">
        <v>1093</v>
      </c>
      <c r="P278" s="314" t="str">
        <f aca="true">IF(AND(L278="🔄 SWAP ME",M278&lt;&gt;""),TODAY(),"")</f>
        <v/>
      </c>
      <c r="Q278" s="315" t="s">
        <v>1094</v>
      </c>
    </row>
    <row r="279" customFormat="false" ht="19.5" hidden="false" customHeight="true" outlineLevel="0" collapsed="false">
      <c r="B279" s="323" t="s">
        <v>179</v>
      </c>
      <c r="C279" s="273" t="s">
        <v>126</v>
      </c>
      <c r="D279" s="244" t="n">
        <v>46351</v>
      </c>
      <c r="E279" s="274" t="s">
        <v>623</v>
      </c>
      <c r="F279" s="37" t="str">
        <f aca="false">IF(AND(L279="🔄 SWAP ME",M279&lt;&gt;""),M279,IFERROR(INDEX($O$5:$O$375,MATCH(O279,$M$5:$M$375,0)),O279))</f>
        <v>AWS Kinesis: Data Streams (shards, enhanced fan-out), Firehose (buffering, transform)</v>
      </c>
      <c r="G279" s="190" t="s">
        <v>458</v>
      </c>
      <c r="H279" s="39" t="n">
        <v>0.5</v>
      </c>
      <c r="I279" s="40" t="n">
        <v>1</v>
      </c>
      <c r="J279" s="41" t="n">
        <v>1.5</v>
      </c>
      <c r="K279" s="76" t="s">
        <v>1348</v>
      </c>
      <c r="L279" s="76" t="s">
        <v>1349</v>
      </c>
      <c r="M279" s="245"/>
      <c r="N279" s="63" t="str">
        <f aca="false">IF(AND(L279="🔄 SWAP ME",M279&lt;&gt;""),"⚡ SWAPPED","")</f>
        <v/>
      </c>
      <c r="O279" s="9" t="s">
        <v>1095</v>
      </c>
      <c r="P279" s="314" t="str">
        <f aca="true">IF(AND(L279="🔄 SWAP ME",M279&lt;&gt;""),TODAY(),"")</f>
        <v/>
      </c>
      <c r="Q279" s="315" t="s">
        <v>1096</v>
      </c>
    </row>
    <row r="280" customFormat="false" ht="19.5" hidden="false" customHeight="true" outlineLevel="0" collapsed="false">
      <c r="B280" s="323" t="s">
        <v>179</v>
      </c>
      <c r="C280" s="273" t="s">
        <v>130</v>
      </c>
      <c r="D280" s="244" t="n">
        <v>46352</v>
      </c>
      <c r="E280" s="274" t="s">
        <v>623</v>
      </c>
      <c r="F280" s="37" t="str">
        <f aca="false">IF(AND(L280="🔄 SWAP ME",M280&lt;&gt;""),M280,IFERROR(INDEX($O$5:$O$375,MATCH(O280,$M$5:$M$375,0)),O280))</f>
        <v>Amazon Redshift deep: distribution styles, sort keys, WLM, Spectrum, Serverless</v>
      </c>
      <c r="G280" s="190" t="s">
        <v>458</v>
      </c>
      <c r="H280" s="39" t="n">
        <v>0.5</v>
      </c>
      <c r="I280" s="40" t="n">
        <v>1</v>
      </c>
      <c r="J280" s="41" t="n">
        <v>1.5</v>
      </c>
      <c r="K280" s="76" t="s">
        <v>1348</v>
      </c>
      <c r="L280" s="76" t="s">
        <v>1349</v>
      </c>
      <c r="M280" s="245"/>
      <c r="N280" s="63" t="str">
        <f aca="false">IF(AND(L280="🔄 SWAP ME",M280&lt;&gt;""),"⚡ SWAPPED","")</f>
        <v/>
      </c>
      <c r="O280" s="9" t="s">
        <v>1097</v>
      </c>
      <c r="P280" s="314" t="str">
        <f aca="true">IF(AND(L280="🔄 SWAP ME",M280&lt;&gt;""),TODAY(),"")</f>
        <v/>
      </c>
      <c r="Q280" s="315" t="s">
        <v>1094</v>
      </c>
    </row>
    <row r="281" customFormat="false" ht="19.5" hidden="false" customHeight="true" outlineLevel="0" collapsed="false">
      <c r="B281" s="323" t="s">
        <v>179</v>
      </c>
      <c r="C281" s="273" t="s">
        <v>133</v>
      </c>
      <c r="D281" s="244" t="n">
        <v>46353</v>
      </c>
      <c r="E281" s="274" t="s">
        <v>623</v>
      </c>
      <c r="F281" s="37" t="str">
        <f aca="false">IF(AND(L281="🔄 SWAP ME",M281&lt;&gt;""),M281,IFERROR(INDEX($O$5:$O$375,MATCH(O281,$M$5:$M$375,0)),O281))</f>
        <v>DSA: Amazon hard — 45 min timed, 2 hard problems, explain every thought aloud</v>
      </c>
      <c r="G281" s="190" t="s">
        <v>458</v>
      </c>
      <c r="H281" s="39" t="n">
        <v>0.3</v>
      </c>
      <c r="I281" s="40" t="n">
        <v>0.5</v>
      </c>
      <c r="J281" s="41" t="n">
        <v>0.75</v>
      </c>
      <c r="K281" s="76" t="s">
        <v>1348</v>
      </c>
      <c r="L281" s="76" t="s">
        <v>1349</v>
      </c>
      <c r="M281" s="245"/>
      <c r="N281" s="63" t="str">
        <f aca="false">IF(AND(L281="🔄 SWAP ME",M281&lt;&gt;""),"⚡ SWAPPED","")</f>
        <v/>
      </c>
      <c r="O281" s="9" t="s">
        <v>1098</v>
      </c>
      <c r="P281" s="314" t="str">
        <f aca="true">IF(AND(L281="🔄 SWAP ME",M281&lt;&gt;""),TODAY(),"")</f>
        <v/>
      </c>
      <c r="Q281" s="315" t="s">
        <v>1099</v>
      </c>
    </row>
    <row r="282" customFormat="false" ht="19.5" hidden="false" customHeight="true" outlineLevel="0" collapsed="false">
      <c r="B282" s="323" t="s">
        <v>179</v>
      </c>
      <c r="C282" s="309" t="s">
        <v>516</v>
      </c>
      <c r="D282" s="240" t="n">
        <v>46354</v>
      </c>
      <c r="E282" s="274" t="s">
        <v>623</v>
      </c>
      <c r="F282" s="178" t="str">
        <f aca="false">IF(AND(L282="🔄 SWAP ME",M282&lt;&gt;""),M282,IFERROR(INDEX($O$5:$O$375,MATCH(O282,$M$5:$M$375,0)),O282))</f>
        <v>AWS: Athena (partition projection, CTAS, federated), Lake Formation (LF-TBAC)</v>
      </c>
      <c r="G282" s="190" t="s">
        <v>458</v>
      </c>
      <c r="H282" s="39" t="n">
        <v>1</v>
      </c>
      <c r="I282" s="40" t="n">
        <v>1.5</v>
      </c>
      <c r="J282" s="41" t="n">
        <v>2</v>
      </c>
      <c r="K282" s="179" t="s">
        <v>1351</v>
      </c>
      <c r="L282" s="179" t="s">
        <v>1349</v>
      </c>
      <c r="M282" s="241"/>
      <c r="N282" s="316" t="str">
        <f aca="false">IF(AND(L282="🔄 SWAP ME",M282&lt;&gt;""),"⚡ SWAPPED","")</f>
        <v/>
      </c>
      <c r="O282" s="9" t="s">
        <v>1100</v>
      </c>
      <c r="P282" s="317" t="str">
        <f aca="true">IF(AND(L282="🔄 SWAP ME",M282&lt;&gt;""),TODAY(),"")</f>
        <v/>
      </c>
      <c r="Q282" s="315" t="s">
        <v>1101</v>
      </c>
    </row>
    <row r="283" customFormat="false" ht="19.5" hidden="false" customHeight="true" outlineLevel="0" collapsed="false">
      <c r="B283" s="323" t="s">
        <v>179</v>
      </c>
      <c r="C283" s="309" t="s">
        <v>517</v>
      </c>
      <c r="D283" s="240" t="n">
        <v>46355</v>
      </c>
      <c r="E283" s="274" t="s">
        <v>623</v>
      </c>
      <c r="F283" s="178" t="str">
        <f aca="false">IF(AND(L283="🔄 SWAP ME",M283&lt;&gt;""),M283,IFERROR(INDEX($O$5:$O$375,MATCH(O283,$M$5:$M$375,0)),O283))</f>
        <v>P28-P33: All 6 AWS projects from course (Ad Tech/Betting/Movie/Airlines/Crypto/CC)</v>
      </c>
      <c r="G283" s="190" t="s">
        <v>458</v>
      </c>
      <c r="H283" s="39" t="n">
        <v>2</v>
      </c>
      <c r="I283" s="40" t="n">
        <v>4</v>
      </c>
      <c r="J283" s="41" t="n">
        <v>6</v>
      </c>
      <c r="K283" s="179" t="s">
        <v>1352</v>
      </c>
      <c r="L283" s="179" t="s">
        <v>1349</v>
      </c>
      <c r="M283" s="241"/>
      <c r="N283" s="316" t="str">
        <f aca="false">IF(AND(L283="🔄 SWAP ME",M283&lt;&gt;""),"⚡ SWAPPED","")</f>
        <v/>
      </c>
      <c r="O283" s="9" t="s">
        <v>1102</v>
      </c>
      <c r="P283" s="317" t="str">
        <f aca="true">IF(AND(L283="🔄 SWAP ME",M283&lt;&gt;""),TODAY(),"")</f>
        <v/>
      </c>
      <c r="Q283" s="270" t="s">
        <v>1103</v>
      </c>
    </row>
    <row r="284" customFormat="false" ht="12" hidden="false" customHeight="true" outlineLevel="0" collapsed="false">
      <c r="B284" s="322" t="s">
        <v>1408</v>
      </c>
      <c r="C284" s="322"/>
      <c r="D284" s="322"/>
      <c r="E284" s="322"/>
      <c r="F284" s="322"/>
      <c r="G284" s="322"/>
      <c r="H284" s="322"/>
      <c r="I284" s="322"/>
      <c r="J284" s="322"/>
      <c r="K284" s="322"/>
      <c r="L284" s="322"/>
      <c r="M284" s="322"/>
      <c r="N284" s="322"/>
      <c r="O284" s="322"/>
      <c r="P284" s="322"/>
      <c r="Q284" s="322"/>
    </row>
    <row r="285" customFormat="false" ht="19.5" hidden="false" customHeight="true" outlineLevel="0" collapsed="false">
      <c r="B285" s="323" t="s">
        <v>180</v>
      </c>
      <c r="C285" s="273" t="s">
        <v>118</v>
      </c>
      <c r="D285" s="244" t="n">
        <v>46356</v>
      </c>
      <c r="E285" s="36" t="s">
        <v>617</v>
      </c>
      <c r="F285" s="37" t="str">
        <f aca="false">IF(AND(L285="🔄 SWAP ME",M285&lt;&gt;""),M285,IFERROR(INDEX($O$5:$O$375,MATCH(O285,$M$5:$M$375,0)),O285))</f>
        <v>AWS DMS: CDC replication, task types, RDS binary log, ongoing replication setup</v>
      </c>
      <c r="G285" s="190" t="s">
        <v>458</v>
      </c>
      <c r="H285" s="39" t="n">
        <v>0.5</v>
      </c>
      <c r="I285" s="40" t="n">
        <v>0.75</v>
      </c>
      <c r="J285" s="41" t="n">
        <v>1</v>
      </c>
      <c r="K285" s="76" t="s">
        <v>1348</v>
      </c>
      <c r="L285" s="76" t="s">
        <v>1349</v>
      </c>
      <c r="M285" s="245"/>
      <c r="N285" s="63" t="str">
        <f aca="false">IF(AND(L285="🔄 SWAP ME",M285&lt;&gt;""),"⚡ SWAPPED","")</f>
        <v/>
      </c>
      <c r="O285" s="9" t="s">
        <v>1104</v>
      </c>
      <c r="P285" s="314" t="str">
        <f aca="true">IF(AND(L285="🔄 SWAP ME",M285&lt;&gt;""),TODAY(),"")</f>
        <v/>
      </c>
      <c r="Q285" s="315" t="s">
        <v>1105</v>
      </c>
    </row>
    <row r="286" customFormat="false" ht="19.5" hidden="false" customHeight="true" outlineLevel="0" collapsed="false">
      <c r="B286" s="323" t="s">
        <v>180</v>
      </c>
      <c r="C286" s="273" t="s">
        <v>123</v>
      </c>
      <c r="D286" s="244" t="n">
        <v>46357</v>
      </c>
      <c r="E286" s="36" t="s">
        <v>617</v>
      </c>
      <c r="F286" s="37" t="str">
        <f aca="false">IF(AND(L286="🔄 SWAP ME",M286&lt;&gt;""),M286,IFERROR(INDEX($O$5:$O$375,MATCH(O286,$M$5:$M$375,0)),O286))</f>
        <v>AWS MSK + Step Functions + MWAA — deep review beyond course</v>
      </c>
      <c r="G286" s="190" t="s">
        <v>458</v>
      </c>
      <c r="H286" s="39" t="n">
        <v>0.5</v>
      </c>
      <c r="I286" s="40" t="n">
        <v>0.75</v>
      </c>
      <c r="J286" s="41" t="n">
        <v>1</v>
      </c>
      <c r="K286" s="76" t="s">
        <v>1348</v>
      </c>
      <c r="L286" s="76" t="s">
        <v>1349</v>
      </c>
      <c r="M286" s="245"/>
      <c r="N286" s="63" t="str">
        <f aca="false">IF(AND(L286="🔄 SWAP ME",M286&lt;&gt;""),"⚡ SWAPPED","")</f>
        <v/>
      </c>
      <c r="O286" s="9" t="s">
        <v>1106</v>
      </c>
      <c r="P286" s="314" t="str">
        <f aca="true">IF(AND(L286="🔄 SWAP ME",M286&lt;&gt;""),TODAY(),"")</f>
        <v/>
      </c>
      <c r="Q286" s="315" t="s">
        <v>1107</v>
      </c>
    </row>
    <row r="287" customFormat="false" ht="19.5" hidden="false" customHeight="true" outlineLevel="0" collapsed="false">
      <c r="B287" s="323" t="s">
        <v>180</v>
      </c>
      <c r="C287" s="273" t="s">
        <v>126</v>
      </c>
      <c r="D287" s="244" t="n">
        <v>46358</v>
      </c>
      <c r="E287" s="36" t="s">
        <v>617</v>
      </c>
      <c r="F287" s="37" t="str">
        <f aca="false">IF(AND(L287="🔄 SWAP ME",M287&lt;&gt;""),M287,IFERROR(INDEX($O$5:$O$375,MATCH(O287,$M$5:$M$375,0)),O287))</f>
        <v>AWS: Amazon OpenSearch, Glue Studio visual ETL, cost optimization patterns</v>
      </c>
      <c r="G287" s="190" t="s">
        <v>458</v>
      </c>
      <c r="H287" s="39" t="n">
        <v>0.5</v>
      </c>
      <c r="I287" s="40" t="n">
        <v>0.75</v>
      </c>
      <c r="J287" s="41" t="n">
        <v>1</v>
      </c>
      <c r="K287" s="76" t="s">
        <v>1348</v>
      </c>
      <c r="L287" s="76" t="s">
        <v>1349</v>
      </c>
      <c r="M287" s="245"/>
      <c r="N287" s="63" t="str">
        <f aca="false">IF(AND(L287="🔄 SWAP ME",M287&lt;&gt;""),"⚡ SWAPPED","")</f>
        <v/>
      </c>
      <c r="O287" s="9" t="s">
        <v>1108</v>
      </c>
      <c r="P287" s="314" t="str">
        <f aca="true">IF(AND(L287="🔄 SWAP ME",M287&lt;&gt;""),TODAY(),"")</f>
        <v/>
      </c>
      <c r="Q287" s="315" t="s">
        <v>1109</v>
      </c>
    </row>
    <row r="288" customFormat="false" ht="19.5" hidden="false" customHeight="true" outlineLevel="0" collapsed="false">
      <c r="B288" s="323" t="s">
        <v>180</v>
      </c>
      <c r="C288" s="273" t="s">
        <v>130</v>
      </c>
      <c r="D288" s="244" t="n">
        <v>46359</v>
      </c>
      <c r="E288" s="274" t="s">
        <v>623</v>
      </c>
      <c r="F288" s="37" t="str">
        <f aca="false">IF(AND(L288="🔄 SWAP ME",M288&lt;&gt;""),M288,IFERROR(INDEX($O$5:$O$375,MATCH(O288,$M$5:$M$375,0)),O288))</f>
        <v>AWS DEA-C01 Practice Set 1: Tutorials Dojo 65 questions timed — target 85%+</v>
      </c>
      <c r="G288" s="190" t="s">
        <v>458</v>
      </c>
      <c r="H288" s="39" t="n">
        <v>2</v>
      </c>
      <c r="I288" s="40" t="n">
        <v>3</v>
      </c>
      <c r="J288" s="41" t="n">
        <v>4</v>
      </c>
      <c r="K288" s="76" t="s">
        <v>1352</v>
      </c>
      <c r="L288" s="76" t="s">
        <v>1349</v>
      </c>
      <c r="M288" s="245"/>
      <c r="N288" s="63" t="str">
        <f aca="false">IF(AND(L288="🔄 SWAP ME",M288&lt;&gt;""),"⚡ SWAPPED","")</f>
        <v/>
      </c>
      <c r="O288" s="9" t="s">
        <v>1110</v>
      </c>
      <c r="P288" s="314" t="str">
        <f aca="true">IF(AND(L288="🔄 SWAP ME",M288&lt;&gt;""),TODAY(),"")</f>
        <v/>
      </c>
      <c r="Q288" s="315" t="s">
        <v>1111</v>
      </c>
    </row>
    <row r="289" customFormat="false" ht="19.5" hidden="false" customHeight="true" outlineLevel="0" collapsed="false">
      <c r="B289" s="323" t="s">
        <v>180</v>
      </c>
      <c r="C289" s="273" t="s">
        <v>133</v>
      </c>
      <c r="D289" s="244" t="n">
        <v>46360</v>
      </c>
      <c r="E289" s="274" t="s">
        <v>623</v>
      </c>
      <c r="F289" s="37" t="str">
        <f aca="false">IF(AND(L289="🔄 SWAP ME",M289&lt;&gt;""),M289,IFERROR(INDEX($O$5:$O$375,MATCH(O289,$M$5:$M$375,0)),O289))</f>
        <v>DSA: Full loop mock — DSA (45) + HLD (45) + Behavioral (30), record</v>
      </c>
      <c r="G289" s="190" t="s">
        <v>458</v>
      </c>
      <c r="H289" s="39" t="n">
        <v>0.3</v>
      </c>
      <c r="I289" s="40" t="n">
        <v>0.5</v>
      </c>
      <c r="J289" s="41" t="n">
        <v>0.75</v>
      </c>
      <c r="K289" s="76" t="s">
        <v>1348</v>
      </c>
      <c r="L289" s="76" t="s">
        <v>1349</v>
      </c>
      <c r="M289" s="245"/>
      <c r="N289" s="63" t="str">
        <f aca="false">IF(AND(L289="🔄 SWAP ME",M289&lt;&gt;""),"⚡ SWAPPED","")</f>
        <v/>
      </c>
      <c r="O289" s="9" t="s">
        <v>1112</v>
      </c>
      <c r="P289" s="314" t="str">
        <f aca="true">IF(AND(L289="🔄 SWAP ME",M289&lt;&gt;""),TODAY(),"")</f>
        <v/>
      </c>
      <c r="Q289" s="315" t="s">
        <v>1113</v>
      </c>
    </row>
    <row r="290" customFormat="false" ht="19.5" hidden="false" customHeight="true" outlineLevel="0" collapsed="false">
      <c r="B290" s="323" t="s">
        <v>180</v>
      </c>
      <c r="C290" s="309" t="s">
        <v>516</v>
      </c>
      <c r="D290" s="240" t="n">
        <v>46361</v>
      </c>
      <c r="E290" s="274" t="s">
        <v>623</v>
      </c>
      <c r="F290" s="178" t="str">
        <f aca="false">IF(AND(L290="🔄 SWAP ME",M290&lt;&gt;""),M290,IFERROR(INDEX($O$5:$O$375,MATCH(O290,$M$5:$M$375,0)),O290))</f>
        <v>AWS DEA-C01 Practice Set 2: Tutorials Dojo Set 2 — review every wrong answer</v>
      </c>
      <c r="G290" s="190" t="s">
        <v>458</v>
      </c>
      <c r="H290" s="39" t="n">
        <v>1.5</v>
      </c>
      <c r="I290" s="40" t="n">
        <v>3</v>
      </c>
      <c r="J290" s="41" t="n">
        <v>4</v>
      </c>
      <c r="K290" s="179" t="s">
        <v>1352</v>
      </c>
      <c r="L290" s="179" t="s">
        <v>1349</v>
      </c>
      <c r="M290" s="241"/>
      <c r="N290" s="316" t="str">
        <f aca="false">IF(AND(L290="🔄 SWAP ME",M290&lt;&gt;""),"⚡ SWAPPED","")</f>
        <v/>
      </c>
      <c r="O290" s="9" t="s">
        <v>1114</v>
      </c>
      <c r="P290" s="317" t="str">
        <f aca="true">IF(AND(L290="🔄 SWAP ME",M290&lt;&gt;""),TODAY(),"")</f>
        <v/>
      </c>
      <c r="Q290" s="315" t="s">
        <v>1115</v>
      </c>
    </row>
    <row r="291" customFormat="false" ht="19.5" hidden="false" customHeight="true" outlineLevel="0" collapsed="false">
      <c r="B291" s="323" t="s">
        <v>180</v>
      </c>
      <c r="C291" s="309" t="s">
        <v>517</v>
      </c>
      <c r="D291" s="240" t="n">
        <v>46362</v>
      </c>
      <c r="E291" s="274" t="s">
        <v>623</v>
      </c>
      <c r="F291" s="178" t="str">
        <f aca="false">IF(AND(L291="🔄 SWAP ME",M291&lt;&gt;""),M291,IFERROR(INDEX($O$5:$O$375,MATCH(O291,$M$5:$M$375,0)),O291))</f>
        <v>AWS DEA-C01 final revision: Glue vs EMR vs Lambda, Kinesis vs MSK, Redshift vs Athena</v>
      </c>
      <c r="G291" s="190" t="s">
        <v>458</v>
      </c>
      <c r="H291" s="39" t="n">
        <v>1.5</v>
      </c>
      <c r="I291" s="40" t="n">
        <v>2</v>
      </c>
      <c r="J291" s="41" t="n">
        <v>3</v>
      </c>
      <c r="K291" s="179" t="s">
        <v>1351</v>
      </c>
      <c r="L291" s="179" t="s">
        <v>1349</v>
      </c>
      <c r="M291" s="241"/>
      <c r="N291" s="316" t="str">
        <f aca="false">IF(AND(L291="🔄 SWAP ME",M291&lt;&gt;""),"⚡ SWAPPED","")</f>
        <v/>
      </c>
      <c r="O291" s="9" t="s">
        <v>1116</v>
      </c>
      <c r="P291" s="317" t="str">
        <f aca="true">IF(AND(L291="🔄 SWAP ME",M291&lt;&gt;""),TODAY(),"")</f>
        <v/>
      </c>
      <c r="Q291" s="315" t="s">
        <v>1117</v>
      </c>
    </row>
    <row r="292" customFormat="false" ht="12" hidden="false" customHeight="true" outlineLevel="0" collapsed="false">
      <c r="B292" s="322" t="s">
        <v>1409</v>
      </c>
      <c r="C292" s="322"/>
      <c r="D292" s="322"/>
      <c r="E292" s="322"/>
      <c r="F292" s="322"/>
      <c r="G292" s="322"/>
      <c r="H292" s="322"/>
      <c r="I292" s="322"/>
      <c r="J292" s="322"/>
      <c r="K292" s="322"/>
      <c r="L292" s="322"/>
      <c r="M292" s="322"/>
      <c r="N292" s="322"/>
      <c r="O292" s="322"/>
      <c r="P292" s="322"/>
      <c r="Q292" s="322"/>
    </row>
    <row r="293" customFormat="false" ht="19.5" hidden="false" customHeight="true" outlineLevel="0" collapsed="false">
      <c r="B293" s="323" t="s">
        <v>181</v>
      </c>
      <c r="C293" s="273" t="s">
        <v>118</v>
      </c>
      <c r="D293" s="244" t="n">
        <v>46363</v>
      </c>
      <c r="E293" s="274" t="s">
        <v>623</v>
      </c>
      <c r="F293" s="37" t="str">
        <f aca="false">IF(AND(L293="🔄 SWAP ME",M293&lt;&gt;""),M293,IFERROR(INDEX($O$5:$O$375,MATCH(O293,$M$5:$M$375,0)),O293))</f>
        <v>📅 EXAM DAY — AWS Certified Data Engineer Associate (DEA-C01)</v>
      </c>
      <c r="G293" s="190" t="s">
        <v>458</v>
      </c>
      <c r="H293" s="39" t="n">
        <v>1</v>
      </c>
      <c r="I293" s="40" t="n">
        <v>1.5</v>
      </c>
      <c r="J293" s="41" t="n">
        <v>2</v>
      </c>
      <c r="K293" s="76" t="s">
        <v>1351</v>
      </c>
      <c r="L293" s="76" t="s">
        <v>1349</v>
      </c>
      <c r="M293" s="245"/>
      <c r="N293" s="63" t="str">
        <f aca="false">IF(AND(L293="🔄 SWAP ME",M293&lt;&gt;""),"⚡ SWAPPED","")</f>
        <v/>
      </c>
      <c r="O293" s="9" t="s">
        <v>1118</v>
      </c>
      <c r="P293" s="314" t="str">
        <f aca="true">IF(AND(L293="🔄 SWAP ME",M293&lt;&gt;""),TODAY(),"")</f>
        <v/>
      </c>
      <c r="Q293" s="315" t="s">
        <v>1119</v>
      </c>
    </row>
    <row r="294" customFormat="false" ht="19.5" hidden="false" customHeight="true" outlineLevel="0" collapsed="false">
      <c r="B294" s="323" t="s">
        <v>181</v>
      </c>
      <c r="C294" s="273" t="s">
        <v>123</v>
      </c>
      <c r="D294" s="244" t="n">
        <v>46364</v>
      </c>
      <c r="E294" s="36" t="s">
        <v>617</v>
      </c>
      <c r="F294" s="37" t="str">
        <f aca="false">IF(AND(L294="🔄 SWAP ME",M294&lt;&gt;""),M294,IFERROR(INDEX($O$5:$O$375,MATCH(O294,$M$5:$M$375,0)),O294))</f>
        <v>AWS debrief + fill weak areas, design complete AWS data platform</v>
      </c>
      <c r="G294" s="190" t="s">
        <v>458</v>
      </c>
      <c r="H294" s="39" t="n">
        <v>0.5</v>
      </c>
      <c r="I294" s="40" t="n">
        <v>1</v>
      </c>
      <c r="J294" s="41" t="n">
        <v>1.5</v>
      </c>
      <c r="K294" s="76" t="s">
        <v>1348</v>
      </c>
      <c r="L294" s="76" t="s">
        <v>1349</v>
      </c>
      <c r="M294" s="245"/>
      <c r="N294" s="63" t="str">
        <f aca="false">IF(AND(L294="🔄 SWAP ME",M294&lt;&gt;""),"⚡ SWAPPED","")</f>
        <v/>
      </c>
      <c r="O294" s="9" t="s">
        <v>1120</v>
      </c>
      <c r="P294" s="314" t="str">
        <f aca="true">IF(AND(L294="🔄 SWAP ME",M294&lt;&gt;""),TODAY(),"")</f>
        <v/>
      </c>
      <c r="Q294" s="315" t="s">
        <v>1121</v>
      </c>
    </row>
    <row r="295" customFormat="false" ht="19.5" hidden="false" customHeight="true" outlineLevel="0" collapsed="false">
      <c r="B295" s="323" t="s">
        <v>181</v>
      </c>
      <c r="C295" s="273" t="s">
        <v>126</v>
      </c>
      <c r="D295" s="244" t="n">
        <v>46365</v>
      </c>
      <c r="E295" s="274" t="s">
        <v>623</v>
      </c>
      <c r="F295" s="37" t="str">
        <f aca="false">IF(AND(L295="🔄 SWAP ME",M295&lt;&gt;""),M295,IFERROR(INDEX($O$5:$O$375,MATCH(O295,$M$5:$M$375,0)),O295))</f>
        <v>AWS architecture deep: design Kinesis+Flink+Iceberg+Glue+Redshift platform</v>
      </c>
      <c r="G295" s="190" t="s">
        <v>458</v>
      </c>
      <c r="H295" s="39" t="n">
        <v>0.5</v>
      </c>
      <c r="I295" s="40" t="n">
        <v>1.5</v>
      </c>
      <c r="J295" s="41" t="n">
        <v>3</v>
      </c>
      <c r="K295" s="76" t="s">
        <v>1351</v>
      </c>
      <c r="L295" s="76" t="s">
        <v>1349</v>
      </c>
      <c r="M295" s="245"/>
      <c r="N295" s="63" t="str">
        <f aca="false">IF(AND(L295="🔄 SWAP ME",M295&lt;&gt;""),"⚡ SWAPPED","")</f>
        <v/>
      </c>
      <c r="O295" s="9" t="s">
        <v>1122</v>
      </c>
      <c r="P295" s="314" t="str">
        <f aca="true">IF(AND(L295="🔄 SWAP ME",M295&lt;&gt;""),TODAY(),"")</f>
        <v/>
      </c>
      <c r="Q295" s="315" t="s">
        <v>1123</v>
      </c>
    </row>
    <row r="296" customFormat="false" ht="19.5" hidden="false" customHeight="true" outlineLevel="0" collapsed="false">
      <c r="B296" s="323" t="s">
        <v>181</v>
      </c>
      <c r="C296" s="273" t="s">
        <v>130</v>
      </c>
      <c r="D296" s="244" t="n">
        <v>46366</v>
      </c>
      <c r="E296" s="274" t="s">
        <v>623</v>
      </c>
      <c r="F296" s="37" t="str">
        <f aca="false">IF(AND(L296="🔄 SWAP ME",M296&lt;&gt;""),M296,IFERROR(INDEX($O$5:$O$375,MATCH(O296,$M$5:$M$375,0)),O296))</f>
        <v>AWS HLD practice: 3 scenarios — fintech CDC, e-commerce lake, ML feature store</v>
      </c>
      <c r="G296" s="190" t="s">
        <v>458</v>
      </c>
      <c r="H296" s="39" t="n">
        <v>0.5</v>
      </c>
      <c r="I296" s="40" t="n">
        <v>1</v>
      </c>
      <c r="J296" s="41" t="n">
        <v>2</v>
      </c>
      <c r="K296" s="76" t="s">
        <v>1348</v>
      </c>
      <c r="L296" s="76" t="s">
        <v>1349</v>
      </c>
      <c r="M296" s="245"/>
      <c r="N296" s="63" t="str">
        <f aca="false">IF(AND(L296="🔄 SWAP ME",M296&lt;&gt;""),"⚡ SWAPPED","")</f>
        <v/>
      </c>
      <c r="O296" s="9" t="s">
        <v>1124</v>
      </c>
      <c r="P296" s="314" t="str">
        <f aca="true">IF(AND(L296="🔄 SWAP ME",M296&lt;&gt;""),TODAY(),"")</f>
        <v/>
      </c>
      <c r="Q296" s="315" t="s">
        <v>1125</v>
      </c>
    </row>
    <row r="297" customFormat="false" ht="19.5" hidden="false" customHeight="true" outlineLevel="0" collapsed="false">
      <c r="B297" s="323" t="s">
        <v>181</v>
      </c>
      <c r="C297" s="273" t="s">
        <v>133</v>
      </c>
      <c r="D297" s="244" t="n">
        <v>46367</v>
      </c>
      <c r="E297" s="274" t="s">
        <v>623</v>
      </c>
      <c r="F297" s="37" t="str">
        <f aca="false">IF(AND(L297="🔄 SWAP ME",M297&lt;&gt;""),M297,IFERROR(INDEX($O$5:$O$375,MATCH(O297,$M$5:$M$375,0)),O297))</f>
        <v>DSA: Hard mixed — 45 min timed, 2 hard problems, full explanation</v>
      </c>
      <c r="G297" s="190" t="s">
        <v>458</v>
      </c>
      <c r="H297" s="39" t="n">
        <v>0.3</v>
      </c>
      <c r="I297" s="40" t="n">
        <v>0.5</v>
      </c>
      <c r="J297" s="41" t="n">
        <v>0.75</v>
      </c>
      <c r="K297" s="76" t="s">
        <v>1348</v>
      </c>
      <c r="L297" s="76" t="s">
        <v>1349</v>
      </c>
      <c r="M297" s="245"/>
      <c r="N297" s="63" t="str">
        <f aca="false">IF(AND(L297="🔄 SWAP ME",M297&lt;&gt;""),"⚡ SWAPPED","")</f>
        <v/>
      </c>
      <c r="O297" s="9" t="s">
        <v>1126</v>
      </c>
      <c r="P297" s="314" t="str">
        <f aca="true">IF(AND(L297="🔄 SWAP ME",M297&lt;&gt;""),TODAY(),"")</f>
        <v/>
      </c>
      <c r="Q297" s="315" t="s">
        <v>1127</v>
      </c>
    </row>
    <row r="298" customFormat="false" ht="19.5" hidden="false" customHeight="true" outlineLevel="0" collapsed="false">
      <c r="B298" s="323" t="s">
        <v>181</v>
      </c>
      <c r="C298" s="309" t="s">
        <v>516</v>
      </c>
      <c r="D298" s="240" t="n">
        <v>46368</v>
      </c>
      <c r="E298" s="36" t="s">
        <v>617</v>
      </c>
      <c r="F298" s="178" t="str">
        <f aca="false">IF(AND(L298="🔄 SWAP ME",M298&lt;&gt;""),M298,IFERROR(INDEX($O$5:$O$375,MATCH(O298,$M$5:$M$375,0)),O298))</f>
        <v>Apply: First 10 applications — Amazon, Flipkart, Microsoft, Swiggy, Meesho</v>
      </c>
      <c r="G298" s="190" t="s">
        <v>458</v>
      </c>
      <c r="H298" s="39" t="n">
        <v>1</v>
      </c>
      <c r="I298" s="40" t="n">
        <v>2</v>
      </c>
      <c r="J298" s="41" t="n">
        <v>3</v>
      </c>
      <c r="K298" s="179" t="s">
        <v>1351</v>
      </c>
      <c r="L298" s="179" t="s">
        <v>1349</v>
      </c>
      <c r="M298" s="241"/>
      <c r="N298" s="316" t="str">
        <f aca="false">IF(AND(L298="🔄 SWAP ME",M298&lt;&gt;""),"⚡ SWAPPED","")</f>
        <v/>
      </c>
      <c r="O298" s="9" t="s">
        <v>1128</v>
      </c>
      <c r="P298" s="317" t="str">
        <f aca="true">IF(AND(L298="🔄 SWAP ME",M298&lt;&gt;""),TODAY(),"")</f>
        <v/>
      </c>
      <c r="Q298" s="315" t="s">
        <v>1410</v>
      </c>
    </row>
    <row r="299" customFormat="false" ht="19.5" hidden="false" customHeight="true" outlineLevel="0" collapsed="false">
      <c r="B299" s="323" t="s">
        <v>181</v>
      </c>
      <c r="C299" s="309" t="s">
        <v>517</v>
      </c>
      <c r="D299" s="240" t="n">
        <v>46369</v>
      </c>
      <c r="E299" s="36" t="s">
        <v>617</v>
      </c>
      <c r="F299" s="178" t="str">
        <f aca="false">IF(AND(L299="🔄 SWAP ME",M299&lt;&gt;""),M299,IFERROR(INDEX($O$5:$O$375,MATCH(O299,$M$5:$M$375,0)),O299))</f>
        <v>Apply cont: Tailored cover messages, referral outreach on LinkedIn</v>
      </c>
      <c r="G299" s="190" t="s">
        <v>458</v>
      </c>
      <c r="H299" s="39" t="n">
        <v>1</v>
      </c>
      <c r="I299" s="40" t="n">
        <v>2</v>
      </c>
      <c r="J299" s="41" t="n">
        <v>3</v>
      </c>
      <c r="K299" s="179" t="s">
        <v>1351</v>
      </c>
      <c r="L299" s="179" t="s">
        <v>1349</v>
      </c>
      <c r="M299" s="241"/>
      <c r="N299" s="316" t="str">
        <f aca="false">IF(AND(L299="🔄 SWAP ME",M299&lt;&gt;""),"⚡ SWAPPED","")</f>
        <v/>
      </c>
      <c r="O299" s="9" t="s">
        <v>1130</v>
      </c>
      <c r="P299" s="317" t="str">
        <f aca="true">IF(AND(L299="🔄 SWAP ME",M299&lt;&gt;""),TODAY(),"")</f>
        <v/>
      </c>
      <c r="Q299" s="315" t="s">
        <v>1131</v>
      </c>
    </row>
    <row r="300" customFormat="false" ht="12" hidden="false" customHeight="true" outlineLevel="0" collapsed="false">
      <c r="B300" s="326" t="s">
        <v>1411</v>
      </c>
      <c r="C300" s="326"/>
      <c r="D300" s="326"/>
      <c r="E300" s="326"/>
      <c r="F300" s="326"/>
      <c r="G300" s="326"/>
      <c r="H300" s="326"/>
      <c r="I300" s="326"/>
      <c r="J300" s="326"/>
      <c r="K300" s="326"/>
      <c r="L300" s="326"/>
      <c r="M300" s="326"/>
      <c r="N300" s="326"/>
      <c r="O300" s="326"/>
      <c r="P300" s="326"/>
      <c r="Q300" s="326"/>
    </row>
    <row r="301" customFormat="false" ht="19.5" hidden="false" customHeight="true" outlineLevel="0" collapsed="false">
      <c r="B301" s="327" t="s">
        <v>182</v>
      </c>
      <c r="C301" s="273" t="s">
        <v>118</v>
      </c>
      <c r="D301" s="244" t="n">
        <v>46370</v>
      </c>
      <c r="E301" s="274" t="s">
        <v>623</v>
      </c>
      <c r="F301" s="37" t="str">
        <f aca="false">IF(AND(L301="🔄 SWAP ME",M301&lt;&gt;""),M301,IFERROR(INDEX($O$5:$O$375,MATCH(O301,$M$5:$M$375,0)),O301))</f>
        <v>AI/LLM Foundations: tokenization, embeddings, transformer attention, context window</v>
      </c>
      <c r="G301" s="198" t="s">
        <v>470</v>
      </c>
      <c r="H301" s="39" t="n">
        <v>0.5</v>
      </c>
      <c r="I301" s="40" t="n">
        <v>1</v>
      </c>
      <c r="J301" s="41" t="n">
        <v>1.5</v>
      </c>
      <c r="K301" s="76" t="s">
        <v>1348</v>
      </c>
      <c r="L301" s="76" t="s">
        <v>1349</v>
      </c>
      <c r="M301" s="245"/>
      <c r="N301" s="63" t="str">
        <f aca="false">IF(AND(L301="🔄 SWAP ME",M301&lt;&gt;""),"⚡ SWAPPED","")</f>
        <v/>
      </c>
      <c r="O301" s="9" t="s">
        <v>1133</v>
      </c>
      <c r="P301" s="314" t="str">
        <f aca="true">IF(AND(L301="🔄 SWAP ME",M301&lt;&gt;""),TODAY(),"")</f>
        <v/>
      </c>
      <c r="Q301" s="315" t="s">
        <v>1134</v>
      </c>
    </row>
    <row r="302" customFormat="false" ht="19.5" hidden="false" customHeight="true" outlineLevel="0" collapsed="false">
      <c r="B302" s="327" t="s">
        <v>182</v>
      </c>
      <c r="C302" s="273" t="s">
        <v>123</v>
      </c>
      <c r="D302" s="244" t="n">
        <v>46371</v>
      </c>
      <c r="E302" s="274" t="s">
        <v>623</v>
      </c>
      <c r="F302" s="37" t="str">
        <f aca="false">IF(AND(L302="🔄 SWAP ME",M302&lt;&gt;""),M302,IFERROR(INDEX($O$5:$O$375,MATCH(O302,$M$5:$M$375,0)),O302))</f>
        <v>Vector DBs: HNSW algorithm, IVF, Product Quantization — the math behind all of them</v>
      </c>
      <c r="G302" s="198" t="s">
        <v>470</v>
      </c>
      <c r="H302" s="39" t="n">
        <v>0.5</v>
      </c>
      <c r="I302" s="40" t="n">
        <v>1</v>
      </c>
      <c r="J302" s="41" t="n">
        <v>1.5</v>
      </c>
      <c r="K302" s="76" t="s">
        <v>1348</v>
      </c>
      <c r="L302" s="76" t="s">
        <v>1349</v>
      </c>
      <c r="M302" s="245"/>
      <c r="N302" s="63" t="str">
        <f aca="false">IF(AND(L302="🔄 SWAP ME",M302&lt;&gt;""),"⚡ SWAPPED","")</f>
        <v/>
      </c>
      <c r="O302" s="9" t="s">
        <v>1135</v>
      </c>
      <c r="P302" s="314" t="str">
        <f aca="true">IF(AND(L302="🔄 SWAP ME",M302&lt;&gt;""),TODAY(),"")</f>
        <v/>
      </c>
      <c r="Q302" s="315" t="s">
        <v>1412</v>
      </c>
    </row>
    <row r="303" customFormat="false" ht="19.5" hidden="false" customHeight="true" outlineLevel="0" collapsed="false">
      <c r="B303" s="327" t="s">
        <v>182</v>
      </c>
      <c r="C303" s="273" t="s">
        <v>126</v>
      </c>
      <c r="D303" s="244" t="n">
        <v>46372</v>
      </c>
      <c r="E303" s="274" t="s">
        <v>623</v>
      </c>
      <c r="F303" s="37" t="str">
        <f aca="false">IF(AND(L303="🔄 SWAP ME",M303&lt;&gt;""),M303,IFERROR(INDEX($O$5:$O$375,MATCH(O303,$M$5:$M$375,0)),O303))</f>
        <v>Vector DBs: pgvector, Pinecone, Qdrant, Weaviate (hybrid search), Chroma, Azure AI Search</v>
      </c>
      <c r="G303" s="198" t="s">
        <v>470</v>
      </c>
      <c r="H303" s="39" t="n">
        <v>0.5</v>
      </c>
      <c r="I303" s="40" t="n">
        <v>1</v>
      </c>
      <c r="J303" s="41" t="n">
        <v>1.5</v>
      </c>
      <c r="K303" s="76" t="s">
        <v>1348</v>
      </c>
      <c r="L303" s="76" t="s">
        <v>1349</v>
      </c>
      <c r="M303" s="245"/>
      <c r="N303" s="63" t="str">
        <f aca="false">IF(AND(L303="🔄 SWAP ME",M303&lt;&gt;""),"⚡ SWAPPED","")</f>
        <v/>
      </c>
      <c r="O303" s="9" t="s">
        <v>1137</v>
      </c>
      <c r="P303" s="314" t="str">
        <f aca="true">IF(AND(L303="🔄 SWAP ME",M303&lt;&gt;""),TODAY(),"")</f>
        <v/>
      </c>
      <c r="Q303" s="315" t="s">
        <v>1138</v>
      </c>
    </row>
    <row r="304" customFormat="false" ht="19.5" hidden="false" customHeight="true" outlineLevel="0" collapsed="false">
      <c r="B304" s="327" t="s">
        <v>182</v>
      </c>
      <c r="C304" s="273" t="s">
        <v>130</v>
      </c>
      <c r="D304" s="244" t="n">
        <v>46373</v>
      </c>
      <c r="E304" s="274" t="s">
        <v>623</v>
      </c>
      <c r="F304" s="37" t="str">
        <f aca="false">IF(AND(L304="🔄 SWAP ME",M304&lt;&gt;""),M304,IFERROR(INDEX($O$5:$O$375,MATCH(O304,$M$5:$M$375,0)),O304))</f>
        <v>RAG Architecture: chunking strategies, dense+sparse+hybrid retrieval, re-ranking</v>
      </c>
      <c r="G304" s="198" t="s">
        <v>470</v>
      </c>
      <c r="H304" s="39" t="n">
        <v>0.5</v>
      </c>
      <c r="I304" s="40" t="n">
        <v>1</v>
      </c>
      <c r="J304" s="41" t="n">
        <v>1.5</v>
      </c>
      <c r="K304" s="76" t="s">
        <v>1348</v>
      </c>
      <c r="L304" s="76" t="s">
        <v>1349</v>
      </c>
      <c r="M304" s="245"/>
      <c r="N304" s="63" t="str">
        <f aca="false">IF(AND(L304="🔄 SWAP ME",M304&lt;&gt;""),"⚡ SWAPPED","")</f>
        <v/>
      </c>
      <c r="O304" s="9" t="s">
        <v>1139</v>
      </c>
      <c r="P304" s="314" t="str">
        <f aca="true">IF(AND(L304="🔄 SWAP ME",M304&lt;&gt;""),TODAY(),"")</f>
        <v/>
      </c>
      <c r="Q304" s="315" t="s">
        <v>1140</v>
      </c>
    </row>
    <row r="305" customFormat="false" ht="19.5" hidden="false" customHeight="true" outlineLevel="0" collapsed="false">
      <c r="B305" s="327" t="s">
        <v>182</v>
      </c>
      <c r="C305" s="273" t="s">
        <v>133</v>
      </c>
      <c r="D305" s="244" t="n">
        <v>46374</v>
      </c>
      <c r="E305" s="274" t="s">
        <v>623</v>
      </c>
      <c r="F305" s="37" t="str">
        <f aca="false">IF(AND(L305="🔄 SWAP ME",M305&lt;&gt;""),M305,IFERROR(INDEX($O$5:$O$375,MATCH(O305,$M$5:$M$375,0)),O305))</f>
        <v>DSA: Amazon + Flipkart combined top 30 — timed 45 min, explain every thought</v>
      </c>
      <c r="G305" s="198" t="s">
        <v>470</v>
      </c>
      <c r="H305" s="39" t="n">
        <v>0.3</v>
      </c>
      <c r="I305" s="40" t="n">
        <v>0.5</v>
      </c>
      <c r="J305" s="41" t="n">
        <v>0.75</v>
      </c>
      <c r="K305" s="76" t="s">
        <v>1348</v>
      </c>
      <c r="L305" s="76" t="s">
        <v>1349</v>
      </c>
      <c r="M305" s="245"/>
      <c r="N305" s="63" t="str">
        <f aca="false">IF(AND(L305="🔄 SWAP ME",M305&lt;&gt;""),"⚡ SWAPPED","")</f>
        <v/>
      </c>
      <c r="O305" s="9" t="s">
        <v>1141</v>
      </c>
      <c r="P305" s="314" t="str">
        <f aca="true">IF(AND(L305="🔄 SWAP ME",M305&lt;&gt;""),TODAY(),"")</f>
        <v/>
      </c>
      <c r="Q305" s="315" t="s">
        <v>1142</v>
      </c>
    </row>
    <row r="306" customFormat="false" ht="19.5" hidden="false" customHeight="true" outlineLevel="0" collapsed="false">
      <c r="B306" s="327" t="s">
        <v>182</v>
      </c>
      <c r="C306" s="309" t="s">
        <v>516</v>
      </c>
      <c r="D306" s="240" t="n">
        <v>46375</v>
      </c>
      <c r="E306" s="274" t="s">
        <v>623</v>
      </c>
      <c r="F306" s="178" t="str">
        <f aca="false">IF(AND(L306="🔄 SWAP ME",M306&lt;&gt;""),M306,IFERROR(INDEX($O$5:$O$375,MATCH(O306,$M$5:$M$375,0)),O306))</f>
        <v>Azure OpenAI: API patterns (chat/streaming/function calling/structured outputs)</v>
      </c>
      <c r="G306" s="198" t="s">
        <v>470</v>
      </c>
      <c r="H306" s="39" t="n">
        <v>1</v>
      </c>
      <c r="I306" s="40" t="n">
        <v>1.5</v>
      </c>
      <c r="J306" s="41" t="n">
        <v>2</v>
      </c>
      <c r="K306" s="179" t="s">
        <v>1351</v>
      </c>
      <c r="L306" s="179" t="s">
        <v>1349</v>
      </c>
      <c r="M306" s="241"/>
      <c r="N306" s="316" t="str">
        <f aca="false">IF(AND(L306="🔄 SWAP ME",M306&lt;&gt;""),"⚡ SWAPPED","")</f>
        <v/>
      </c>
      <c r="O306" s="9" t="s">
        <v>1143</v>
      </c>
      <c r="P306" s="317" t="str">
        <f aca="true">IF(AND(L306="🔄 SWAP ME",M306&lt;&gt;""),TODAY(),"")</f>
        <v/>
      </c>
      <c r="Q306" s="315" t="s">
        <v>1084</v>
      </c>
    </row>
    <row r="307" customFormat="false" ht="19.5" hidden="false" customHeight="true" outlineLevel="0" collapsed="false">
      <c r="B307" s="327" t="s">
        <v>182</v>
      </c>
      <c r="C307" s="309" t="s">
        <v>517</v>
      </c>
      <c r="D307" s="240" t="n">
        <v>46376</v>
      </c>
      <c r="E307" s="274" t="s">
        <v>623</v>
      </c>
      <c r="F307" s="178" t="str">
        <f aca="false">IF(AND(L307="🔄 SWAP ME",M307&lt;&gt;""),M307,IFERROR(INDEX($O$5:$O$375,MATCH(O307,$M$5:$M$375,0)),O307))</f>
        <v>P34: Build RAG pipeline — Azure OpenAI + Azure AI Search + Fabric Lakehouse</v>
      </c>
      <c r="G307" s="198" t="s">
        <v>470</v>
      </c>
      <c r="H307" s="39" t="n">
        <v>1.5</v>
      </c>
      <c r="I307" s="40" t="n">
        <v>3</v>
      </c>
      <c r="J307" s="41" t="n">
        <v>5</v>
      </c>
      <c r="K307" s="179" t="s">
        <v>1352</v>
      </c>
      <c r="L307" s="179" t="s">
        <v>1349</v>
      </c>
      <c r="M307" s="241"/>
      <c r="N307" s="316" t="str">
        <f aca="false">IF(AND(L307="🔄 SWAP ME",M307&lt;&gt;""),"⚡ SWAPPED","")</f>
        <v/>
      </c>
      <c r="O307" s="9" t="s">
        <v>1144</v>
      </c>
      <c r="P307" s="317" t="str">
        <f aca="true">IF(AND(L307="🔄 SWAP ME",M307&lt;&gt;""),TODAY(),"")</f>
        <v/>
      </c>
      <c r="Q307" s="315" t="s">
        <v>1145</v>
      </c>
    </row>
    <row r="308" customFormat="false" ht="12" hidden="false" customHeight="true" outlineLevel="0" collapsed="false">
      <c r="B308" s="326" t="s">
        <v>1413</v>
      </c>
      <c r="C308" s="326"/>
      <c r="D308" s="326"/>
      <c r="E308" s="326"/>
      <c r="F308" s="326"/>
      <c r="G308" s="326"/>
      <c r="H308" s="326"/>
      <c r="I308" s="326"/>
      <c r="J308" s="326"/>
      <c r="K308" s="326"/>
      <c r="L308" s="326"/>
      <c r="M308" s="326"/>
      <c r="N308" s="326"/>
      <c r="O308" s="326"/>
      <c r="P308" s="326"/>
      <c r="Q308" s="326"/>
    </row>
    <row r="309" customFormat="false" ht="19.5" hidden="false" customHeight="true" outlineLevel="0" collapsed="false">
      <c r="B309" s="327" t="s">
        <v>183</v>
      </c>
      <c r="C309" s="273" t="s">
        <v>118</v>
      </c>
      <c r="D309" s="244" t="n">
        <v>46377</v>
      </c>
      <c r="E309" s="274" t="s">
        <v>623</v>
      </c>
      <c r="F309" s="37" t="str">
        <f aca="false">IF(AND(L309="🔄 SWAP ME",M309&lt;&gt;""),M309,IFERROR(INDEX($O$5:$O$375,MATCH(O309,$M$5:$M$375,0)),O309))</f>
        <v>LLM for DE: NL-to-SQL (schema injection, validation layer), data quality agent</v>
      </c>
      <c r="G309" s="198" t="s">
        <v>470</v>
      </c>
      <c r="H309" s="39" t="n">
        <v>0.5</v>
      </c>
      <c r="I309" s="40" t="n">
        <v>1</v>
      </c>
      <c r="J309" s="41" t="n">
        <v>1.5</v>
      </c>
      <c r="K309" s="76" t="s">
        <v>1348</v>
      </c>
      <c r="L309" s="76" t="s">
        <v>1349</v>
      </c>
      <c r="M309" s="245"/>
      <c r="N309" s="63" t="str">
        <f aca="false">IF(AND(L309="🔄 SWAP ME",M309&lt;&gt;""),"⚡ SWAPPED","")</f>
        <v/>
      </c>
      <c r="O309" s="9" t="s">
        <v>1146</v>
      </c>
      <c r="P309" s="314" t="str">
        <f aca="true">IF(AND(L309="🔄 SWAP ME",M309&lt;&gt;""),TODAY(),"")</f>
        <v/>
      </c>
      <c r="Q309" s="315" t="s">
        <v>1147</v>
      </c>
    </row>
    <row r="310" customFormat="false" ht="19.5" hidden="false" customHeight="true" outlineLevel="0" collapsed="false">
      <c r="B310" s="327" t="s">
        <v>183</v>
      </c>
      <c r="C310" s="273" t="s">
        <v>123</v>
      </c>
      <c r="D310" s="244" t="n">
        <v>46378</v>
      </c>
      <c r="E310" s="274" t="s">
        <v>623</v>
      </c>
      <c r="F310" s="37" t="str">
        <f aca="false">IF(AND(L310="🔄 SWAP ME",M310&lt;&gt;""),M310,IFERROR(INDEX($O$5:$O$375,MATCH(O310,$M$5:$M$375,0)),O310))</f>
        <v>LLMOps: MLflow LLM tracking, prompt versioning, A/B eval, cost/latency monitoring</v>
      </c>
      <c r="G310" s="198" t="s">
        <v>470</v>
      </c>
      <c r="H310" s="39" t="n">
        <v>0.5</v>
      </c>
      <c r="I310" s="40" t="n">
        <v>0.75</v>
      </c>
      <c r="J310" s="41" t="n">
        <v>1</v>
      </c>
      <c r="K310" s="76" t="s">
        <v>1348</v>
      </c>
      <c r="L310" s="76" t="s">
        <v>1349</v>
      </c>
      <c r="M310" s="245"/>
      <c r="N310" s="63" t="str">
        <f aca="false">IF(AND(L310="🔄 SWAP ME",M310&lt;&gt;""),"⚡ SWAPPED","")</f>
        <v/>
      </c>
      <c r="O310" s="9" t="s">
        <v>1148</v>
      </c>
      <c r="P310" s="314" t="str">
        <f aca="true">IF(AND(L310="🔄 SWAP ME",M310&lt;&gt;""),TODAY(),"")</f>
        <v/>
      </c>
      <c r="Q310" s="315" t="s">
        <v>1149</v>
      </c>
    </row>
    <row r="311" customFormat="false" ht="19.5" hidden="false" customHeight="true" outlineLevel="0" collapsed="false">
      <c r="B311" s="327" t="s">
        <v>183</v>
      </c>
      <c r="C311" s="273" t="s">
        <v>126</v>
      </c>
      <c r="D311" s="244" t="n">
        <v>46379</v>
      </c>
      <c r="E311" s="36" t="s">
        <v>617</v>
      </c>
      <c r="F311" s="37" t="str">
        <f aca="false">IF(AND(L311="🔄 SWAP ME",M311&lt;&gt;""),M311,IFERROR(INDEX($O$5:$O$375,MATCH(O311,$M$5:$M$375,0)),O311))</f>
        <v>LangChain for DE: chains, prompts, output parsers, agents, LangGraph stateful workflows</v>
      </c>
      <c r="G311" s="198" t="s">
        <v>470</v>
      </c>
      <c r="H311" s="39" t="n">
        <v>0.5</v>
      </c>
      <c r="I311" s="40" t="n">
        <v>1</v>
      </c>
      <c r="J311" s="41" t="n">
        <v>1.5</v>
      </c>
      <c r="K311" s="76" t="s">
        <v>1348</v>
      </c>
      <c r="L311" s="76" t="s">
        <v>1349</v>
      </c>
      <c r="M311" s="245"/>
      <c r="N311" s="63" t="str">
        <f aca="false">IF(AND(L311="🔄 SWAP ME",M311&lt;&gt;""),"⚡ SWAPPED","")</f>
        <v/>
      </c>
      <c r="O311" s="9" t="s">
        <v>1150</v>
      </c>
      <c r="P311" s="314" t="str">
        <f aca="true">IF(AND(L311="🔄 SWAP ME",M311&lt;&gt;""),TODAY(),"")</f>
        <v/>
      </c>
      <c r="Q311" s="315" t="s">
        <v>1151</v>
      </c>
    </row>
    <row r="312" customFormat="false" ht="19.5" hidden="false" customHeight="true" outlineLevel="0" collapsed="false">
      <c r="B312" s="327" t="s">
        <v>183</v>
      </c>
      <c r="C312" s="273" t="s">
        <v>130</v>
      </c>
      <c r="D312" s="244" t="n">
        <v>46380</v>
      </c>
      <c r="E312" s="36" t="s">
        <v>617</v>
      </c>
      <c r="F312" s="37" t="str">
        <f aca="false">IF(AND(L312="🔄 SWAP ME",M312&lt;&gt;""),M312,IFERROR(INDEX($O$5:$O$375,MATCH(O312,$M$5:$M$375,0)),O312))</f>
        <v>Feature Stores: Feast, Azure ML feature store, Databricks Feature Engineering</v>
      </c>
      <c r="G312" s="198" t="s">
        <v>470</v>
      </c>
      <c r="H312" s="39" t="n">
        <v>0.5</v>
      </c>
      <c r="I312" s="40" t="n">
        <v>0.75</v>
      </c>
      <c r="J312" s="41" t="n">
        <v>1</v>
      </c>
      <c r="K312" s="76" t="s">
        <v>1348</v>
      </c>
      <c r="L312" s="76" t="s">
        <v>1349</v>
      </c>
      <c r="M312" s="245"/>
      <c r="N312" s="63" t="str">
        <f aca="false">IF(AND(L312="🔄 SWAP ME",M312&lt;&gt;""),"⚡ SWAPPED","")</f>
        <v/>
      </c>
      <c r="O312" s="9" t="s">
        <v>1152</v>
      </c>
      <c r="P312" s="314" t="str">
        <f aca="true">IF(AND(L312="🔄 SWAP ME",M312&lt;&gt;""),TODAY(),"")</f>
        <v/>
      </c>
      <c r="Q312" s="315" t="s">
        <v>1153</v>
      </c>
    </row>
    <row r="313" customFormat="false" ht="19.5" hidden="false" customHeight="true" outlineLevel="0" collapsed="false">
      <c r="B313" s="327" t="s">
        <v>183</v>
      </c>
      <c r="C313" s="273" t="s">
        <v>133</v>
      </c>
      <c r="D313" s="244" t="n">
        <v>46381</v>
      </c>
      <c r="E313" s="274" t="s">
        <v>623</v>
      </c>
      <c r="F313" s="37" t="str">
        <f aca="false">IF(AND(L313="🔄 SWAP ME",M313&lt;&gt;""),M313,IFERROR(INDEX($O$5:$O$375,MATCH(O313,$M$5:$M$375,0)),O313))</f>
        <v>DSA: Final hard problems — 45 min timed, 2 hard problems</v>
      </c>
      <c r="G313" s="198" t="s">
        <v>470</v>
      </c>
      <c r="H313" s="39" t="n">
        <v>0.3</v>
      </c>
      <c r="I313" s="40" t="n">
        <v>0.5</v>
      </c>
      <c r="J313" s="41" t="n">
        <v>0.75</v>
      </c>
      <c r="K313" s="76" t="s">
        <v>1348</v>
      </c>
      <c r="L313" s="76" t="s">
        <v>1349</v>
      </c>
      <c r="M313" s="245"/>
      <c r="N313" s="63" t="str">
        <f aca="false">IF(AND(L313="🔄 SWAP ME",M313&lt;&gt;""),"⚡ SWAPPED","")</f>
        <v/>
      </c>
      <c r="O313" s="9" t="s">
        <v>1154</v>
      </c>
      <c r="P313" s="314" t="str">
        <f aca="true">IF(AND(L313="🔄 SWAP ME",M313&lt;&gt;""),TODAY(),"")</f>
        <v/>
      </c>
      <c r="Q313" s="315" t="s">
        <v>1127</v>
      </c>
    </row>
    <row r="314" customFormat="false" ht="19.5" hidden="false" customHeight="true" outlineLevel="0" collapsed="false">
      <c r="B314" s="327" t="s">
        <v>183</v>
      </c>
      <c r="C314" s="309" t="s">
        <v>516</v>
      </c>
      <c r="D314" s="240" t="n">
        <v>46382</v>
      </c>
      <c r="E314" s="36" t="s">
        <v>617</v>
      </c>
      <c r="F314" s="178" t="str">
        <f aca="false">IF(AND(L314="🔄 SWAP ME",M314&lt;&gt;""),M314,IFERROR(INDEX($O$5:$O$375,MATCH(O314,$M$5:$M$375,0)),O314))</f>
        <v>Responsible AI: PII detection (Azure Presidio), content filtering, prompt injection</v>
      </c>
      <c r="G314" s="198" t="s">
        <v>470</v>
      </c>
      <c r="H314" s="39" t="n">
        <v>0.5</v>
      </c>
      <c r="I314" s="40" t="n">
        <v>0.75</v>
      </c>
      <c r="J314" s="41" t="n">
        <v>1</v>
      </c>
      <c r="K314" s="179" t="s">
        <v>1348</v>
      </c>
      <c r="L314" s="179" t="s">
        <v>1349</v>
      </c>
      <c r="M314" s="241"/>
      <c r="N314" s="316" t="str">
        <f aca="false">IF(AND(L314="🔄 SWAP ME",M314&lt;&gt;""),"⚡ SWAPPED","")</f>
        <v/>
      </c>
      <c r="O314" s="9" t="s">
        <v>1155</v>
      </c>
      <c r="P314" s="317" t="str">
        <f aca="true">IF(AND(L314="🔄 SWAP ME",M314&lt;&gt;""),TODAY(),"")</f>
        <v/>
      </c>
      <c r="Q314" s="315" t="s">
        <v>1156</v>
      </c>
    </row>
    <row r="315" customFormat="false" ht="19.5" hidden="false" customHeight="true" outlineLevel="0" collapsed="false">
      <c r="B315" s="327" t="s">
        <v>183</v>
      </c>
      <c r="C315" s="309" t="s">
        <v>517</v>
      </c>
      <c r="D315" s="240" t="n">
        <v>46383</v>
      </c>
      <c r="E315" s="274" t="s">
        <v>623</v>
      </c>
      <c r="F315" s="178" t="str">
        <f aca="false">IF(AND(L315="🔄 SWAP ME",M315&lt;&gt;""),M315,IFERROR(INDEX($O$5:$O$375,MATCH(O315,$M$5:$M$375,0)),O315))</f>
        <v>P35: Build NL-to-SQL on Synapse/Fabric — with validation + audit logging</v>
      </c>
      <c r="G315" s="198" t="s">
        <v>470</v>
      </c>
      <c r="H315" s="39" t="n">
        <v>1.5</v>
      </c>
      <c r="I315" s="40" t="n">
        <v>3</v>
      </c>
      <c r="J315" s="41" t="n">
        <v>5</v>
      </c>
      <c r="K315" s="179" t="s">
        <v>1352</v>
      </c>
      <c r="L315" s="179" t="s">
        <v>1349</v>
      </c>
      <c r="M315" s="241"/>
      <c r="N315" s="316" t="str">
        <f aca="false">IF(AND(L315="🔄 SWAP ME",M315&lt;&gt;""),"⚡ SWAPPED","")</f>
        <v/>
      </c>
      <c r="O315" s="9" t="s">
        <v>1157</v>
      </c>
      <c r="P315" s="317" t="str">
        <f aca="true">IF(AND(L315="🔄 SWAP ME",M315&lt;&gt;""),TODAY(),"")</f>
        <v/>
      </c>
      <c r="Q315" s="315" t="s">
        <v>1158</v>
      </c>
    </row>
    <row r="316" customFormat="false" ht="12" hidden="false" customHeight="true" outlineLevel="0" collapsed="false">
      <c r="B316" s="326" t="s">
        <v>1414</v>
      </c>
      <c r="C316" s="326"/>
      <c r="D316" s="326"/>
      <c r="E316" s="326"/>
      <c r="F316" s="326"/>
      <c r="G316" s="326"/>
      <c r="H316" s="326"/>
      <c r="I316" s="326"/>
      <c r="J316" s="326"/>
      <c r="K316" s="326"/>
      <c r="L316" s="326"/>
      <c r="M316" s="326"/>
      <c r="N316" s="326"/>
      <c r="O316" s="326"/>
      <c r="P316" s="326"/>
      <c r="Q316" s="326"/>
    </row>
    <row r="317" customFormat="false" ht="19.5" hidden="false" customHeight="true" outlineLevel="0" collapsed="false">
      <c r="B317" s="327" t="s">
        <v>1415</v>
      </c>
      <c r="C317" s="273" t="s">
        <v>118</v>
      </c>
      <c r="D317" s="244" t="n">
        <v>46384</v>
      </c>
      <c r="E317" s="274" t="s">
        <v>623</v>
      </c>
      <c r="F317" s="37" t="str">
        <f aca="false">IF(AND(L317="🔄 SWAP ME",M317&lt;&gt;""),M317,IFERROR(INDEX($O$5:$O$375,MATCH(O317,$M$5:$M$375,0)),O317))</f>
        <v>AI/LLM: RAGAS evaluation, advanced RAG (parent-doc retrieval, HyDE, ColBERT)</v>
      </c>
      <c r="G317" s="198" t="s">
        <v>470</v>
      </c>
      <c r="H317" s="39" t="n">
        <v>0.5</v>
      </c>
      <c r="I317" s="40" t="n">
        <v>1</v>
      </c>
      <c r="J317" s="41" t="n">
        <v>1.5</v>
      </c>
      <c r="K317" s="76" t="s">
        <v>1348</v>
      </c>
      <c r="L317" s="76" t="s">
        <v>1349</v>
      </c>
      <c r="M317" s="245"/>
      <c r="N317" s="63" t="str">
        <f aca="false">IF(AND(L317="🔄 SWAP ME",M317&lt;&gt;""),"⚡ SWAPPED","")</f>
        <v/>
      </c>
      <c r="O317" s="9" t="s">
        <v>1159</v>
      </c>
      <c r="P317" s="314" t="str">
        <f aca="true">IF(AND(L317="🔄 SWAP ME",M317&lt;&gt;""),TODAY(),"")</f>
        <v/>
      </c>
      <c r="Q317" s="315" t="s">
        <v>1160</v>
      </c>
    </row>
    <row r="318" customFormat="false" ht="19.5" hidden="false" customHeight="true" outlineLevel="0" collapsed="false">
      <c r="B318" s="327" t="s">
        <v>1415</v>
      </c>
      <c r="C318" s="273" t="s">
        <v>123</v>
      </c>
      <c r="D318" s="244" t="n">
        <v>46385</v>
      </c>
      <c r="E318" s="274" t="s">
        <v>623</v>
      </c>
      <c r="F318" s="37" t="str">
        <f aca="false">IF(AND(L318="🔄 SWAP ME",M318&lt;&gt;""),M318,IFERROR(INDEX($O$5:$O$375,MATCH(O318,$M$5:$M$375,0)),O318))</f>
        <v>AI/LLM interview prep: 5 design questions (RAG, NL-to-SQL, vector DB selection)</v>
      </c>
      <c r="G318" s="198" t="s">
        <v>470</v>
      </c>
      <c r="H318" s="39" t="n">
        <v>0.5</v>
      </c>
      <c r="I318" s="40" t="n">
        <v>0.75</v>
      </c>
      <c r="J318" s="41" t="n">
        <v>1</v>
      </c>
      <c r="K318" s="76" t="s">
        <v>1348</v>
      </c>
      <c r="L318" s="76" t="s">
        <v>1349</v>
      </c>
      <c r="M318" s="245"/>
      <c r="N318" s="63" t="str">
        <f aca="false">IF(AND(L318="🔄 SWAP ME",M318&lt;&gt;""),"⚡ SWAPPED","")</f>
        <v/>
      </c>
      <c r="O318" s="9" t="s">
        <v>1161</v>
      </c>
      <c r="P318" s="314" t="str">
        <f aca="true">IF(AND(L318="🔄 SWAP ME",M318&lt;&gt;""),TODAY(),"")</f>
        <v/>
      </c>
      <c r="Q318" s="315" t="s">
        <v>1162</v>
      </c>
    </row>
    <row r="319" customFormat="false" ht="19.5" hidden="false" customHeight="true" outlineLevel="0" collapsed="false">
      <c r="B319" s="327" t="s">
        <v>1415</v>
      </c>
      <c r="C319" s="273" t="s">
        <v>126</v>
      </c>
      <c r="D319" s="244" t="n">
        <v>46386</v>
      </c>
      <c r="E319" s="36" t="s">
        <v>617</v>
      </c>
      <c r="F319" s="37" t="str">
        <f aca="false">IF(AND(L319="🔄 SWAP ME",M319&lt;&gt;""),M319,IFERROR(INDEX($O$5:$O$375,MATCH(O319,$M$5:$M$375,0)),O319))</f>
        <v>Review all AI/LLM topics — build 1-page cheat sheet</v>
      </c>
      <c r="G319" s="198" t="s">
        <v>470</v>
      </c>
      <c r="H319" s="39" t="n">
        <v>0.5</v>
      </c>
      <c r="I319" s="40" t="n">
        <v>0.75</v>
      </c>
      <c r="J319" s="41" t="n">
        <v>1</v>
      </c>
      <c r="K319" s="76" t="s">
        <v>1348</v>
      </c>
      <c r="L319" s="76" t="s">
        <v>1349</v>
      </c>
      <c r="M319" s="245"/>
      <c r="N319" s="63" t="str">
        <f aca="false">IF(AND(L319="🔄 SWAP ME",M319&lt;&gt;""),"⚡ SWAPPED","")</f>
        <v/>
      </c>
      <c r="O319" s="9" t="s">
        <v>1163</v>
      </c>
      <c r="P319" s="314" t="str">
        <f aca="true">IF(AND(L319="🔄 SWAP ME",M319&lt;&gt;""),TODAY(),"")</f>
        <v/>
      </c>
      <c r="Q319" s="315" t="s">
        <v>1164</v>
      </c>
    </row>
    <row r="320" customFormat="false" ht="19.5" hidden="false" customHeight="true" outlineLevel="0" collapsed="false">
      <c r="B320" s="327" t="s">
        <v>1415</v>
      </c>
      <c r="C320" s="273" t="s">
        <v>130</v>
      </c>
      <c r="D320" s="244" t="n">
        <v>46387</v>
      </c>
      <c r="E320" s="274" t="s">
        <v>623</v>
      </c>
      <c r="F320" s="37" t="str">
        <f aca="false">IF(AND(L320="🔄 SWAP ME",M320&lt;&gt;""),M320,IFERROR(INDEX($O$5:$O$375,MATCH(O320,$M$5:$M$375,0)),O320))</f>
        <v>P35 cont: Deploy NL-to-SQL in production with rate limiting + error handling</v>
      </c>
      <c r="G320" s="198" t="s">
        <v>470</v>
      </c>
      <c r="H320" s="39" t="n">
        <v>0.5</v>
      </c>
      <c r="I320" s="40" t="n">
        <v>1.5</v>
      </c>
      <c r="J320" s="41" t="n">
        <v>3</v>
      </c>
      <c r="K320" s="76" t="s">
        <v>1351</v>
      </c>
      <c r="L320" s="76" t="s">
        <v>1349</v>
      </c>
      <c r="M320" s="245"/>
      <c r="N320" s="63" t="str">
        <f aca="false">IF(AND(L320="🔄 SWAP ME",M320&lt;&gt;""),"⚡ SWAPPED","")</f>
        <v/>
      </c>
      <c r="O320" s="9" t="s">
        <v>1165</v>
      </c>
      <c r="P320" s="314" t="str">
        <f aca="true">IF(AND(L320="🔄 SWAP ME",M320&lt;&gt;""),TODAY(),"")</f>
        <v/>
      </c>
      <c r="Q320" s="315" t="s">
        <v>1166</v>
      </c>
    </row>
    <row r="321" customFormat="false" ht="19.5" hidden="false" customHeight="true" outlineLevel="0" collapsed="false">
      <c r="B321" s="327" t="s">
        <v>1415</v>
      </c>
      <c r="C321" s="273" t="s">
        <v>133</v>
      </c>
      <c r="D321" s="244" t="n">
        <v>46388</v>
      </c>
      <c r="E321" s="274" t="s">
        <v>623</v>
      </c>
      <c r="F321" s="37" t="str">
        <f aca="false">IF(AND(L321="🔄 SWAP ME",M321&lt;&gt;""),M321,IFERROR(INDEX($O$5:$O$375,MATCH(O321,$M$5:$M$375,0)),O321))</f>
        <v>DSA: Mixed company mock — 45 min, 1 Amazon + 1 Flipkart problem, record yourself</v>
      </c>
      <c r="G321" s="198" t="s">
        <v>470</v>
      </c>
      <c r="H321" s="39" t="n">
        <v>0.3</v>
      </c>
      <c r="I321" s="40" t="n">
        <v>0.5</v>
      </c>
      <c r="J321" s="41" t="n">
        <v>0.75</v>
      </c>
      <c r="K321" s="76" t="s">
        <v>1348</v>
      </c>
      <c r="L321" s="76" t="s">
        <v>1349</v>
      </c>
      <c r="M321" s="245"/>
      <c r="N321" s="63" t="str">
        <f aca="false">IF(AND(L321="🔄 SWAP ME",M321&lt;&gt;""),"⚡ SWAPPED","")</f>
        <v/>
      </c>
      <c r="O321" s="9" t="s">
        <v>1167</v>
      </c>
      <c r="P321" s="314" t="str">
        <f aca="true">IF(AND(L321="🔄 SWAP ME",M321&lt;&gt;""),TODAY(),"")</f>
        <v/>
      </c>
      <c r="Q321" s="315" t="s">
        <v>1168</v>
      </c>
    </row>
    <row r="322" customFormat="false" ht="19.5" hidden="false" customHeight="true" outlineLevel="0" collapsed="false">
      <c r="B322" s="327" t="s">
        <v>1415</v>
      </c>
      <c r="C322" s="309" t="s">
        <v>516</v>
      </c>
      <c r="D322" s="240" t="n">
        <v>46389</v>
      </c>
      <c r="E322" s="36" t="s">
        <v>617</v>
      </c>
      <c r="F322" s="178" t="str">
        <f aca="false">IF(AND(L322="🔄 SWAP ME",M322&lt;&gt;""),M322,IFERROR(INDEX($O$5:$O$375,MATCH(O322,$M$5:$M$375,0)),O322))</f>
        <v>Apply: 10 more applications — Razorpay, PhonePe, Zepto, Walmart Global Tech</v>
      </c>
      <c r="G322" s="198" t="s">
        <v>470</v>
      </c>
      <c r="H322" s="39" t="n">
        <v>1</v>
      </c>
      <c r="I322" s="40" t="n">
        <v>2</v>
      </c>
      <c r="J322" s="41" t="n">
        <v>3</v>
      </c>
      <c r="K322" s="179" t="s">
        <v>1351</v>
      </c>
      <c r="L322" s="179" t="s">
        <v>1349</v>
      </c>
      <c r="M322" s="241"/>
      <c r="N322" s="316" t="str">
        <f aca="false">IF(AND(L322="🔄 SWAP ME",M322&lt;&gt;""),"⚡ SWAPPED","")</f>
        <v/>
      </c>
      <c r="O322" s="9" t="s">
        <v>1169</v>
      </c>
      <c r="P322" s="317" t="str">
        <f aca="true">IF(AND(L322="🔄 SWAP ME",M322&lt;&gt;""),TODAY(),"")</f>
        <v/>
      </c>
      <c r="Q322" s="315" t="s">
        <v>1170</v>
      </c>
    </row>
    <row r="323" customFormat="false" ht="19.5" hidden="false" customHeight="true" outlineLevel="0" collapsed="false">
      <c r="B323" s="327" t="s">
        <v>1415</v>
      </c>
      <c r="C323" s="309" t="s">
        <v>517</v>
      </c>
      <c r="D323" s="240" t="n">
        <v>46390</v>
      </c>
      <c r="E323" s="36" t="s">
        <v>617</v>
      </c>
      <c r="F323" s="178" t="str">
        <f aca="false">IF(AND(L323="🔄 SWAP ME",M323&lt;&gt;""),M323,IFERROR(INDEX($O$5:$O$375,MATCH(O323,$M$5:$M$375,0)),O323))</f>
        <v>Apply cont: International roles (Singapore, Dubai, UK, Canada remote)</v>
      </c>
      <c r="G323" s="198" t="s">
        <v>470</v>
      </c>
      <c r="H323" s="39" t="n">
        <v>1</v>
      </c>
      <c r="I323" s="40" t="n">
        <v>2</v>
      </c>
      <c r="J323" s="41" t="n">
        <v>3</v>
      </c>
      <c r="K323" s="179" t="s">
        <v>1351</v>
      </c>
      <c r="L323" s="179" t="s">
        <v>1349</v>
      </c>
      <c r="M323" s="241"/>
      <c r="N323" s="316" t="str">
        <f aca="false">IF(AND(L323="🔄 SWAP ME",M323&lt;&gt;""),"⚡ SWAPPED","")</f>
        <v/>
      </c>
      <c r="O323" s="9" t="s">
        <v>1171</v>
      </c>
      <c r="P323" s="317" t="str">
        <f aca="true">IF(AND(L323="🔄 SWAP ME",M323&lt;&gt;""),TODAY(),"")</f>
        <v/>
      </c>
      <c r="Q323" s="315" t="s">
        <v>1172</v>
      </c>
    </row>
    <row r="324" customFormat="false" ht="12" hidden="false" customHeight="true" outlineLevel="0" collapsed="false">
      <c r="B324" s="330" t="s">
        <v>1416</v>
      </c>
      <c r="C324" s="330"/>
      <c r="D324" s="330"/>
      <c r="E324" s="330"/>
      <c r="F324" s="330"/>
      <c r="G324" s="330"/>
      <c r="H324" s="330"/>
      <c r="I324" s="330"/>
      <c r="J324" s="330"/>
      <c r="K324" s="330"/>
      <c r="L324" s="330"/>
      <c r="M324" s="330"/>
      <c r="N324" s="330"/>
      <c r="O324" s="330"/>
      <c r="P324" s="330"/>
      <c r="Q324" s="330"/>
    </row>
    <row r="325" customFormat="false" ht="19.5" hidden="false" customHeight="true" outlineLevel="0" collapsed="false">
      <c r="B325" s="331" t="s">
        <v>1417</v>
      </c>
      <c r="C325" s="273" t="s">
        <v>118</v>
      </c>
      <c r="D325" s="244" t="n">
        <v>46391</v>
      </c>
      <c r="E325" s="274" t="s">
        <v>623</v>
      </c>
      <c r="F325" s="37" t="str">
        <f aca="false">IF(AND(L325="🔄 SWAP ME",M325&lt;&gt;""),M325,IFERROR(INDEX($O$5:$O$375,MATCH(O325,$M$5:$M$375,0)),O325))</f>
        <v>DDIA Ch.1-3: Reliability, Scalability (percentiles), B-tree vs LSM storage engines</v>
      </c>
      <c r="G325" s="206" t="s">
        <v>486</v>
      </c>
      <c r="H325" s="39" t="n">
        <v>0.5</v>
      </c>
      <c r="I325" s="40" t="n">
        <v>1</v>
      </c>
      <c r="J325" s="41" t="n">
        <v>1.5</v>
      </c>
      <c r="K325" s="76" t="s">
        <v>1348</v>
      </c>
      <c r="L325" s="76" t="s">
        <v>1349</v>
      </c>
      <c r="M325" s="245"/>
      <c r="N325" s="63" t="str">
        <f aca="false">IF(AND(L325="🔄 SWAP ME",M325&lt;&gt;""),"⚡ SWAPPED","")</f>
        <v/>
      </c>
      <c r="O325" s="9" t="s">
        <v>1174</v>
      </c>
      <c r="P325" s="314" t="str">
        <f aca="true">IF(AND(L325="🔄 SWAP ME",M325&lt;&gt;""),TODAY(),"")</f>
        <v/>
      </c>
      <c r="Q325" s="315" t="s">
        <v>1175</v>
      </c>
    </row>
    <row r="326" customFormat="false" ht="19.5" hidden="false" customHeight="true" outlineLevel="0" collapsed="false">
      <c r="B326" s="331" t="s">
        <v>1417</v>
      </c>
      <c r="C326" s="273" t="s">
        <v>123</v>
      </c>
      <c r="D326" s="244" t="n">
        <v>46392</v>
      </c>
      <c r="E326" s="274" t="s">
        <v>623</v>
      </c>
      <c r="F326" s="37" t="str">
        <f aca="false">IF(AND(L326="🔄 SWAP ME",M326&lt;&gt;""),M326,IFERROR(INDEX($O$5:$O$375,MATCH(O326,$M$5:$M$375,0)),O326))</f>
        <v>DDIA Ch.5-6: Replication (leader/multi-leader/leaderless), Partitioning strategies</v>
      </c>
      <c r="G326" s="206" t="s">
        <v>486</v>
      </c>
      <c r="H326" s="39" t="n">
        <v>0.5</v>
      </c>
      <c r="I326" s="40" t="n">
        <v>1</v>
      </c>
      <c r="J326" s="41" t="n">
        <v>1.5</v>
      </c>
      <c r="K326" s="76" t="s">
        <v>1348</v>
      </c>
      <c r="L326" s="76" t="s">
        <v>1349</v>
      </c>
      <c r="M326" s="245"/>
      <c r="N326" s="63" t="str">
        <f aca="false">IF(AND(L326="🔄 SWAP ME",M326&lt;&gt;""),"⚡ SWAPPED","")</f>
        <v/>
      </c>
      <c r="O326" s="9" t="s">
        <v>1176</v>
      </c>
      <c r="P326" s="314" t="str">
        <f aca="true">IF(AND(L326="🔄 SWAP ME",M326&lt;&gt;""),TODAY(),"")</f>
        <v/>
      </c>
      <c r="Q326" s="315" t="s">
        <v>1177</v>
      </c>
    </row>
    <row r="327" customFormat="false" ht="19.5" hidden="false" customHeight="true" outlineLevel="0" collapsed="false">
      <c r="B327" s="331" t="s">
        <v>1417</v>
      </c>
      <c r="C327" s="273" t="s">
        <v>126</v>
      </c>
      <c r="D327" s="244" t="n">
        <v>46393</v>
      </c>
      <c r="E327" s="274" t="s">
        <v>623</v>
      </c>
      <c r="F327" s="37" t="str">
        <f aca="false">IF(AND(L327="🔄 SWAP ME",M327&lt;&gt;""),M327,IFERROR(INDEX($O$5:$O$375,MATCH(O327,$M$5:$M$375,0)),O327))</f>
        <v>DDIA Ch.7: Transactions — ACID, isolation levels (READ COMMITTED/REPEATABLE/SERIALIZABLE)</v>
      </c>
      <c r="G327" s="206" t="s">
        <v>486</v>
      </c>
      <c r="H327" s="39" t="n">
        <v>0.5</v>
      </c>
      <c r="I327" s="40" t="n">
        <v>1</v>
      </c>
      <c r="J327" s="41" t="n">
        <v>1.5</v>
      </c>
      <c r="K327" s="76" t="s">
        <v>1348</v>
      </c>
      <c r="L327" s="76" t="s">
        <v>1349</v>
      </c>
      <c r="M327" s="245"/>
      <c r="N327" s="63" t="str">
        <f aca="false">IF(AND(L327="🔄 SWAP ME",M327&lt;&gt;""),"⚡ SWAPPED","")</f>
        <v/>
      </c>
      <c r="O327" s="9" t="s">
        <v>1178</v>
      </c>
      <c r="P327" s="314" t="str">
        <f aca="true">IF(AND(L327="🔄 SWAP ME",M327&lt;&gt;""),TODAY(),"")</f>
        <v/>
      </c>
      <c r="Q327" s="315" t="s">
        <v>1179</v>
      </c>
    </row>
    <row r="328" customFormat="false" ht="19.5" hidden="false" customHeight="true" outlineLevel="0" collapsed="false">
      <c r="B328" s="331" t="s">
        <v>1417</v>
      </c>
      <c r="C328" s="273" t="s">
        <v>130</v>
      </c>
      <c r="D328" s="244" t="n">
        <v>46394</v>
      </c>
      <c r="E328" s="274" t="s">
        <v>623</v>
      </c>
      <c r="F328" s="37" t="str">
        <f aca="false">IF(AND(L328="🔄 SWAP ME",M328&lt;&gt;""),M328,IFERROR(INDEX($O$5:$O$375,MATCH(O328,$M$5:$M$375,0)),O328))</f>
        <v>DDIA Ch.8-11: Distributed faults, CAP, consensus (Raft/Paxos), batch+stream processing</v>
      </c>
      <c r="G328" s="206" t="s">
        <v>486</v>
      </c>
      <c r="H328" s="39" t="n">
        <v>0.5</v>
      </c>
      <c r="I328" s="40" t="n">
        <v>1</v>
      </c>
      <c r="J328" s="41" t="n">
        <v>1.5</v>
      </c>
      <c r="K328" s="76" t="s">
        <v>1348</v>
      </c>
      <c r="L328" s="76" t="s">
        <v>1349</v>
      </c>
      <c r="M328" s="245"/>
      <c r="N328" s="63" t="str">
        <f aca="false">IF(AND(L328="🔄 SWAP ME",M328&lt;&gt;""),"⚡ SWAPPED","")</f>
        <v/>
      </c>
      <c r="O328" s="9" t="s">
        <v>1180</v>
      </c>
      <c r="P328" s="314" t="str">
        <f aca="true">IF(AND(L328="🔄 SWAP ME",M328&lt;&gt;""),TODAY(),"")</f>
        <v/>
      </c>
      <c r="Q328" s="315" t="s">
        <v>1181</v>
      </c>
    </row>
    <row r="329" customFormat="false" ht="19.5" hidden="false" customHeight="true" outlineLevel="0" collapsed="false">
      <c r="B329" s="331" t="s">
        <v>1417</v>
      </c>
      <c r="C329" s="273" t="s">
        <v>133</v>
      </c>
      <c r="D329" s="244" t="n">
        <v>46395</v>
      </c>
      <c r="E329" s="274" t="s">
        <v>623</v>
      </c>
      <c r="F329" s="37" t="str">
        <f aca="false">IF(AND(L329="🔄 SWAP ME",M329&lt;&gt;""),M329,IFERROR(INDEX($O$5:$O$375,MATCH(O329,$M$5:$M$375,0)),O329))</f>
        <v>DSA: Amazon 5-round simulation with peer (DSA+HLD+LLD+Behavioral×2)</v>
      </c>
      <c r="G329" s="206" t="s">
        <v>486</v>
      </c>
      <c r="H329" s="39" t="n">
        <v>0.3</v>
      </c>
      <c r="I329" s="40" t="n">
        <v>0.5</v>
      </c>
      <c r="J329" s="41" t="n">
        <v>0.75</v>
      </c>
      <c r="K329" s="76" t="s">
        <v>1348</v>
      </c>
      <c r="L329" s="76" t="s">
        <v>1349</v>
      </c>
      <c r="M329" s="245"/>
      <c r="N329" s="63" t="str">
        <f aca="false">IF(AND(L329="🔄 SWAP ME",M329&lt;&gt;""),"⚡ SWAPPED","")</f>
        <v/>
      </c>
      <c r="O329" s="9" t="s">
        <v>1182</v>
      </c>
      <c r="P329" s="314" t="str">
        <f aca="true">IF(AND(L329="🔄 SWAP ME",M329&lt;&gt;""),TODAY(),"")</f>
        <v/>
      </c>
      <c r="Q329" s="315" t="s">
        <v>1183</v>
      </c>
    </row>
    <row r="330" customFormat="false" ht="19.5" hidden="false" customHeight="true" outlineLevel="0" collapsed="false">
      <c r="B330" s="331" t="s">
        <v>1417</v>
      </c>
      <c r="C330" s="309" t="s">
        <v>516</v>
      </c>
      <c r="D330" s="240" t="n">
        <v>46396</v>
      </c>
      <c r="E330" s="274" t="s">
        <v>623</v>
      </c>
      <c r="F330" s="178" t="str">
        <f aca="false">IF(AND(L330="🔄 SWAP ME",M330&lt;&gt;""),M330,IFERROR(INDEX($O$5:$O$375,MATCH(O330,$M$5:$M$375,0)),O330))</f>
        <v>HLD: Lambda vs Kappa vs Data Mesh vs Medallion — deep comparison, real examples</v>
      </c>
      <c r="G330" s="206" t="s">
        <v>486</v>
      </c>
      <c r="H330" s="39" t="n">
        <v>1</v>
      </c>
      <c r="I330" s="40" t="n">
        <v>2</v>
      </c>
      <c r="J330" s="41" t="n">
        <v>3</v>
      </c>
      <c r="K330" s="179" t="s">
        <v>1351</v>
      </c>
      <c r="L330" s="179" t="s">
        <v>1349</v>
      </c>
      <c r="M330" s="241"/>
      <c r="N330" s="316" t="str">
        <f aca="false">IF(AND(L330="🔄 SWAP ME",M330&lt;&gt;""),"⚡ SWAPPED","")</f>
        <v/>
      </c>
      <c r="O330" s="9" t="s">
        <v>1184</v>
      </c>
      <c r="P330" s="317" t="str">
        <f aca="true">IF(AND(L330="🔄 SWAP ME",M330&lt;&gt;""),TODAY(),"")</f>
        <v/>
      </c>
      <c r="Q330" s="315" t="s">
        <v>1418</v>
      </c>
    </row>
    <row r="331" customFormat="false" ht="19.5" hidden="false" customHeight="true" outlineLevel="0" collapsed="false">
      <c r="B331" s="331" t="s">
        <v>1417</v>
      </c>
      <c r="C331" s="309" t="s">
        <v>517</v>
      </c>
      <c r="D331" s="240" t="n">
        <v>46397</v>
      </c>
      <c r="E331" s="274" t="s">
        <v>623</v>
      </c>
      <c r="F331" s="178" t="str">
        <f aca="false">IF(AND(L331="🔄 SWAP ME",M331&lt;&gt;""),M331,IFERROR(INDEX($O$5:$O$375,MATCH(O331,$M$5:$M$375,0)),O331))</f>
        <v>HLD Practice: Design Flipkart data lake — components, scale, SLA, governance</v>
      </c>
      <c r="G331" s="206" t="s">
        <v>486</v>
      </c>
      <c r="H331" s="39" t="n">
        <v>1.5</v>
      </c>
      <c r="I331" s="40" t="n">
        <v>3</v>
      </c>
      <c r="J331" s="41" t="n">
        <v>5</v>
      </c>
      <c r="K331" s="179" t="s">
        <v>1352</v>
      </c>
      <c r="L331" s="179" t="s">
        <v>1349</v>
      </c>
      <c r="M331" s="241"/>
      <c r="N331" s="316" t="str">
        <f aca="false">IF(AND(L331="🔄 SWAP ME",M331&lt;&gt;""),"⚡ SWAPPED","")</f>
        <v/>
      </c>
      <c r="O331" s="9" t="s">
        <v>1186</v>
      </c>
      <c r="P331" s="317" t="str">
        <f aca="true">IF(AND(L331="🔄 SWAP ME",M331&lt;&gt;""),TODAY(),"")</f>
        <v/>
      </c>
      <c r="Q331" s="315" t="s">
        <v>1187</v>
      </c>
    </row>
    <row r="332" customFormat="false" ht="12" hidden="false" customHeight="true" outlineLevel="0" collapsed="false">
      <c r="B332" s="330" t="s">
        <v>1419</v>
      </c>
      <c r="C332" s="330"/>
      <c r="D332" s="330"/>
      <c r="E332" s="330"/>
      <c r="F332" s="330"/>
      <c r="G332" s="330"/>
      <c r="H332" s="330"/>
      <c r="I332" s="330"/>
      <c r="J332" s="330"/>
      <c r="K332" s="330"/>
      <c r="L332" s="330"/>
      <c r="M332" s="330"/>
      <c r="N332" s="330"/>
      <c r="O332" s="330"/>
      <c r="P332" s="330"/>
      <c r="Q332" s="330"/>
    </row>
    <row r="333" customFormat="false" ht="19.5" hidden="false" customHeight="true" outlineLevel="0" collapsed="false">
      <c r="B333" s="331" t="s">
        <v>1420</v>
      </c>
      <c r="C333" s="273" t="s">
        <v>118</v>
      </c>
      <c r="D333" s="244" t="n">
        <v>46398</v>
      </c>
      <c r="E333" s="274" t="s">
        <v>623</v>
      </c>
      <c r="F333" s="37" t="str">
        <f aca="false">IF(AND(L333="🔄 SWAP ME",M333&lt;&gt;""),M333,IFERROR(INDEX($O$5:$O$375,MATCH(O333,$M$5:$M$375,0)),O333))</f>
        <v>HLD Practice: Design Swiggy real-time order analytics — 5-second SLA on metrics</v>
      </c>
      <c r="G333" s="206" t="s">
        <v>486</v>
      </c>
      <c r="H333" s="39" t="n">
        <v>0.5</v>
      </c>
      <c r="I333" s="40" t="n">
        <v>1</v>
      </c>
      <c r="J333" s="41" t="n">
        <v>1.5</v>
      </c>
      <c r="K333" s="76" t="s">
        <v>1348</v>
      </c>
      <c r="L333" s="76" t="s">
        <v>1349</v>
      </c>
      <c r="M333" s="245"/>
      <c r="N333" s="63" t="str">
        <f aca="false">IF(AND(L333="🔄 SWAP ME",M333&lt;&gt;""),"⚡ SWAPPED","")</f>
        <v/>
      </c>
      <c r="O333" s="9" t="s">
        <v>1188</v>
      </c>
      <c r="P333" s="314" t="str">
        <f aca="true">IF(AND(L333="🔄 SWAP ME",M333&lt;&gt;""),TODAY(),"")</f>
        <v/>
      </c>
      <c r="Q333" s="315" t="s">
        <v>1189</v>
      </c>
    </row>
    <row r="334" customFormat="false" ht="19.5" hidden="false" customHeight="true" outlineLevel="0" collapsed="false">
      <c r="B334" s="331" t="s">
        <v>1420</v>
      </c>
      <c r="C334" s="273" t="s">
        <v>123</v>
      </c>
      <c r="D334" s="244" t="n">
        <v>46399</v>
      </c>
      <c r="E334" s="274" t="s">
        <v>623</v>
      </c>
      <c r="F334" s="37" t="str">
        <f aca="false">IF(AND(L334="🔄 SWAP ME",M334&lt;&gt;""),M334,IFERROR(INDEX($O$5:$O$375,MATCH(O334,$M$5:$M$375,0)),O334))</f>
        <v>HLD Practice: Design Amazon fraud detection — 500K TPS, ML feature pipeline</v>
      </c>
      <c r="G334" s="206" t="s">
        <v>486</v>
      </c>
      <c r="H334" s="39" t="n">
        <v>0.5</v>
      </c>
      <c r="I334" s="40" t="n">
        <v>1</v>
      </c>
      <c r="J334" s="41" t="n">
        <v>1.5</v>
      </c>
      <c r="K334" s="76" t="s">
        <v>1348</v>
      </c>
      <c r="L334" s="76" t="s">
        <v>1349</v>
      </c>
      <c r="M334" s="245"/>
      <c r="N334" s="63" t="str">
        <f aca="false">IF(AND(L334="🔄 SWAP ME",M334&lt;&gt;""),"⚡ SWAPPED","")</f>
        <v/>
      </c>
      <c r="O334" s="9" t="s">
        <v>1190</v>
      </c>
      <c r="P334" s="314" t="str">
        <f aca="true">IF(AND(L334="🔄 SWAP ME",M334&lt;&gt;""),TODAY(),"")</f>
        <v/>
      </c>
      <c r="Q334" s="315" t="s">
        <v>1189</v>
      </c>
    </row>
    <row r="335" customFormat="false" ht="19.5" hidden="false" customHeight="true" outlineLevel="0" collapsed="false">
      <c r="B335" s="331" t="s">
        <v>1420</v>
      </c>
      <c r="C335" s="273" t="s">
        <v>126</v>
      </c>
      <c r="D335" s="244" t="n">
        <v>46400</v>
      </c>
      <c r="E335" s="274" t="s">
        <v>623</v>
      </c>
      <c r="F335" s="37" t="str">
        <f aca="false">IF(AND(L335="🔄 SWAP ME",M335&lt;&gt;""),M335,IFERROR(INDEX($O$5:$O$375,MATCH(O335,$M$5:$M$375,0)),O335))</f>
        <v>HLD Practice: Multi-cloud Azure+AWS with Delta Sharing + unified governance</v>
      </c>
      <c r="G335" s="206" t="s">
        <v>486</v>
      </c>
      <c r="H335" s="39" t="n">
        <v>0.5</v>
      </c>
      <c r="I335" s="40" t="n">
        <v>1</v>
      </c>
      <c r="J335" s="41" t="n">
        <v>1.5</v>
      </c>
      <c r="K335" s="76" t="s">
        <v>1348</v>
      </c>
      <c r="L335" s="76" t="s">
        <v>1349</v>
      </c>
      <c r="M335" s="245"/>
      <c r="N335" s="63" t="str">
        <f aca="false">IF(AND(L335="🔄 SWAP ME",M335&lt;&gt;""),"⚡ SWAPPED","")</f>
        <v/>
      </c>
      <c r="O335" s="9" t="s">
        <v>1191</v>
      </c>
      <c r="P335" s="314" t="str">
        <f aca="true">IF(AND(L335="🔄 SWAP ME",M335&lt;&gt;""),TODAY(),"")</f>
        <v/>
      </c>
      <c r="Q335" s="315" t="s">
        <v>1189</v>
      </c>
    </row>
    <row r="336" customFormat="false" ht="19.5" hidden="false" customHeight="true" outlineLevel="0" collapsed="false">
      <c r="B336" s="331" t="s">
        <v>1420</v>
      </c>
      <c r="C336" s="273" t="s">
        <v>130</v>
      </c>
      <c r="D336" s="244" t="n">
        <v>46401</v>
      </c>
      <c r="E336" s="274" t="s">
        <v>623</v>
      </c>
      <c r="F336" s="37" t="str">
        <f aca="false">IF(AND(L336="🔄 SWAP ME",M336&lt;&gt;""),M336,IFERROR(INDEX($O$5:$O$375,MATCH(O336,$M$5:$M$375,0)),O336))</f>
        <v>LLD: ETL framework (abstract base + concrete), Rate limiter (4 algorithms), LRU Cache</v>
      </c>
      <c r="G336" s="206" t="s">
        <v>486</v>
      </c>
      <c r="H336" s="39" t="n">
        <v>0.5</v>
      </c>
      <c r="I336" s="40" t="n">
        <v>1</v>
      </c>
      <c r="J336" s="41" t="n">
        <v>1.5</v>
      </c>
      <c r="K336" s="76" t="s">
        <v>1348</v>
      </c>
      <c r="L336" s="76" t="s">
        <v>1349</v>
      </c>
      <c r="M336" s="245"/>
      <c r="N336" s="63" t="str">
        <f aca="false">IF(AND(L336="🔄 SWAP ME",M336&lt;&gt;""),"⚡ SWAPPED","")</f>
        <v/>
      </c>
      <c r="O336" s="9" t="s">
        <v>1192</v>
      </c>
      <c r="P336" s="314" t="str">
        <f aca="true">IF(AND(L336="🔄 SWAP ME",M336&lt;&gt;""),TODAY(),"")</f>
        <v/>
      </c>
      <c r="Q336" s="315" t="s">
        <v>1193</v>
      </c>
    </row>
    <row r="337" customFormat="false" ht="19.5" hidden="false" customHeight="true" outlineLevel="0" collapsed="false">
      <c r="B337" s="331" t="s">
        <v>1420</v>
      </c>
      <c r="C337" s="273" t="s">
        <v>133</v>
      </c>
      <c r="D337" s="244" t="n">
        <v>46402</v>
      </c>
      <c r="E337" s="274" t="s">
        <v>623</v>
      </c>
      <c r="F337" s="37" t="str">
        <f aca="false">IF(AND(L337="🔄 SWAP ME",M337&lt;&gt;""),M337,IFERROR(INDEX($O$5:$O$375,MATCH(O337,$M$5:$M$375,0)),O337))</f>
        <v>DSA: 45 min mock — 2 hard problems, explain approach before coding, no hints</v>
      </c>
      <c r="G337" s="206" t="s">
        <v>486</v>
      </c>
      <c r="H337" s="39" t="n">
        <v>0.3</v>
      </c>
      <c r="I337" s="40" t="n">
        <v>0.5</v>
      </c>
      <c r="J337" s="41" t="n">
        <v>0.75</v>
      </c>
      <c r="K337" s="76" t="s">
        <v>1348</v>
      </c>
      <c r="L337" s="76" t="s">
        <v>1349</v>
      </c>
      <c r="M337" s="245"/>
      <c r="N337" s="63" t="str">
        <f aca="false">IF(AND(L337="🔄 SWAP ME",M337&lt;&gt;""),"⚡ SWAPPED","")</f>
        <v/>
      </c>
      <c r="O337" s="9" t="s">
        <v>1194</v>
      </c>
      <c r="P337" s="314" t="str">
        <f aca="true">IF(AND(L337="🔄 SWAP ME",M337&lt;&gt;""),TODAY(),"")</f>
        <v/>
      </c>
      <c r="Q337" s="315" t="s">
        <v>1195</v>
      </c>
    </row>
    <row r="338" customFormat="false" ht="19.5" hidden="false" customHeight="true" outlineLevel="0" collapsed="false">
      <c r="B338" s="331" t="s">
        <v>1420</v>
      </c>
      <c r="C338" s="309" t="s">
        <v>516</v>
      </c>
      <c r="D338" s="240" t="n">
        <v>46403</v>
      </c>
      <c r="E338" s="274" t="s">
        <v>623</v>
      </c>
      <c r="F338" s="178" t="str">
        <f aca="false">IF(AND(L338="🔄 SWAP ME",M338&lt;&gt;""),M338,IFERROR(INDEX($O$5:$O$375,MATCH(O338,$M$5:$M$375,0)),O338))</f>
        <v>LLD: DAG scheduler (topological sort + parallel exec), Pipeline retry decorator</v>
      </c>
      <c r="G338" s="206" t="s">
        <v>486</v>
      </c>
      <c r="H338" s="39" t="n">
        <v>1</v>
      </c>
      <c r="I338" s="40" t="n">
        <v>2</v>
      </c>
      <c r="J338" s="41" t="n">
        <v>3</v>
      </c>
      <c r="K338" s="179" t="s">
        <v>1351</v>
      </c>
      <c r="L338" s="179" t="s">
        <v>1349</v>
      </c>
      <c r="M338" s="241"/>
      <c r="N338" s="316" t="str">
        <f aca="false">IF(AND(L338="🔄 SWAP ME",M338&lt;&gt;""),"⚡ SWAPPED","")</f>
        <v/>
      </c>
      <c r="O338" s="9" t="s">
        <v>1196</v>
      </c>
      <c r="P338" s="317" t="str">
        <f aca="true">IF(AND(L338="🔄 SWAP ME",M338&lt;&gt;""),TODAY(),"")</f>
        <v/>
      </c>
      <c r="Q338" s="315" t="s">
        <v>1197</v>
      </c>
    </row>
    <row r="339" customFormat="false" ht="19.5" hidden="false" customHeight="true" outlineLevel="0" collapsed="false">
      <c r="B339" s="331" t="s">
        <v>1420</v>
      </c>
      <c r="C339" s="309" t="s">
        <v>517</v>
      </c>
      <c r="D339" s="240" t="n">
        <v>46404</v>
      </c>
      <c r="E339" s="274" t="s">
        <v>623</v>
      </c>
      <c r="F339" s="178" t="str">
        <f aca="false">IF(AND(L339="🔄 SWAP ME",M339&lt;&gt;""),M339,IFERROR(INDEX($O$5:$O$375,MATCH(O339,$M$5:$M$375,0)),O339))</f>
        <v>Mock Full Loop #1 — 2 hrs: DSA(45)+HLD(45)+Behavioral(30) — record + review</v>
      </c>
      <c r="G339" s="206" t="s">
        <v>486</v>
      </c>
      <c r="H339" s="39" t="n">
        <v>2</v>
      </c>
      <c r="I339" s="40" t="n">
        <v>3</v>
      </c>
      <c r="J339" s="41" t="n">
        <v>4</v>
      </c>
      <c r="K339" s="179" t="s">
        <v>1352</v>
      </c>
      <c r="L339" s="179" t="s">
        <v>1349</v>
      </c>
      <c r="M339" s="241"/>
      <c r="N339" s="316" t="str">
        <f aca="false">IF(AND(L339="🔄 SWAP ME",M339&lt;&gt;""),"⚡ SWAPPED","")</f>
        <v/>
      </c>
      <c r="O339" s="9" t="s">
        <v>1198</v>
      </c>
      <c r="P339" s="317" t="str">
        <f aca="true">IF(AND(L339="🔄 SWAP ME",M339&lt;&gt;""),TODAY(),"")</f>
        <v/>
      </c>
      <c r="Q339" s="315" t="s">
        <v>1113</v>
      </c>
    </row>
    <row r="340" customFormat="false" ht="12" hidden="false" customHeight="true" outlineLevel="0" collapsed="false">
      <c r="B340" s="330" t="s">
        <v>1421</v>
      </c>
      <c r="C340" s="330"/>
      <c r="D340" s="330"/>
      <c r="E340" s="330"/>
      <c r="F340" s="330"/>
      <c r="G340" s="330"/>
      <c r="H340" s="330"/>
      <c r="I340" s="330"/>
      <c r="J340" s="330"/>
      <c r="K340" s="330"/>
      <c r="L340" s="330"/>
      <c r="M340" s="330"/>
      <c r="N340" s="330"/>
      <c r="O340" s="330"/>
      <c r="P340" s="330"/>
      <c r="Q340" s="330"/>
    </row>
    <row r="341" customFormat="false" ht="19.5" hidden="false" customHeight="true" outlineLevel="0" collapsed="false">
      <c r="B341" s="331" t="s">
        <v>1422</v>
      </c>
      <c r="C341" s="273" t="s">
        <v>118</v>
      </c>
      <c r="D341" s="244" t="n">
        <v>46405</v>
      </c>
      <c r="E341" s="36" t="s">
        <v>617</v>
      </c>
      <c r="F341" s="37" t="str">
        <f aca="false">IF(AND(L341="🔄 SWAP ME",M341&lt;&gt;""),M341,IFERROR(INDEX($O$5:$O$375,MATCH(O341,$M$5:$M$375,0)),O341))</f>
        <v>CI/CD: Azure DevOps YAML pipelines for data — stages, approvals, variable groups</v>
      </c>
      <c r="G341" s="206" t="s">
        <v>486</v>
      </c>
      <c r="H341" s="39" t="n">
        <v>0.5</v>
      </c>
      <c r="I341" s="40" t="n">
        <v>0.75</v>
      </c>
      <c r="J341" s="41" t="n">
        <v>1</v>
      </c>
      <c r="K341" s="76" t="s">
        <v>1348</v>
      </c>
      <c r="L341" s="76" t="s">
        <v>1349</v>
      </c>
      <c r="M341" s="245"/>
      <c r="N341" s="63" t="str">
        <f aca="false">IF(AND(L341="🔄 SWAP ME",M341&lt;&gt;""),"⚡ SWAPPED","")</f>
        <v/>
      </c>
      <c r="O341" s="9" t="s">
        <v>1199</v>
      </c>
      <c r="P341" s="314" t="str">
        <f aca="true">IF(AND(L341="🔄 SWAP ME",M341&lt;&gt;""),TODAY(),"")</f>
        <v/>
      </c>
      <c r="Q341" s="315" t="s">
        <v>1200</v>
      </c>
    </row>
    <row r="342" customFormat="false" ht="19.5" hidden="false" customHeight="true" outlineLevel="0" collapsed="false">
      <c r="B342" s="331" t="s">
        <v>1422</v>
      </c>
      <c r="C342" s="273" t="s">
        <v>123</v>
      </c>
      <c r="D342" s="244" t="n">
        <v>46406</v>
      </c>
      <c r="E342" s="274" t="s">
        <v>623</v>
      </c>
      <c r="F342" s="37" t="str">
        <f aca="false">IF(AND(L342="🔄 SWAP ME",M342&lt;&gt;""),M342,IFERROR(INDEX($O$5:$O$375,MATCH(O342,$M$5:$M$375,0)),O342))</f>
        <v>DataOps: pipeline testing (unit/integration/e2e), data contracts, Great Expectations</v>
      </c>
      <c r="G342" s="206" t="s">
        <v>486</v>
      </c>
      <c r="H342" s="39" t="n">
        <v>0.5</v>
      </c>
      <c r="I342" s="40" t="n">
        <v>0.75</v>
      </c>
      <c r="J342" s="41" t="n">
        <v>1</v>
      </c>
      <c r="K342" s="76" t="s">
        <v>1348</v>
      </c>
      <c r="L342" s="76" t="s">
        <v>1349</v>
      </c>
      <c r="M342" s="245"/>
      <c r="N342" s="63" t="str">
        <f aca="false">IF(AND(L342="🔄 SWAP ME",M342&lt;&gt;""),"⚡ SWAPPED","")</f>
        <v/>
      </c>
      <c r="O342" s="9" t="s">
        <v>1201</v>
      </c>
      <c r="P342" s="314" t="str">
        <f aca="true">IF(AND(L342="🔄 SWAP ME",M342&lt;&gt;""),TODAY(),"")</f>
        <v/>
      </c>
      <c r="Q342" s="315" t="s">
        <v>492</v>
      </c>
    </row>
    <row r="343" customFormat="false" ht="19.5" hidden="false" customHeight="true" outlineLevel="0" collapsed="false">
      <c r="B343" s="331" t="s">
        <v>1422</v>
      </c>
      <c r="C343" s="273" t="s">
        <v>126</v>
      </c>
      <c r="D343" s="244" t="n">
        <v>46407</v>
      </c>
      <c r="E343" s="36" t="s">
        <v>617</v>
      </c>
      <c r="F343" s="37" t="str">
        <f aca="false">IF(AND(L343="🔄 SWAP ME",M343&lt;&gt;""),M343,IFERROR(INDEX($O$5:$O$375,MATCH(O343,$M$5:$M$375,0)),O343))</f>
        <v>Data quality: Soda YAML checks, anomaly detection, schema drift, freshness alerts</v>
      </c>
      <c r="G343" s="206" t="s">
        <v>486</v>
      </c>
      <c r="H343" s="39" t="n">
        <v>0.5</v>
      </c>
      <c r="I343" s="40" t="n">
        <v>0.75</v>
      </c>
      <c r="J343" s="41" t="n">
        <v>1</v>
      </c>
      <c r="K343" s="76" t="s">
        <v>1348</v>
      </c>
      <c r="L343" s="76" t="s">
        <v>1349</v>
      </c>
      <c r="M343" s="245"/>
      <c r="N343" s="63" t="str">
        <f aca="false">IF(AND(L343="🔄 SWAP ME",M343&lt;&gt;""),"⚡ SWAPPED","")</f>
        <v/>
      </c>
      <c r="O343" s="9" t="s">
        <v>1202</v>
      </c>
      <c r="P343" s="314" t="str">
        <f aca="true">IF(AND(L343="🔄 SWAP ME",M343&lt;&gt;""),TODAY(),"")</f>
        <v/>
      </c>
      <c r="Q343" s="315" t="s">
        <v>1203</v>
      </c>
    </row>
    <row r="344" customFormat="false" ht="19.5" hidden="false" customHeight="true" outlineLevel="0" collapsed="false">
      <c r="B344" s="331" t="s">
        <v>1422</v>
      </c>
      <c r="C344" s="273" t="s">
        <v>130</v>
      </c>
      <c r="D344" s="244" t="n">
        <v>46408</v>
      </c>
      <c r="E344" s="274" t="s">
        <v>623</v>
      </c>
      <c r="F344" s="37" t="str">
        <f aca="false">IF(AND(L344="🔄 SWAP ME",M344&lt;&gt;""),M344,IFERROR(INDEX($O$5:$O$375,MATCH(O344,$M$5:$M$375,0)),O344))</f>
        <v>P-Capstone: Full Azure data platform — ADF+ADLS+Databricks+Synapse+OpenAI NL layer</v>
      </c>
      <c r="G344" s="206" t="s">
        <v>486</v>
      </c>
      <c r="H344" s="39" t="n">
        <v>0.5</v>
      </c>
      <c r="I344" s="40" t="n">
        <v>2</v>
      </c>
      <c r="J344" s="41" t="n">
        <v>4</v>
      </c>
      <c r="K344" s="76" t="s">
        <v>1351</v>
      </c>
      <c r="L344" s="76" t="s">
        <v>1349</v>
      </c>
      <c r="M344" s="245"/>
      <c r="N344" s="63" t="str">
        <f aca="false">IF(AND(L344="🔄 SWAP ME",M344&lt;&gt;""),"⚡ SWAPPED","")</f>
        <v/>
      </c>
      <c r="O344" s="9" t="s">
        <v>1204</v>
      </c>
      <c r="P344" s="314" t="str">
        <f aca="true">IF(AND(L344="🔄 SWAP ME",M344&lt;&gt;""),TODAY(),"")</f>
        <v/>
      </c>
      <c r="Q344" s="315" t="s">
        <v>1205</v>
      </c>
    </row>
    <row r="345" customFormat="false" ht="19.5" hidden="false" customHeight="true" outlineLevel="0" collapsed="false">
      <c r="B345" s="331" t="s">
        <v>1422</v>
      </c>
      <c r="C345" s="273" t="s">
        <v>133</v>
      </c>
      <c r="D345" s="244" t="n">
        <v>46409</v>
      </c>
      <c r="E345" s="274" t="s">
        <v>623</v>
      </c>
      <c r="F345" s="37" t="str">
        <f aca="false">IF(AND(L345="🔄 SWAP ME",M345&lt;&gt;""),M345,IFERROR(INDEX($O$5:$O$375,MATCH(O345,$M$5:$M$375,0)),O345))</f>
        <v>DSA: Company-specific mock — Microsoft + ThoughtWorks problems, 45 min</v>
      </c>
      <c r="G345" s="206" t="s">
        <v>486</v>
      </c>
      <c r="H345" s="39" t="n">
        <v>0.3</v>
      </c>
      <c r="I345" s="40" t="n">
        <v>0.5</v>
      </c>
      <c r="J345" s="41" t="n">
        <v>0.75</v>
      </c>
      <c r="K345" s="76" t="s">
        <v>1348</v>
      </c>
      <c r="L345" s="76" t="s">
        <v>1349</v>
      </c>
      <c r="M345" s="245"/>
      <c r="N345" s="63" t="str">
        <f aca="false">IF(AND(L345="🔄 SWAP ME",M345&lt;&gt;""),"⚡ SWAPPED","")</f>
        <v/>
      </c>
      <c r="O345" s="9" t="s">
        <v>1206</v>
      </c>
      <c r="P345" s="314" t="str">
        <f aca="true">IF(AND(L345="🔄 SWAP ME",M345&lt;&gt;""),TODAY(),"")</f>
        <v/>
      </c>
      <c r="Q345" s="315" t="s">
        <v>1207</v>
      </c>
    </row>
    <row r="346" customFormat="false" ht="19.5" hidden="false" customHeight="true" outlineLevel="0" collapsed="false">
      <c r="B346" s="331" t="s">
        <v>1422</v>
      </c>
      <c r="C346" s="309" t="s">
        <v>516</v>
      </c>
      <c r="D346" s="240" t="n">
        <v>46410</v>
      </c>
      <c r="E346" s="36" t="s">
        <v>617</v>
      </c>
      <c r="F346" s="178" t="str">
        <f aca="false">IF(AND(L346="🔄 SWAP ME",M346&lt;&gt;""),M346,IFERROR(INDEX($O$5:$O$375,MATCH(O346,$M$5:$M$375,0)),O346))</f>
        <v>Apply: 20 more applications — include international + fintech + e-commerce</v>
      </c>
      <c r="G346" s="206" t="s">
        <v>486</v>
      </c>
      <c r="H346" s="39" t="n">
        <v>1</v>
      </c>
      <c r="I346" s="40" t="n">
        <v>2</v>
      </c>
      <c r="J346" s="41" t="n">
        <v>3</v>
      </c>
      <c r="K346" s="179" t="s">
        <v>1351</v>
      </c>
      <c r="L346" s="179" t="s">
        <v>1349</v>
      </c>
      <c r="M346" s="241"/>
      <c r="N346" s="316" t="str">
        <f aca="false">IF(AND(L346="🔄 SWAP ME",M346&lt;&gt;""),"⚡ SWAPPED","")</f>
        <v/>
      </c>
      <c r="O346" s="9" t="s">
        <v>1208</v>
      </c>
      <c r="P346" s="317" t="str">
        <f aca="true">IF(AND(L346="🔄 SWAP ME",M346&lt;&gt;""),TODAY(),"")</f>
        <v/>
      </c>
      <c r="Q346" s="315" t="s">
        <v>1170</v>
      </c>
    </row>
    <row r="347" customFormat="false" ht="19.5" hidden="false" customHeight="true" outlineLevel="0" collapsed="false">
      <c r="B347" s="331" t="s">
        <v>1422</v>
      </c>
      <c r="C347" s="309" t="s">
        <v>517</v>
      </c>
      <c r="D347" s="240" t="n">
        <v>46411</v>
      </c>
      <c r="E347" s="274" t="s">
        <v>623</v>
      </c>
      <c r="F347" s="178" t="str">
        <f aca="false">IF(AND(L347="🔄 SWAP ME",M347&lt;&gt;""),M347,IFERROR(INDEX($O$5:$O$375,MATCH(O347,$M$5:$M$375,0)),O347))</f>
        <v>Mock Full Loop #2 — Flipkart-style (machine coding 90min + HLD 45min)</v>
      </c>
      <c r="G347" s="206" t="s">
        <v>486</v>
      </c>
      <c r="H347" s="39" t="n">
        <v>2</v>
      </c>
      <c r="I347" s="40" t="n">
        <v>3</v>
      </c>
      <c r="J347" s="41" t="n">
        <v>4</v>
      </c>
      <c r="K347" s="179" t="s">
        <v>1352</v>
      </c>
      <c r="L347" s="179" t="s">
        <v>1349</v>
      </c>
      <c r="M347" s="241"/>
      <c r="N347" s="316" t="str">
        <f aca="false">IF(AND(L347="🔄 SWAP ME",M347&lt;&gt;""),"⚡ SWAPPED","")</f>
        <v/>
      </c>
      <c r="O347" s="9" t="s">
        <v>1209</v>
      </c>
      <c r="P347" s="317" t="str">
        <f aca="true">IF(AND(L347="🔄 SWAP ME",M347&lt;&gt;""),TODAY(),"")</f>
        <v/>
      </c>
      <c r="Q347" s="315" t="s">
        <v>1210</v>
      </c>
    </row>
    <row r="348" customFormat="false" ht="12" hidden="false" customHeight="true" outlineLevel="0" collapsed="false">
      <c r="B348" s="321" t="s">
        <v>1423</v>
      </c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</row>
    <row r="349" customFormat="false" ht="19.5" hidden="false" customHeight="true" outlineLevel="0" collapsed="false">
      <c r="B349" s="50" t="s">
        <v>1424</v>
      </c>
      <c r="C349" s="273" t="s">
        <v>118</v>
      </c>
      <c r="D349" s="244" t="n">
        <v>46412</v>
      </c>
      <c r="E349" s="274" t="s">
        <v>623</v>
      </c>
      <c r="F349" s="37" t="str">
        <f aca="false">IF(AND(L349="🔄 SWAP ME",M349&lt;&gt;""),M349,IFERROR(INDEX($O$5:$O$375,MATCH(O349,$M$5:$M$375,0)),O349))</f>
        <v>STAR Stories: Customer Obsession, Dive Deep, Invent &amp; Simplify (write + 2-min practice)</v>
      </c>
      <c r="G349" s="188" t="s">
        <v>496</v>
      </c>
      <c r="H349" s="39" t="n">
        <v>0.5</v>
      </c>
      <c r="I349" s="40" t="n">
        <v>1</v>
      </c>
      <c r="J349" s="41" t="n">
        <v>1.5</v>
      </c>
      <c r="K349" s="76" t="s">
        <v>1348</v>
      </c>
      <c r="L349" s="76" t="s">
        <v>1349</v>
      </c>
      <c r="M349" s="245"/>
      <c r="N349" s="63" t="str">
        <f aca="false">IF(AND(L349="🔄 SWAP ME",M349&lt;&gt;""),"⚡ SWAPPED","")</f>
        <v/>
      </c>
      <c r="O349" s="9" t="s">
        <v>1212</v>
      </c>
      <c r="P349" s="314" t="str">
        <f aca="true">IF(AND(L349="🔄 SWAP ME",M349&lt;&gt;""),TODAY(),"")</f>
        <v/>
      </c>
      <c r="Q349" s="315" t="s">
        <v>1213</v>
      </c>
    </row>
    <row r="350" customFormat="false" ht="19.5" hidden="false" customHeight="true" outlineLevel="0" collapsed="false">
      <c r="B350" s="50" t="s">
        <v>1424</v>
      </c>
      <c r="C350" s="273" t="s">
        <v>123</v>
      </c>
      <c r="D350" s="244" t="n">
        <v>46413</v>
      </c>
      <c r="E350" s="274" t="s">
        <v>623</v>
      </c>
      <c r="F350" s="37" t="str">
        <f aca="false">IF(AND(L350="🔄 SWAP ME",M350&lt;&gt;""),M350,IFERROR(INDEX($O$5:$O$375,MATCH(O350,$M$5:$M$375,0)),O350))</f>
        <v>STAR Stories: Deliver Results, Ownership, Bias for Action (write + 2-min practice)</v>
      </c>
      <c r="G350" s="188" t="s">
        <v>496</v>
      </c>
      <c r="H350" s="39" t="n">
        <v>0.5</v>
      </c>
      <c r="I350" s="40" t="n">
        <v>1</v>
      </c>
      <c r="J350" s="41" t="n">
        <v>1.5</v>
      </c>
      <c r="K350" s="76" t="s">
        <v>1348</v>
      </c>
      <c r="L350" s="76" t="s">
        <v>1349</v>
      </c>
      <c r="M350" s="245"/>
      <c r="N350" s="63" t="str">
        <f aca="false">IF(AND(L350="🔄 SWAP ME",M350&lt;&gt;""),"⚡ SWAPPED","")</f>
        <v/>
      </c>
      <c r="O350" s="9" t="s">
        <v>1214</v>
      </c>
      <c r="P350" s="314" t="str">
        <f aca="true">IF(AND(L350="🔄 SWAP ME",M350&lt;&gt;""),TODAY(),"")</f>
        <v/>
      </c>
      <c r="Q350" s="315" t="s">
        <v>1213</v>
      </c>
    </row>
    <row r="351" customFormat="false" ht="19.5" hidden="false" customHeight="true" outlineLevel="0" collapsed="false">
      <c r="B351" s="50" t="s">
        <v>1424</v>
      </c>
      <c r="C351" s="273" t="s">
        <v>126</v>
      </c>
      <c r="D351" s="244" t="n">
        <v>46414</v>
      </c>
      <c r="E351" s="274" t="s">
        <v>623</v>
      </c>
      <c r="F351" s="37" t="str">
        <f aca="false">IF(AND(L351="🔄 SWAP ME",M351&lt;&gt;""),M351,IFERROR(INDEX($O$5:$O$375,MATCH(O351,$M$5:$M$375,0)),O351))</f>
        <v>STAR Stories: Think Big, Are Right A Lot, Earn Trust (write + practice)</v>
      </c>
      <c r="G351" s="188" t="s">
        <v>496</v>
      </c>
      <c r="H351" s="39" t="n">
        <v>0.5</v>
      </c>
      <c r="I351" s="40" t="n">
        <v>0.75</v>
      </c>
      <c r="J351" s="41" t="n">
        <v>1</v>
      </c>
      <c r="K351" s="76" t="s">
        <v>1348</v>
      </c>
      <c r="L351" s="76" t="s">
        <v>1349</v>
      </c>
      <c r="M351" s="245"/>
      <c r="N351" s="63" t="str">
        <f aca="false">IF(AND(L351="🔄 SWAP ME",M351&lt;&gt;""),"⚡ SWAPPED","")</f>
        <v/>
      </c>
      <c r="O351" s="9" t="s">
        <v>1215</v>
      </c>
      <c r="P351" s="314" t="str">
        <f aca="true">IF(AND(L351="🔄 SWAP ME",M351&lt;&gt;""),TODAY(),"")</f>
        <v/>
      </c>
      <c r="Q351" s="315" t="s">
        <v>1216</v>
      </c>
    </row>
    <row r="352" customFormat="false" ht="19.5" hidden="false" customHeight="true" outlineLevel="0" collapsed="false">
      <c r="B352" s="50" t="s">
        <v>1424</v>
      </c>
      <c r="C352" s="273" t="s">
        <v>130</v>
      </c>
      <c r="D352" s="244" t="n">
        <v>46415</v>
      </c>
      <c r="E352" s="274" t="s">
        <v>623</v>
      </c>
      <c r="F352" s="37" t="str">
        <f aca="false">IF(AND(L352="🔄 SWAP ME",M352&lt;&gt;""),M352,IFERROR(INDEX($O$5:$O$375,MATCH(O352,$M$5:$M$375,0)),O352))</f>
        <v>Resume: Quantify every bullet — %, $, rows/sec, latency reduction, cost savings</v>
      </c>
      <c r="G352" s="188" t="s">
        <v>496</v>
      </c>
      <c r="H352" s="39" t="n">
        <v>0.5</v>
      </c>
      <c r="I352" s="40" t="n">
        <v>0.75</v>
      </c>
      <c r="J352" s="41" t="n">
        <v>1</v>
      </c>
      <c r="K352" s="76" t="s">
        <v>1348</v>
      </c>
      <c r="L352" s="76" t="s">
        <v>1349</v>
      </c>
      <c r="M352" s="245"/>
      <c r="N352" s="63" t="str">
        <f aca="false">IF(AND(L352="🔄 SWAP ME",M352&lt;&gt;""),"⚡ SWAPPED","")</f>
        <v/>
      </c>
      <c r="O352" s="9" t="s">
        <v>1217</v>
      </c>
      <c r="P352" s="314" t="str">
        <f aca="true">IF(AND(L352="🔄 SWAP ME",M352&lt;&gt;""),TODAY(),"")</f>
        <v/>
      </c>
      <c r="Q352" s="315" t="s">
        <v>1218</v>
      </c>
    </row>
    <row r="353" customFormat="false" ht="19.5" hidden="false" customHeight="true" outlineLevel="0" collapsed="false">
      <c r="B353" s="50" t="s">
        <v>1424</v>
      </c>
      <c r="C353" s="273" t="s">
        <v>133</v>
      </c>
      <c r="D353" s="244" t="n">
        <v>46416</v>
      </c>
      <c r="E353" s="274" t="s">
        <v>623</v>
      </c>
      <c r="F353" s="37" t="str">
        <f aca="false">IF(AND(L353="🔄 SWAP ME",M353&lt;&gt;""),M353,IFERROR(INDEX($O$5:$O$375,MATCH(O353,$M$5:$M$375,0)),O353))</f>
        <v>DSA: Amazon top 50 — 45 min timed, explain every decision aloud</v>
      </c>
      <c r="G353" s="188" t="s">
        <v>496</v>
      </c>
      <c r="H353" s="39" t="n">
        <v>0.3</v>
      </c>
      <c r="I353" s="40" t="n">
        <v>0.5</v>
      </c>
      <c r="J353" s="41" t="n">
        <v>0.75</v>
      </c>
      <c r="K353" s="76" t="s">
        <v>1348</v>
      </c>
      <c r="L353" s="76" t="s">
        <v>1349</v>
      </c>
      <c r="M353" s="245"/>
      <c r="N353" s="63" t="str">
        <f aca="false">IF(AND(L353="🔄 SWAP ME",M353&lt;&gt;""),"⚡ SWAPPED","")</f>
        <v/>
      </c>
      <c r="O353" s="9" t="s">
        <v>1219</v>
      </c>
      <c r="P353" s="314" t="str">
        <f aca="true">IF(AND(L353="🔄 SWAP ME",M353&lt;&gt;""),TODAY(),"")</f>
        <v/>
      </c>
      <c r="Q353" s="315" t="s">
        <v>1220</v>
      </c>
    </row>
    <row r="354" customFormat="false" ht="19.5" hidden="false" customHeight="true" outlineLevel="0" collapsed="false">
      <c r="B354" s="50" t="s">
        <v>1424</v>
      </c>
      <c r="C354" s="309" t="s">
        <v>516</v>
      </c>
      <c r="D354" s="240" t="n">
        <v>46417</v>
      </c>
      <c r="E354" s="36" t="s">
        <v>617</v>
      </c>
      <c r="F354" s="178" t="str">
        <f aca="false">IF(AND(L354="🔄 SWAP ME",M354&lt;&gt;""),M354,IFERROR(INDEX($O$5:$O$375,MATCH(O354,$M$5:$M$375,0)),O354))</f>
        <v>Portfolio: GitHub README for all 35 projects — problem+architecture+decisions+results</v>
      </c>
      <c r="G354" s="188" t="s">
        <v>496</v>
      </c>
      <c r="H354" s="39" t="n">
        <v>1</v>
      </c>
      <c r="I354" s="40" t="n">
        <v>2</v>
      </c>
      <c r="J354" s="41" t="n">
        <v>3</v>
      </c>
      <c r="K354" s="179" t="s">
        <v>1351</v>
      </c>
      <c r="L354" s="179" t="s">
        <v>1349</v>
      </c>
      <c r="M354" s="241"/>
      <c r="N354" s="316" t="str">
        <f aca="false">IF(AND(L354="🔄 SWAP ME",M354&lt;&gt;""),"⚡ SWAPPED","")</f>
        <v/>
      </c>
      <c r="O354" s="9" t="s">
        <v>1221</v>
      </c>
      <c r="P354" s="317" t="str">
        <f aca="true">IF(AND(L354="🔄 SWAP ME",M354&lt;&gt;""),TODAY(),"")</f>
        <v/>
      </c>
      <c r="Q354" s="315" t="s">
        <v>1222</v>
      </c>
    </row>
    <row r="355" customFormat="false" ht="19.5" hidden="false" customHeight="true" outlineLevel="0" collapsed="false">
      <c r="B355" s="50" t="s">
        <v>1424</v>
      </c>
      <c r="C355" s="309" t="s">
        <v>517</v>
      </c>
      <c r="D355" s="240" t="n">
        <v>46418</v>
      </c>
      <c r="E355" s="274" t="s">
        <v>623</v>
      </c>
      <c r="F355" s="178" t="str">
        <f aca="false">IF(AND(L355="🔄 SWAP ME",M355&lt;&gt;""),M355,IFERROR(INDEX($O$5:$O$375,MATCH(O355,$M$5:$M$375,0)),O355))</f>
        <v>Mock Full Loop #3 — Amazon-style (DSA + 2×HLD + Bar Raiser behavioral) — record</v>
      </c>
      <c r="G355" s="188" t="s">
        <v>496</v>
      </c>
      <c r="H355" s="39" t="n">
        <v>2</v>
      </c>
      <c r="I355" s="40" t="n">
        <v>3</v>
      </c>
      <c r="J355" s="41" t="n">
        <v>4</v>
      </c>
      <c r="K355" s="179" t="s">
        <v>1352</v>
      </c>
      <c r="L355" s="179" t="s">
        <v>1349</v>
      </c>
      <c r="M355" s="241"/>
      <c r="N355" s="316" t="str">
        <f aca="false">IF(AND(L355="🔄 SWAP ME",M355&lt;&gt;""),"⚡ SWAPPED","")</f>
        <v/>
      </c>
      <c r="O355" s="9" t="s">
        <v>1223</v>
      </c>
      <c r="P355" s="317" t="str">
        <f aca="true">IF(AND(L355="🔄 SWAP ME",M355&lt;&gt;""),TODAY(),"")</f>
        <v/>
      </c>
      <c r="Q355" s="315" t="s">
        <v>1224</v>
      </c>
    </row>
    <row r="356" customFormat="false" ht="12" hidden="false" customHeight="true" outlineLevel="0" collapsed="false">
      <c r="B356" s="321" t="s">
        <v>1425</v>
      </c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</row>
    <row r="357" customFormat="false" ht="19.5" hidden="false" customHeight="true" outlineLevel="0" collapsed="false">
      <c r="B357" s="50" t="s">
        <v>1426</v>
      </c>
      <c r="C357" s="273" t="s">
        <v>118</v>
      </c>
      <c r="D357" s="244" t="n">
        <v>46419</v>
      </c>
      <c r="E357" s="274" t="s">
        <v>623</v>
      </c>
      <c r="F357" s="37" t="str">
        <f aca="false">IF(AND(L357="🔄 SWAP ME",M357&lt;&gt;""),M357,IFERROR(INDEX($O$5:$O$375,MATCH(O357,$M$5:$M$375,0)),O357))</f>
        <v>Technical deep dive: Weakest topic — 2hr targeted study session</v>
      </c>
      <c r="G357" s="188" t="s">
        <v>496</v>
      </c>
      <c r="H357" s="39" t="n">
        <v>0.5</v>
      </c>
      <c r="I357" s="40" t="n">
        <v>1</v>
      </c>
      <c r="J357" s="41" t="n">
        <v>1.5</v>
      </c>
      <c r="K357" s="76" t="s">
        <v>1348</v>
      </c>
      <c r="L357" s="76" t="s">
        <v>1349</v>
      </c>
      <c r="M357" s="245"/>
      <c r="N357" s="63" t="str">
        <f aca="false">IF(AND(L357="🔄 SWAP ME",M357&lt;&gt;""),"⚡ SWAPPED","")</f>
        <v/>
      </c>
      <c r="O357" s="9" t="s">
        <v>1225</v>
      </c>
      <c r="P357" s="314" t="str">
        <f aca="true">IF(AND(L357="🔄 SWAP ME",M357&lt;&gt;""),TODAY(),"")</f>
        <v/>
      </c>
      <c r="Q357" s="315" t="s">
        <v>1226</v>
      </c>
    </row>
    <row r="358" customFormat="false" ht="19.5" hidden="false" customHeight="true" outlineLevel="0" collapsed="false">
      <c r="B358" s="50" t="s">
        <v>1426</v>
      </c>
      <c r="C358" s="273" t="s">
        <v>123</v>
      </c>
      <c r="D358" s="244" t="n">
        <v>46420</v>
      </c>
      <c r="E358" s="274" t="s">
        <v>623</v>
      </c>
      <c r="F358" s="37" t="str">
        <f aca="false">IF(AND(L358="🔄 SWAP ME",M358&lt;&gt;""),M358,IFERROR(INDEX($O$5:$O$375,MATCH(O358,$M$5:$M$375,0)),O358))</f>
        <v>HLD practice: Design Razorpay fintech data platform (payments, compliance, real-time)</v>
      </c>
      <c r="G358" s="188" t="s">
        <v>496</v>
      </c>
      <c r="H358" s="39" t="n">
        <v>0.5</v>
      </c>
      <c r="I358" s="40" t="n">
        <v>1</v>
      </c>
      <c r="J358" s="41" t="n">
        <v>1.5</v>
      </c>
      <c r="K358" s="76" t="s">
        <v>1348</v>
      </c>
      <c r="L358" s="76" t="s">
        <v>1349</v>
      </c>
      <c r="M358" s="245"/>
      <c r="N358" s="63" t="str">
        <f aca="false">IF(AND(L358="🔄 SWAP ME",M358&lt;&gt;""),"⚡ SWAPPED","")</f>
        <v/>
      </c>
      <c r="O358" s="9" t="s">
        <v>1227</v>
      </c>
      <c r="P358" s="314" t="str">
        <f aca="true">IF(AND(L358="🔄 SWAP ME",M358&lt;&gt;""),TODAY(),"")</f>
        <v/>
      </c>
      <c r="Q358" s="315" t="s">
        <v>1228</v>
      </c>
    </row>
    <row r="359" customFormat="false" ht="19.5" hidden="false" customHeight="true" outlineLevel="0" collapsed="false">
      <c r="B359" s="50" t="s">
        <v>1426</v>
      </c>
      <c r="C359" s="273" t="s">
        <v>126</v>
      </c>
      <c r="D359" s="244" t="n">
        <v>46421</v>
      </c>
      <c r="E359" s="274" t="s">
        <v>623</v>
      </c>
      <c r="F359" s="37" t="str">
        <f aca="false">IF(AND(L359="🔄 SWAP ME",M359&lt;&gt;""),M359,IFERROR(INDEX($O$5:$O$375,MATCH(O359,$M$5:$M$375,0)),O359))</f>
        <v>LLD practice: Rate limiter + LRU Cache — implement cleanly with tests in 45 min</v>
      </c>
      <c r="G359" s="188" t="s">
        <v>496</v>
      </c>
      <c r="H359" s="39" t="n">
        <v>0.5</v>
      </c>
      <c r="I359" s="40" t="n">
        <v>0.75</v>
      </c>
      <c r="J359" s="41" t="n">
        <v>1</v>
      </c>
      <c r="K359" s="76" t="s">
        <v>1348</v>
      </c>
      <c r="L359" s="76" t="s">
        <v>1349</v>
      </c>
      <c r="M359" s="245"/>
      <c r="N359" s="63" t="str">
        <f aca="false">IF(AND(L359="🔄 SWAP ME",M359&lt;&gt;""),"⚡ SWAPPED","")</f>
        <v/>
      </c>
      <c r="O359" s="9" t="s">
        <v>1229</v>
      </c>
      <c r="P359" s="314" t="str">
        <f aca="true">IF(AND(L359="🔄 SWAP ME",M359&lt;&gt;""),TODAY(),"")</f>
        <v/>
      </c>
      <c r="Q359" s="315" t="s">
        <v>1230</v>
      </c>
    </row>
    <row r="360" customFormat="false" ht="19.5" hidden="false" customHeight="true" outlineLevel="0" collapsed="false">
      <c r="B360" s="50" t="s">
        <v>1426</v>
      </c>
      <c r="C360" s="273" t="s">
        <v>130</v>
      </c>
      <c r="D360" s="244" t="n">
        <v>46422</v>
      </c>
      <c r="E360" s="36" t="s">
        <v>617</v>
      </c>
      <c r="F360" s="37" t="str">
        <f aca="false">IF(AND(L360="🔄 SWAP ME",M360&lt;&gt;""),M360,IFERROR(INDEX($O$5:$O$375,MATCH(O360,$M$5:$M$375,0)),O360))</f>
        <v>Salary research: Levels.fyi TC breakdown, Glassdoor India, AmbitionBox</v>
      </c>
      <c r="G360" s="188" t="s">
        <v>496</v>
      </c>
      <c r="H360" s="39" t="n">
        <v>0.5</v>
      </c>
      <c r="I360" s="40" t="n">
        <v>0.75</v>
      </c>
      <c r="J360" s="41" t="n">
        <v>1</v>
      </c>
      <c r="K360" s="76" t="s">
        <v>1348</v>
      </c>
      <c r="L360" s="76" t="s">
        <v>1349</v>
      </c>
      <c r="M360" s="245"/>
      <c r="N360" s="63" t="str">
        <f aca="false">IF(AND(L360="🔄 SWAP ME",M360&lt;&gt;""),"⚡ SWAPPED","")</f>
        <v/>
      </c>
      <c r="O360" s="9" t="s">
        <v>1231</v>
      </c>
      <c r="P360" s="314" t="str">
        <f aca="true">IF(AND(L360="🔄 SWAP ME",M360&lt;&gt;""),TODAY(),"")</f>
        <v/>
      </c>
      <c r="Q360" s="315" t="s">
        <v>1232</v>
      </c>
    </row>
    <row r="361" customFormat="false" ht="19.5" hidden="false" customHeight="true" outlineLevel="0" collapsed="false">
      <c r="B361" s="50" t="s">
        <v>1426</v>
      </c>
      <c r="C361" s="273" t="s">
        <v>133</v>
      </c>
      <c r="D361" s="244" t="n">
        <v>46423</v>
      </c>
      <c r="E361" s="274" t="s">
        <v>623</v>
      </c>
      <c r="F361" s="37" t="str">
        <f aca="false">IF(AND(L361="🔄 SWAP ME",M361&lt;&gt;""),M361,IFERROR(INDEX($O$5:$O$375,MATCH(O361,$M$5:$M$375,0)),O361))</f>
        <v>DSA: Flipkart + Amazon combined hard — 45 min, 2 hard problems</v>
      </c>
      <c r="G361" s="188" t="s">
        <v>496</v>
      </c>
      <c r="H361" s="39" t="n">
        <v>0.3</v>
      </c>
      <c r="I361" s="40" t="n">
        <v>0.5</v>
      </c>
      <c r="J361" s="41" t="n">
        <v>0.75</v>
      </c>
      <c r="K361" s="76" t="s">
        <v>1348</v>
      </c>
      <c r="L361" s="76" t="s">
        <v>1349</v>
      </c>
      <c r="M361" s="245"/>
      <c r="N361" s="63" t="str">
        <f aca="false">IF(AND(L361="🔄 SWAP ME",M361&lt;&gt;""),"⚡ SWAPPED","")</f>
        <v/>
      </c>
      <c r="O361" s="9" t="s">
        <v>1233</v>
      </c>
      <c r="P361" s="314" t="str">
        <f aca="true">IF(AND(L361="🔄 SWAP ME",M361&lt;&gt;""),TODAY(),"")</f>
        <v/>
      </c>
      <c r="Q361" s="315" t="s">
        <v>1142</v>
      </c>
    </row>
    <row r="362" customFormat="false" ht="19.5" hidden="false" customHeight="true" outlineLevel="0" collapsed="false">
      <c r="B362" s="50" t="s">
        <v>1426</v>
      </c>
      <c r="C362" s="309" t="s">
        <v>516</v>
      </c>
      <c r="D362" s="240" t="n">
        <v>46424</v>
      </c>
      <c r="E362" s="36" t="s">
        <v>617</v>
      </c>
      <c r="F362" s="178" t="str">
        <f aca="false">IF(AND(L362="🔄 SWAP ME",M362&lt;&gt;""),M362,IFERROR(INDEX($O$5:$O$375,MATCH(O362,$M$5:$M$375,0)),O362))</f>
        <v>Apply: 20 more applications + international (Singapore, Dubai, UK, Canada remote)</v>
      </c>
      <c r="G362" s="188" t="s">
        <v>496</v>
      </c>
      <c r="H362" s="39" t="n">
        <v>1</v>
      </c>
      <c r="I362" s="40" t="n">
        <v>2</v>
      </c>
      <c r="J362" s="41" t="n">
        <v>3</v>
      </c>
      <c r="K362" s="179" t="s">
        <v>1351</v>
      </c>
      <c r="L362" s="179" t="s">
        <v>1349</v>
      </c>
      <c r="M362" s="241"/>
      <c r="N362" s="316" t="str">
        <f aca="false">IF(AND(L362="🔄 SWAP ME",M362&lt;&gt;""),"⚡ SWAPPED","")</f>
        <v/>
      </c>
      <c r="O362" s="9" t="s">
        <v>1234</v>
      </c>
      <c r="P362" s="317" t="str">
        <f aca="true">IF(AND(L362="🔄 SWAP ME",M362&lt;&gt;""),TODAY(),"")</f>
        <v/>
      </c>
      <c r="Q362" s="315" t="s">
        <v>1172</v>
      </c>
    </row>
    <row r="363" customFormat="false" ht="19.5" hidden="false" customHeight="true" outlineLevel="0" collapsed="false">
      <c r="B363" s="50" t="s">
        <v>1426</v>
      </c>
      <c r="C363" s="309" t="s">
        <v>517</v>
      </c>
      <c r="D363" s="240" t="n">
        <v>46425</v>
      </c>
      <c r="E363" s="274" t="s">
        <v>623</v>
      </c>
      <c r="F363" s="178" t="str">
        <f aca="false">IF(AND(L363="🔄 SWAP ME",M363&lt;&gt;""),M363,IFERROR(INDEX($O$5:$O$375,MATCH(O363,$M$5:$M$375,0)),O363))</f>
        <v>Mock Full Loop #4 — Flipkart style (machine coding 90 min + DSA + HLD)</v>
      </c>
      <c r="G363" s="188" t="s">
        <v>496</v>
      </c>
      <c r="H363" s="39" t="n">
        <v>2</v>
      </c>
      <c r="I363" s="40" t="n">
        <v>3</v>
      </c>
      <c r="J363" s="41" t="n">
        <v>4</v>
      </c>
      <c r="K363" s="179" t="s">
        <v>1352</v>
      </c>
      <c r="L363" s="179" t="s">
        <v>1349</v>
      </c>
      <c r="M363" s="241"/>
      <c r="N363" s="316" t="str">
        <f aca="false">IF(AND(L363="🔄 SWAP ME",M363&lt;&gt;""),"⚡ SWAPPED","")</f>
        <v/>
      </c>
      <c r="O363" s="9" t="s">
        <v>1235</v>
      </c>
      <c r="P363" s="317" t="str">
        <f aca="true">IF(AND(L363="🔄 SWAP ME",M363&lt;&gt;""),TODAY(),"")</f>
        <v/>
      </c>
      <c r="Q363" s="315" t="s">
        <v>1236</v>
      </c>
    </row>
    <row r="364" customFormat="false" ht="12" hidden="false" customHeight="true" outlineLevel="0" collapsed="false">
      <c r="B364" s="321" t="s">
        <v>1427</v>
      </c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</row>
    <row r="365" customFormat="false" ht="19.5" hidden="false" customHeight="true" outlineLevel="0" collapsed="false">
      <c r="B365" s="50" t="s">
        <v>1428</v>
      </c>
      <c r="C365" s="273" t="s">
        <v>118</v>
      </c>
      <c r="D365" s="244" t="n">
        <v>46426</v>
      </c>
      <c r="E365" s="274" t="s">
        <v>623</v>
      </c>
      <c r="F365" s="37" t="str">
        <f aca="false">IF(AND(L365="🔄 SWAP ME",M365&lt;&gt;""),M365,IFERROR(INDEX($O$5:$O$375,MATCH(O365,$M$5:$M$375,0)),O365))</f>
        <v>Technical interview prep: 10 hardest DE questions — answer each in 5 min or less</v>
      </c>
      <c r="G365" s="188" t="s">
        <v>496</v>
      </c>
      <c r="H365" s="39" t="n">
        <v>0.5</v>
      </c>
      <c r="I365" s="40" t="n">
        <v>1</v>
      </c>
      <c r="J365" s="41" t="n">
        <v>1.5</v>
      </c>
      <c r="K365" s="76" t="s">
        <v>1348</v>
      </c>
      <c r="L365" s="76" t="s">
        <v>1349</v>
      </c>
      <c r="M365" s="245"/>
      <c r="N365" s="63" t="str">
        <f aca="false">IF(AND(L365="🔄 SWAP ME",M365&lt;&gt;""),"⚡ SWAPPED","")</f>
        <v/>
      </c>
      <c r="O365" s="9" t="s">
        <v>1237</v>
      </c>
      <c r="P365" s="314" t="str">
        <f aca="true">IF(AND(L365="🔄 SWAP ME",M365&lt;&gt;""),TODAY(),"")</f>
        <v/>
      </c>
      <c r="Q365" s="315" t="s">
        <v>1238</v>
      </c>
    </row>
    <row r="366" customFormat="false" ht="19.5" hidden="false" customHeight="true" outlineLevel="0" collapsed="false">
      <c r="B366" s="50" t="s">
        <v>1428</v>
      </c>
      <c r="C366" s="273" t="s">
        <v>123</v>
      </c>
      <c r="D366" s="244" t="n">
        <v>46427</v>
      </c>
      <c r="E366" s="274" t="s">
        <v>623</v>
      </c>
      <c r="F366" s="37" t="str">
        <f aca="false">IF(AND(L366="🔄 SWAP ME",M366&lt;&gt;""),M366,IFERROR(INDEX($O$5:$O$375,MATCH(O366,$M$5:$M$375,0)),O366))</f>
        <v>System design final: 3 HLD scenarios timed 45min — Zomato, PhonePe, Zepto</v>
      </c>
      <c r="G366" s="188" t="s">
        <v>496</v>
      </c>
      <c r="H366" s="39" t="n">
        <v>0.5</v>
      </c>
      <c r="I366" s="40" t="n">
        <v>1</v>
      </c>
      <c r="J366" s="41" t="n">
        <v>1.5</v>
      </c>
      <c r="K366" s="76" t="s">
        <v>1348</v>
      </c>
      <c r="L366" s="76" t="s">
        <v>1349</v>
      </c>
      <c r="M366" s="245"/>
      <c r="N366" s="63" t="str">
        <f aca="false">IF(AND(L366="🔄 SWAP ME",M366&lt;&gt;""),"⚡ SWAPPED","")</f>
        <v/>
      </c>
      <c r="O366" s="9" t="s">
        <v>1239</v>
      </c>
      <c r="P366" s="314" t="str">
        <f aca="true">IF(AND(L366="🔄 SWAP ME",M366&lt;&gt;""),TODAY(),"")</f>
        <v/>
      </c>
      <c r="Q366" s="315" t="s">
        <v>1072</v>
      </c>
    </row>
    <row r="367" customFormat="false" ht="19.5" hidden="false" customHeight="true" outlineLevel="0" collapsed="false">
      <c r="B367" s="50" t="s">
        <v>1428</v>
      </c>
      <c r="C367" s="273" t="s">
        <v>126</v>
      </c>
      <c r="D367" s="244" t="n">
        <v>46428</v>
      </c>
      <c r="E367" s="36" t="s">
        <v>617</v>
      </c>
      <c r="F367" s="37" t="str">
        <f aca="false">IF(AND(L367="🔄 SWAP ME",M367&lt;&gt;""),M367,IFERROR(INDEX($O$5:$O$375,MATCH(O367,$M$5:$M$375,0)),O367))</f>
        <v>Negotiate: counter-offer scripts, equity breakdown, joining bonus, ESOP vesting</v>
      </c>
      <c r="G367" s="188" t="s">
        <v>496</v>
      </c>
      <c r="H367" s="39" t="n">
        <v>0.5</v>
      </c>
      <c r="I367" s="40" t="n">
        <v>0.75</v>
      </c>
      <c r="J367" s="41" t="n">
        <v>1</v>
      </c>
      <c r="K367" s="76" t="s">
        <v>1348</v>
      </c>
      <c r="L367" s="76" t="s">
        <v>1349</v>
      </c>
      <c r="M367" s="245"/>
      <c r="N367" s="63" t="str">
        <f aca="false">IF(AND(L367="🔄 SWAP ME",M367&lt;&gt;""),"⚡ SWAPPED","")</f>
        <v/>
      </c>
      <c r="O367" s="9" t="s">
        <v>1240</v>
      </c>
      <c r="P367" s="314" t="str">
        <f aca="true">IF(AND(L367="🔄 SWAP ME",M367&lt;&gt;""),TODAY(),"")</f>
        <v/>
      </c>
      <c r="Q367" s="315" t="s">
        <v>1241</v>
      </c>
    </row>
    <row r="368" customFormat="false" ht="19.5" hidden="false" customHeight="true" outlineLevel="0" collapsed="false">
      <c r="B368" s="50" t="s">
        <v>1428</v>
      </c>
      <c r="C368" s="273" t="s">
        <v>130</v>
      </c>
      <c r="D368" s="244" t="n">
        <v>46429</v>
      </c>
      <c r="E368" s="36" t="s">
        <v>617</v>
      </c>
      <c r="F368" s="37" t="str">
        <f aca="false">IF(AND(L368="🔄 SWAP ME",M368&lt;&gt;""),M368,IFERROR(INDEX($O$5:$O$375,MATCH(O368,$M$5:$M$375,0)),O368))</f>
        <v>Portfolio final push: LinkedIn post, GitHub stars, 7 cert badges on profile</v>
      </c>
      <c r="G368" s="188" t="s">
        <v>496</v>
      </c>
      <c r="H368" s="39" t="n">
        <v>0.5</v>
      </c>
      <c r="I368" s="40" t="n">
        <v>0.75</v>
      </c>
      <c r="J368" s="41" t="n">
        <v>1</v>
      </c>
      <c r="K368" s="76" t="s">
        <v>1348</v>
      </c>
      <c r="L368" s="76" t="s">
        <v>1349</v>
      </c>
      <c r="M368" s="245"/>
      <c r="N368" s="63" t="str">
        <f aca="false">IF(AND(L368="🔄 SWAP ME",M368&lt;&gt;""),"⚡ SWAPPED","")</f>
        <v/>
      </c>
      <c r="O368" s="9" t="s">
        <v>1242</v>
      </c>
      <c r="P368" s="314" t="str">
        <f aca="true">IF(AND(L368="🔄 SWAP ME",M368&lt;&gt;""),TODAY(),"")</f>
        <v/>
      </c>
      <c r="Q368" s="315" t="s">
        <v>1243</v>
      </c>
    </row>
    <row r="369" customFormat="false" ht="19.5" hidden="false" customHeight="true" outlineLevel="0" collapsed="false">
      <c r="B369" s="50" t="s">
        <v>1428</v>
      </c>
      <c r="C369" s="273" t="s">
        <v>133</v>
      </c>
      <c r="D369" s="244" t="n">
        <v>46430</v>
      </c>
      <c r="E369" s="274" t="s">
        <v>623</v>
      </c>
      <c r="F369" s="37" t="str">
        <f aca="false">IF(AND(L369="🔄 SWAP ME",M369&lt;&gt;""),M369,IFERROR(INDEX($O$5:$O$375,MATCH(O369,$M$5:$M$375,0)),O369))</f>
        <v>DSA: Final 45 min hard mock — record yourself, no hints</v>
      </c>
      <c r="G369" s="188" t="s">
        <v>496</v>
      </c>
      <c r="H369" s="39" t="n">
        <v>0.3</v>
      </c>
      <c r="I369" s="40" t="n">
        <v>0.5</v>
      </c>
      <c r="J369" s="41" t="n">
        <v>0.75</v>
      </c>
      <c r="K369" s="76" t="s">
        <v>1348</v>
      </c>
      <c r="L369" s="76" t="s">
        <v>1349</v>
      </c>
      <c r="M369" s="245"/>
      <c r="N369" s="63" t="str">
        <f aca="false">IF(AND(L369="🔄 SWAP ME",M369&lt;&gt;""),"⚡ SWAPPED","")</f>
        <v/>
      </c>
      <c r="O369" s="9" t="s">
        <v>1244</v>
      </c>
      <c r="P369" s="314" t="str">
        <f aca="true">IF(AND(L369="🔄 SWAP ME",M369&lt;&gt;""),TODAY(),"")</f>
        <v/>
      </c>
      <c r="Q369" s="315" t="s">
        <v>1245</v>
      </c>
    </row>
    <row r="370" customFormat="false" ht="19.5" hidden="false" customHeight="true" outlineLevel="0" collapsed="false">
      <c r="B370" s="50" t="s">
        <v>1428</v>
      </c>
      <c r="C370" s="309" t="s">
        <v>516</v>
      </c>
      <c r="D370" s="240" t="n">
        <v>46431</v>
      </c>
      <c r="E370" s="36" t="s">
        <v>617</v>
      </c>
      <c r="F370" s="178" t="str">
        <f aca="false">IF(AND(L370="🔄 SWAP ME",M370&lt;&gt;""),M370,IFERROR(INDEX($O$5:$O$375,MATCH(O370,$M$5:$M$375,0)),O370))</f>
        <v>Apply: Final batch — 20 more (aim 80+ total applications by this week)</v>
      </c>
      <c r="G370" s="188" t="s">
        <v>496</v>
      </c>
      <c r="H370" s="39" t="n">
        <v>1</v>
      </c>
      <c r="I370" s="40" t="n">
        <v>2</v>
      </c>
      <c r="J370" s="41" t="n">
        <v>3</v>
      </c>
      <c r="K370" s="179" t="s">
        <v>1351</v>
      </c>
      <c r="L370" s="179" t="s">
        <v>1349</v>
      </c>
      <c r="M370" s="241"/>
      <c r="N370" s="316" t="str">
        <f aca="false">IF(AND(L370="🔄 SWAP ME",M370&lt;&gt;""),"⚡ SWAPPED","")</f>
        <v/>
      </c>
      <c r="O370" s="9" t="s">
        <v>1246</v>
      </c>
      <c r="P370" s="317" t="str">
        <f aca="true">IF(AND(L370="🔄 SWAP ME",M370&lt;&gt;""),TODAY(),"")</f>
        <v/>
      </c>
      <c r="Q370" s="315" t="s">
        <v>1247</v>
      </c>
    </row>
    <row r="371" customFormat="false" ht="19.5" hidden="false" customHeight="true" outlineLevel="0" collapsed="false">
      <c r="B371" s="50" t="s">
        <v>1428</v>
      </c>
      <c r="C371" s="309" t="s">
        <v>517</v>
      </c>
      <c r="D371" s="240" t="n">
        <v>46432</v>
      </c>
      <c r="E371" s="274" t="s">
        <v>623</v>
      </c>
      <c r="F371" s="178" t="str">
        <f aca="false">IF(AND(L371="🔄 SWAP ME",M371&lt;&gt;""),M371,IFERROR(INDEX($O$5:$O$375,MATCH(O371,$M$5:$M$375,0)),O371))</f>
        <v>Mock Full Loop #5 — Microsoft style (coding + technical depth + behavioral)</v>
      </c>
      <c r="G371" s="188" t="s">
        <v>496</v>
      </c>
      <c r="H371" s="39" t="n">
        <v>2</v>
      </c>
      <c r="I371" s="40" t="n">
        <v>3</v>
      </c>
      <c r="J371" s="41" t="n">
        <v>4</v>
      </c>
      <c r="K371" s="179" t="s">
        <v>1352</v>
      </c>
      <c r="L371" s="179" t="s">
        <v>1349</v>
      </c>
      <c r="M371" s="241"/>
      <c r="N371" s="316" t="str">
        <f aca="false">IF(AND(L371="🔄 SWAP ME",M371&lt;&gt;""),"⚡ SWAPPED","")</f>
        <v/>
      </c>
      <c r="O371" s="9" t="s">
        <v>1248</v>
      </c>
      <c r="P371" s="317" t="str">
        <f aca="true">IF(AND(L371="🔄 SWAP ME",M371&lt;&gt;""),TODAY(),"")</f>
        <v/>
      </c>
      <c r="Q371" s="315" t="s">
        <v>1249</v>
      </c>
    </row>
    <row r="372" customFormat="false" ht="12" hidden="false" customHeight="true" outlineLevel="0" collapsed="false">
      <c r="B372" s="321" t="s">
        <v>1429</v>
      </c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</row>
    <row r="373" customFormat="false" ht="19.5" hidden="false" customHeight="true" outlineLevel="0" collapsed="false">
      <c r="B373" s="50" t="s">
        <v>1430</v>
      </c>
      <c r="C373" s="273" t="s">
        <v>118</v>
      </c>
      <c r="D373" s="244" t="n">
        <v>46433</v>
      </c>
      <c r="E373" s="36" t="s">
        <v>617</v>
      </c>
      <c r="F373" s="37" t="str">
        <f aca="false">IF(AND(L373="🔄 SWAP ME",M373&lt;&gt;""),M373,IFERROR(INDEX($O$5:$O$375,MATCH(O373,$M$5:$M$375,0)),O373))</f>
        <v>Review interview feedback — identify top 3 gaps, 2-hr targeted study</v>
      </c>
      <c r="G373" s="188" t="s">
        <v>496</v>
      </c>
      <c r="H373" s="39" t="n">
        <v>0.5</v>
      </c>
      <c r="I373" s="40" t="n">
        <v>1</v>
      </c>
      <c r="J373" s="41" t="n">
        <v>1.5</v>
      </c>
      <c r="K373" s="76" t="s">
        <v>1348</v>
      </c>
      <c r="L373" s="76" t="s">
        <v>1349</v>
      </c>
      <c r="M373" s="245"/>
      <c r="N373" s="63" t="str">
        <f aca="false">IF(AND(L373="🔄 SWAP ME",M373&lt;&gt;""),"⚡ SWAPPED","")</f>
        <v/>
      </c>
      <c r="O373" s="9" t="s">
        <v>1250</v>
      </c>
      <c r="P373" s="314" t="str">
        <f aca="true">IF(AND(L373="🔄 SWAP ME",M373&lt;&gt;""),TODAY(),"")</f>
        <v/>
      </c>
      <c r="Q373" s="315" t="s">
        <v>1251</v>
      </c>
    </row>
    <row r="374" customFormat="false" ht="19.5" hidden="false" customHeight="true" outlineLevel="0" collapsed="false">
      <c r="B374" s="50" t="s">
        <v>1430</v>
      </c>
      <c r="C374" s="273" t="s">
        <v>123</v>
      </c>
      <c r="D374" s="244" t="n">
        <v>46434</v>
      </c>
      <c r="E374" s="274" t="s">
        <v>623</v>
      </c>
      <c r="F374" s="37" t="str">
        <f aca="false">IF(AND(L374="🔄 SWAP ME",M374&lt;&gt;""),M374,IFERROR(INDEX($O$5:$O$375,MATCH(O374,$M$5:$M$375,0)),O374))</f>
        <v>Final HLD: Design data platform for a company you are actually interviewing at</v>
      </c>
      <c r="G374" s="188" t="s">
        <v>496</v>
      </c>
      <c r="H374" s="39" t="n">
        <v>0.5</v>
      </c>
      <c r="I374" s="40" t="n">
        <v>1</v>
      </c>
      <c r="J374" s="41" t="n">
        <v>1.5</v>
      </c>
      <c r="K374" s="76" t="s">
        <v>1348</v>
      </c>
      <c r="L374" s="76" t="s">
        <v>1349</v>
      </c>
      <c r="M374" s="245"/>
      <c r="N374" s="63" t="str">
        <f aca="false">IF(AND(L374="🔄 SWAP ME",M374&lt;&gt;""),"⚡ SWAPPED","")</f>
        <v/>
      </c>
      <c r="O374" s="9" t="s">
        <v>1252</v>
      </c>
      <c r="P374" s="314" t="str">
        <f aca="true">IF(AND(L374="🔄 SWAP ME",M374&lt;&gt;""),TODAY(),"")</f>
        <v/>
      </c>
      <c r="Q374" s="315" t="s">
        <v>1253</v>
      </c>
    </row>
    <row r="375" customFormat="false" ht="19.5" hidden="false" customHeight="true" outlineLevel="0" collapsed="false">
      <c r="B375" s="50" t="s">
        <v>1430</v>
      </c>
      <c r="C375" s="273" t="s">
        <v>126</v>
      </c>
      <c r="D375" s="244" t="n">
        <v>46435</v>
      </c>
      <c r="E375" s="274" t="s">
        <v>623</v>
      </c>
      <c r="F375" s="37" t="str">
        <f aca="false">IF(AND(L375="🔄 SWAP ME",M375&lt;&gt;""),M375,IFERROR(INDEX($O$5:$O$375,MATCH(O375,$M$5:$M$375,0)),O375))</f>
        <v>Behavioral polish: Re-record all 15 LP stories, time each to 2 min exactly</v>
      </c>
      <c r="G375" s="188" t="s">
        <v>496</v>
      </c>
      <c r="H375" s="39" t="n">
        <v>0.5</v>
      </c>
      <c r="I375" s="40" t="n">
        <v>0.75</v>
      </c>
      <c r="J375" s="41" t="n">
        <v>1</v>
      </c>
      <c r="K375" s="76" t="s">
        <v>1348</v>
      </c>
      <c r="L375" s="76" t="s">
        <v>1349</v>
      </c>
      <c r="M375" s="245"/>
      <c r="N375" s="63" t="str">
        <f aca="false">IF(AND(L375="🔄 SWAP ME",M375&lt;&gt;""),"⚡ SWAPPED","")</f>
        <v/>
      </c>
      <c r="O375" s="9" t="s">
        <v>1254</v>
      </c>
      <c r="P375" s="314" t="str">
        <f aca="true">IF(AND(L375="🔄 SWAP ME",M375&lt;&gt;""),TODAY(),"")</f>
        <v/>
      </c>
      <c r="Q375" s="315" t="s">
        <v>1255</v>
      </c>
    </row>
    <row r="376" customFormat="false" ht="19.5" hidden="false" customHeight="true" outlineLevel="0" collapsed="false">
      <c r="B376" s="50" t="s">
        <v>1430</v>
      </c>
      <c r="C376" s="273" t="s">
        <v>130</v>
      </c>
      <c r="D376" s="244" t="n">
        <v>46436</v>
      </c>
      <c r="E376" s="274" t="s">
        <v>623</v>
      </c>
      <c r="F376" s="37" t="str">
        <f aca="false">IF(AND(L376="🔄 SWAP ME",M376&lt;&gt;""),M376,IFERROR(INDEX($O$5:$O$375,MATCH(O376,$M$5:$M$375,0)),O376))</f>
        <v>DSA final review: Top 20 problems across Amazon/Flipkart — solve once more</v>
      </c>
      <c r="G376" s="188" t="s">
        <v>496</v>
      </c>
      <c r="H376" s="39" t="n">
        <v>0.5</v>
      </c>
      <c r="I376" s="40" t="n">
        <v>1</v>
      </c>
      <c r="J376" s="41" t="n">
        <v>1.5</v>
      </c>
      <c r="K376" s="76" t="s">
        <v>1348</v>
      </c>
      <c r="L376" s="76" t="s">
        <v>1349</v>
      </c>
      <c r="M376" s="245"/>
      <c r="N376" s="63" t="str">
        <f aca="false">IF(AND(L376="🔄 SWAP ME",M376&lt;&gt;""),"⚡ SWAPPED","")</f>
        <v/>
      </c>
      <c r="O376" s="9" t="s">
        <v>1256</v>
      </c>
      <c r="P376" s="314" t="str">
        <f aca="true">IF(AND(L376="🔄 SWAP ME",M376&lt;&gt;""),TODAY(),"")</f>
        <v/>
      </c>
      <c r="Q376" s="315" t="s">
        <v>1257</v>
      </c>
    </row>
    <row r="377" customFormat="false" ht="19.5" hidden="false" customHeight="true" outlineLevel="0" collapsed="false">
      <c r="B377" s="50" t="s">
        <v>1430</v>
      </c>
      <c r="C377" s="273" t="s">
        <v>133</v>
      </c>
      <c r="D377" s="244" t="n">
        <v>46437</v>
      </c>
      <c r="E377" s="274" t="s">
        <v>623</v>
      </c>
      <c r="F377" s="37" t="str">
        <f aca="false">IF(AND(L377="🔄 SWAP ME",M377&lt;&gt;""),M377,IFERROR(INDEX($O$5:$O$375,MATCH(O377,$M$5:$M$375,0)),O377))</f>
        <v>DSA: 45 min final mock — clean code, edge cases, complexity analysis</v>
      </c>
      <c r="G377" s="188" t="s">
        <v>496</v>
      </c>
      <c r="H377" s="39" t="n">
        <v>0.3</v>
      </c>
      <c r="I377" s="40" t="n">
        <v>0.5</v>
      </c>
      <c r="J377" s="41" t="n">
        <v>0.75</v>
      </c>
      <c r="K377" s="76" t="s">
        <v>1348</v>
      </c>
      <c r="L377" s="76" t="s">
        <v>1349</v>
      </c>
      <c r="M377" s="245"/>
      <c r="N377" s="63" t="str">
        <f aca="false">IF(AND(L377="🔄 SWAP ME",M377&lt;&gt;""),"⚡ SWAPPED","")</f>
        <v/>
      </c>
      <c r="O377" s="9" t="s">
        <v>1258</v>
      </c>
      <c r="P377" s="314" t="str">
        <f aca="true">IF(AND(L377="🔄 SWAP ME",M377&lt;&gt;""),TODAY(),"")</f>
        <v/>
      </c>
      <c r="Q377" s="315" t="s">
        <v>1259</v>
      </c>
    </row>
    <row r="378" customFormat="false" ht="19.5" hidden="false" customHeight="true" outlineLevel="0" collapsed="false">
      <c r="B378" s="50" t="s">
        <v>1430</v>
      </c>
      <c r="C378" s="309" t="s">
        <v>516</v>
      </c>
      <c r="D378" s="240" t="n">
        <v>46438</v>
      </c>
      <c r="E378" s="36" t="s">
        <v>617</v>
      </c>
      <c r="F378" s="178" t="str">
        <f aca="false">IF(AND(L378="🔄 SWAP ME",M378&lt;&gt;""),M378,IFERROR(INDEX($O$5:$O$375,MATCH(O378,$M$5:$M$375,0)),O378))</f>
        <v>🎉 Week 47 milestone: All 7 certs earned, 35+ projects built, 80+ applications sent!</v>
      </c>
      <c r="G378" s="188" t="s">
        <v>496</v>
      </c>
      <c r="H378" s="39" t="n">
        <v>1</v>
      </c>
      <c r="I378" s="40" t="n">
        <v>2</v>
      </c>
      <c r="J378" s="41" t="n">
        <v>3</v>
      </c>
      <c r="K378" s="179" t="s">
        <v>1351</v>
      </c>
      <c r="L378" s="179" t="s">
        <v>1349</v>
      </c>
      <c r="M378" s="241"/>
      <c r="N378" s="316" t="str">
        <f aca="false">IF(AND(L378="🔄 SWAP ME",M378&lt;&gt;""),"⚡ SWAPPED","")</f>
        <v/>
      </c>
      <c r="O378" s="9" t="s">
        <v>1260</v>
      </c>
      <c r="P378" s="317" t="str">
        <f aca="true">IF(AND(L378="🔄 SWAP ME",M378&lt;&gt;""),TODAY(),"")</f>
        <v/>
      </c>
      <c r="Q378" s="315" t="s">
        <v>1261</v>
      </c>
    </row>
    <row r="379" customFormat="false" ht="19.5" hidden="false" customHeight="true" outlineLevel="0" collapsed="false">
      <c r="B379" s="50" t="s">
        <v>1430</v>
      </c>
      <c r="C379" s="309" t="s">
        <v>517</v>
      </c>
      <c r="D379" s="240" t="n">
        <v>46439</v>
      </c>
      <c r="E379" s="183" t="s">
        <v>626</v>
      </c>
      <c r="F379" s="178" t="str">
        <f aca="false">IF(AND(L379="🔄 SWAP ME",M379&lt;&gt;""),M379,IFERROR(INDEX($O$5:$O$375,MATCH(O379,$M$5:$M$375,0)),O379))</f>
        <v>Continue applying, interviewing, negotiating — roadmap complete, keep going!</v>
      </c>
      <c r="G379" s="188" t="s">
        <v>496</v>
      </c>
      <c r="H379" s="39" t="n">
        <v>1</v>
      </c>
      <c r="I379" s="40" t="n">
        <v>2</v>
      </c>
      <c r="J379" s="41" t="n">
        <v>3</v>
      </c>
      <c r="K379" s="179" t="s">
        <v>1351</v>
      </c>
      <c r="L379" s="179" t="s">
        <v>1349</v>
      </c>
      <c r="M379" s="241"/>
      <c r="N379" s="316" t="str">
        <f aca="false">IF(AND(L379="🔄 SWAP ME",M379&lt;&gt;""),"⚡ SWAPPED","")</f>
        <v/>
      </c>
      <c r="O379" s="9" t="s">
        <v>1262</v>
      </c>
      <c r="P379" s="317" t="str">
        <f aca="true">IF(AND(L379="🔄 SWAP ME",M379&lt;&gt;""),TODAY(),"")</f>
        <v/>
      </c>
      <c r="Q379" s="315" t="s">
        <v>1263</v>
      </c>
    </row>
    <row r="380" customFormat="false" ht="12" hidden="false" customHeight="true" outlineLevel="0" collapsed="false">
      <c r="B380" s="321" t="s">
        <v>1431</v>
      </c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</row>
    <row r="381" customFormat="false" ht="19.5" hidden="false" customHeight="true" outlineLevel="0" collapsed="false">
      <c r="B381" s="50" t="s">
        <v>1432</v>
      </c>
      <c r="C381" s="273" t="s">
        <v>118</v>
      </c>
      <c r="D381" s="244" t="n">
        <v>46440</v>
      </c>
      <c r="E381" s="36" t="s">
        <v>617</v>
      </c>
      <c r="F381" s="37" t="str">
        <f aca="false">IF(AND(L381="🔄 SWAP ME",M381&lt;&gt;""),M381,IFERROR(INDEX($O$5:$O$375,MATCH(O381,$M$5:$M$375,0)),O381))</f>
        <v>Buffer: Re-study weakest module based on real interview feedback</v>
      </c>
      <c r="G381" s="188" t="s">
        <v>496</v>
      </c>
      <c r="H381" s="39" t="n">
        <v>0.5</v>
      </c>
      <c r="I381" s="40" t="n">
        <v>1</v>
      </c>
      <c r="J381" s="41" t="n">
        <v>1.5</v>
      </c>
      <c r="K381" s="76" t="s">
        <v>1348</v>
      </c>
      <c r="L381" s="76" t="s">
        <v>1349</v>
      </c>
      <c r="M381" s="245"/>
      <c r="N381" s="63" t="str">
        <f aca="false">IF(AND(L381="🔄 SWAP ME",M381&lt;&gt;""),"⚡ SWAPPED","")</f>
        <v/>
      </c>
      <c r="O381" s="9" t="s">
        <v>1264</v>
      </c>
      <c r="P381" s="314" t="str">
        <f aca="true">IF(AND(L381="🔄 SWAP ME",M381&lt;&gt;""),TODAY(),"")</f>
        <v/>
      </c>
      <c r="Q381" s="315" t="s">
        <v>1265</v>
      </c>
    </row>
    <row r="382" customFormat="false" ht="19.5" hidden="false" customHeight="true" outlineLevel="0" collapsed="false">
      <c r="B382" s="50" t="s">
        <v>1432</v>
      </c>
      <c r="C382" s="273" t="s">
        <v>123</v>
      </c>
      <c r="D382" s="244" t="n">
        <v>46441</v>
      </c>
      <c r="E382" s="274" t="s">
        <v>623</v>
      </c>
      <c r="F382" s="37" t="str">
        <f aca="false">IF(AND(L382="🔄 SWAP ME",M382&lt;&gt;""),M382,IFERROR(INDEX($O$5:$O$375,MATCH(O382,$M$5:$M$375,0)),O382))</f>
        <v>Buffer: Company-specific deep prep for scheduled interviews</v>
      </c>
      <c r="G382" s="188" t="s">
        <v>496</v>
      </c>
      <c r="H382" s="39" t="n">
        <v>0.5</v>
      </c>
      <c r="I382" s="40" t="n">
        <v>1</v>
      </c>
      <c r="J382" s="41" t="n">
        <v>1.5</v>
      </c>
      <c r="K382" s="76" t="s">
        <v>1348</v>
      </c>
      <c r="L382" s="76" t="s">
        <v>1349</v>
      </c>
      <c r="M382" s="245"/>
      <c r="N382" s="63" t="str">
        <f aca="false">IF(AND(L382="🔄 SWAP ME",M382&lt;&gt;""),"⚡ SWAPPED","")</f>
        <v/>
      </c>
      <c r="O382" s="9" t="s">
        <v>1266</v>
      </c>
      <c r="P382" s="314" t="str">
        <f aca="true">IF(AND(L382="🔄 SWAP ME",M382&lt;&gt;""),TODAY(),"")</f>
        <v/>
      </c>
      <c r="Q382" s="315" t="s">
        <v>1267</v>
      </c>
    </row>
    <row r="383" customFormat="false" ht="19.5" hidden="false" customHeight="true" outlineLevel="0" collapsed="false">
      <c r="B383" s="50" t="s">
        <v>1432</v>
      </c>
      <c r="C383" s="273" t="s">
        <v>126</v>
      </c>
      <c r="D383" s="244" t="n">
        <v>46442</v>
      </c>
      <c r="E383" s="274" t="s">
        <v>623</v>
      </c>
      <c r="F383" s="37" t="str">
        <f aca="false">IF(AND(L383="🔄 SWAP ME",M383&lt;&gt;""),M383,IFERROR(INDEX($O$5:$O$375,MATCH(O383,$M$5:$M$375,0)),O383))</f>
        <v>Buffer: DSA patterns still weak — targeted practice</v>
      </c>
      <c r="G383" s="188" t="s">
        <v>496</v>
      </c>
      <c r="H383" s="39" t="n">
        <v>0.5</v>
      </c>
      <c r="I383" s="40" t="n">
        <v>1</v>
      </c>
      <c r="J383" s="41" t="n">
        <v>1.5</v>
      </c>
      <c r="K383" s="76" t="s">
        <v>1348</v>
      </c>
      <c r="L383" s="76" t="s">
        <v>1349</v>
      </c>
      <c r="M383" s="245"/>
      <c r="N383" s="63" t="str">
        <f aca="false">IF(AND(L383="🔄 SWAP ME",M383&lt;&gt;""),"⚡ SWAPPED","")</f>
        <v/>
      </c>
      <c r="O383" s="9" t="s">
        <v>1268</v>
      </c>
      <c r="P383" s="314" t="str">
        <f aca="true">IF(AND(L383="🔄 SWAP ME",M383&lt;&gt;""),TODAY(),"")</f>
        <v/>
      </c>
      <c r="Q383" s="315" t="s">
        <v>1269</v>
      </c>
    </row>
    <row r="384" customFormat="false" ht="19.5" hidden="false" customHeight="true" outlineLevel="0" collapsed="false">
      <c r="B384" s="50" t="s">
        <v>1432</v>
      </c>
      <c r="C384" s="273" t="s">
        <v>130</v>
      </c>
      <c r="D384" s="244" t="n">
        <v>46443</v>
      </c>
      <c r="E384" s="36" t="s">
        <v>617</v>
      </c>
      <c r="F384" s="37" t="str">
        <f aca="false">IF(AND(L384="🔄 SWAP ME",M384&lt;&gt;""),M384,IFERROR(INDEX($O$5:$O$375,MATCH(O384,$M$5:$M$375,0)),O384))</f>
        <v>Buffer: Cert renewal or new cert (AZ-204 Azure AI Engineer if desired)</v>
      </c>
      <c r="G384" s="188" t="s">
        <v>496</v>
      </c>
      <c r="H384" s="39" t="n">
        <v>0.5</v>
      </c>
      <c r="I384" s="40" t="n">
        <v>1</v>
      </c>
      <c r="J384" s="41" t="n">
        <v>2</v>
      </c>
      <c r="K384" s="76" t="s">
        <v>1348</v>
      </c>
      <c r="L384" s="76" t="s">
        <v>1349</v>
      </c>
      <c r="M384" s="245"/>
      <c r="N384" s="63" t="str">
        <f aca="false">IF(AND(L384="🔄 SWAP ME",M384&lt;&gt;""),"⚡ SWAPPED","")</f>
        <v/>
      </c>
      <c r="O384" s="9" t="s">
        <v>1270</v>
      </c>
      <c r="P384" s="314" t="str">
        <f aca="true">IF(AND(L384="🔄 SWAP ME",M384&lt;&gt;""),TODAY(),"")</f>
        <v/>
      </c>
      <c r="Q384" s="315" t="s">
        <v>1271</v>
      </c>
    </row>
    <row r="385" customFormat="false" ht="19.5" hidden="false" customHeight="true" outlineLevel="0" collapsed="false">
      <c r="B385" s="50" t="s">
        <v>1432</v>
      </c>
      <c r="C385" s="273" t="s">
        <v>133</v>
      </c>
      <c r="D385" s="244" t="n">
        <v>46444</v>
      </c>
      <c r="E385" s="274" t="s">
        <v>623</v>
      </c>
      <c r="F385" s="37" t="str">
        <f aca="false">IF(AND(L385="🔄 SWAP ME",M385&lt;&gt;""),M385,IFERROR(INDEX($O$5:$O$375,MATCH(O385,$M$5:$M$375,0)),O385))</f>
        <v>DSA: 45 min timed mock — company-specific</v>
      </c>
      <c r="G385" s="188" t="s">
        <v>496</v>
      </c>
      <c r="H385" s="39" t="n">
        <v>0.3</v>
      </c>
      <c r="I385" s="40" t="n">
        <v>0.5</v>
      </c>
      <c r="J385" s="41" t="n">
        <v>0.75</v>
      </c>
      <c r="K385" s="76" t="s">
        <v>1348</v>
      </c>
      <c r="L385" s="76" t="s">
        <v>1349</v>
      </c>
      <c r="M385" s="245"/>
      <c r="N385" s="63" t="str">
        <f aca="false">IF(AND(L385="🔄 SWAP ME",M385&lt;&gt;""),"⚡ SWAPPED","")</f>
        <v/>
      </c>
      <c r="O385" s="9" t="s">
        <v>1272</v>
      </c>
      <c r="P385" s="314" t="str">
        <f aca="true">IF(AND(L385="🔄 SWAP ME",M385&lt;&gt;""),TODAY(),"")</f>
        <v/>
      </c>
      <c r="Q385" s="315" t="s">
        <v>1273</v>
      </c>
    </row>
    <row r="386" customFormat="false" ht="19.5" hidden="false" customHeight="true" outlineLevel="0" collapsed="false">
      <c r="B386" s="50" t="s">
        <v>1432</v>
      </c>
      <c r="C386" s="309" t="s">
        <v>516</v>
      </c>
      <c r="D386" s="240" t="n">
        <v>46445</v>
      </c>
      <c r="E386" s="36" t="s">
        <v>617</v>
      </c>
      <c r="F386" s="178" t="str">
        <f aca="false">IF(AND(L386="🔄 SWAP ME",M386&lt;&gt;""),M386,IFERROR(INDEX($O$5:$O$375,MATCH(O386,$M$5:$M$375,0)),O386))</f>
        <v>Follow up on pending applications, schedule interviews</v>
      </c>
      <c r="G386" s="188" t="s">
        <v>496</v>
      </c>
      <c r="H386" s="39" t="n">
        <v>1</v>
      </c>
      <c r="I386" s="40" t="n">
        <v>1.5</v>
      </c>
      <c r="J386" s="41" t="n">
        <v>2</v>
      </c>
      <c r="K386" s="179" t="s">
        <v>1351</v>
      </c>
      <c r="L386" s="179" t="s">
        <v>1349</v>
      </c>
      <c r="M386" s="241"/>
      <c r="N386" s="316" t="str">
        <f aca="false">IF(AND(L386="🔄 SWAP ME",M386&lt;&gt;""),"⚡ SWAPPED","")</f>
        <v/>
      </c>
      <c r="O386" s="9" t="s">
        <v>1274</v>
      </c>
      <c r="P386" s="317" t="str">
        <f aca="true">IF(AND(L386="🔄 SWAP ME",M386&lt;&gt;""),TODAY(),"")</f>
        <v/>
      </c>
      <c r="Q386" s="315" t="s">
        <v>1275</v>
      </c>
    </row>
    <row r="387" customFormat="false" ht="19.5" hidden="false" customHeight="true" outlineLevel="0" collapsed="false">
      <c r="B387" s="50" t="s">
        <v>1432</v>
      </c>
      <c r="C387" s="309" t="s">
        <v>517</v>
      </c>
      <c r="D387" s="240" t="n">
        <v>46446</v>
      </c>
      <c r="E387" s="274" t="s">
        <v>623</v>
      </c>
      <c r="F387" s="178" t="str">
        <f aca="false">IF(AND(L387="🔄 SWAP ME",M387&lt;&gt;""),M387,IFERROR(INDEX($O$5:$O$375,MATCH(O387,$M$5:$M$375,0)),O387))</f>
        <v>Mock loop if needed — full 2-hr loop with peer for upcoming interview</v>
      </c>
      <c r="G387" s="188" t="s">
        <v>496</v>
      </c>
      <c r="H387" s="39" t="n">
        <v>2</v>
      </c>
      <c r="I387" s="40" t="n">
        <v>3</v>
      </c>
      <c r="J387" s="41" t="n">
        <v>4</v>
      </c>
      <c r="K387" s="179" t="s">
        <v>1352</v>
      </c>
      <c r="L387" s="179" t="s">
        <v>1349</v>
      </c>
      <c r="M387" s="241"/>
      <c r="N387" s="316" t="str">
        <f aca="false">IF(AND(L387="🔄 SWAP ME",M387&lt;&gt;""),"⚡ SWAPPED","")</f>
        <v/>
      </c>
      <c r="O387" s="9" t="s">
        <v>1276</v>
      </c>
      <c r="P387" s="317" t="str">
        <f aca="true">IF(AND(L387="🔄 SWAP ME",M387&lt;&gt;""),TODAY(),"")</f>
        <v/>
      </c>
      <c r="Q387" s="315" t="s">
        <v>1277</v>
      </c>
    </row>
    <row r="388" customFormat="false" ht="12" hidden="false" customHeight="true" outlineLevel="0" collapsed="false">
      <c r="B388" s="321" t="s">
        <v>1433</v>
      </c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</row>
    <row r="389" customFormat="false" ht="19.5" hidden="false" customHeight="true" outlineLevel="0" collapsed="false">
      <c r="B389" s="50" t="s">
        <v>1434</v>
      </c>
      <c r="C389" s="273" t="s">
        <v>118</v>
      </c>
      <c r="D389" s="244" t="n">
        <v>46447</v>
      </c>
      <c r="E389" s="36" t="s">
        <v>617</v>
      </c>
      <c r="F389" s="37" t="str">
        <f aca="false">IF(AND(L389="🔄 SWAP ME",M389&lt;&gt;""),M389,IFERROR(INDEX($O$5:$O$375,MATCH(O389,$M$5:$M$375,0)),O389))</f>
        <v>Advanced: Spark 3.5 new features, Flink 1.20 updates, Fabric new releases</v>
      </c>
      <c r="G389" s="188" t="s">
        <v>496</v>
      </c>
      <c r="H389" s="39" t="n">
        <v>0.5</v>
      </c>
      <c r="I389" s="40" t="n">
        <v>0.75</v>
      </c>
      <c r="J389" s="41" t="n">
        <v>1</v>
      </c>
      <c r="K389" s="76" t="s">
        <v>1348</v>
      </c>
      <c r="L389" s="76" t="s">
        <v>1349</v>
      </c>
      <c r="M389" s="245"/>
      <c r="N389" s="63" t="str">
        <f aca="false">IF(AND(L389="🔄 SWAP ME",M389&lt;&gt;""),"⚡ SWAPPED","")</f>
        <v/>
      </c>
      <c r="O389" s="9" t="s">
        <v>1278</v>
      </c>
      <c r="P389" s="314" t="str">
        <f aca="true">IF(AND(L389="🔄 SWAP ME",M389&lt;&gt;""),TODAY(),"")</f>
        <v/>
      </c>
      <c r="Q389" s="315" t="s">
        <v>1279</v>
      </c>
    </row>
    <row r="390" customFormat="false" ht="19.5" hidden="false" customHeight="true" outlineLevel="0" collapsed="false">
      <c r="B390" s="50" t="s">
        <v>1434</v>
      </c>
      <c r="C390" s="273" t="s">
        <v>123</v>
      </c>
      <c r="D390" s="244" t="n">
        <v>46448</v>
      </c>
      <c r="E390" s="36" t="s">
        <v>617</v>
      </c>
      <c r="F390" s="37" t="str">
        <f aca="false">IF(AND(L390="🔄 SWAP ME",M390&lt;&gt;""),M390,IFERROR(INDEX($O$5:$O$375,MATCH(O390,$M$5:$M$375,0)),O390))</f>
        <v>Advanced: AWS new data services released after Week 37</v>
      </c>
      <c r="G390" s="188" t="s">
        <v>496</v>
      </c>
      <c r="H390" s="39" t="n">
        <v>0.5</v>
      </c>
      <c r="I390" s="40" t="n">
        <v>0.75</v>
      </c>
      <c r="J390" s="41" t="n">
        <v>1</v>
      </c>
      <c r="K390" s="76" t="s">
        <v>1348</v>
      </c>
      <c r="L390" s="76" t="s">
        <v>1349</v>
      </c>
      <c r="M390" s="245"/>
      <c r="N390" s="63" t="str">
        <f aca="false">IF(AND(L390="🔄 SWAP ME",M390&lt;&gt;""),"⚡ SWAPPED","")</f>
        <v/>
      </c>
      <c r="O390" s="9" t="s">
        <v>1280</v>
      </c>
      <c r="P390" s="314" t="str">
        <f aca="true">IF(AND(L390="🔄 SWAP ME",M390&lt;&gt;""),TODAY(),"")</f>
        <v/>
      </c>
      <c r="Q390" s="315" t="s">
        <v>1281</v>
      </c>
    </row>
    <row r="391" customFormat="false" ht="19.5" hidden="false" customHeight="true" outlineLevel="0" collapsed="false">
      <c r="B391" s="50" t="s">
        <v>1434</v>
      </c>
      <c r="C391" s="273" t="s">
        <v>126</v>
      </c>
      <c r="D391" s="244" t="n">
        <v>46449</v>
      </c>
      <c r="E391" s="274" t="s">
        <v>623</v>
      </c>
      <c r="F391" s="37" t="str">
        <f aca="false">IF(AND(L391="🔄 SWAP ME",M391&lt;&gt;""),M391,IFERROR(INDEX($O$5:$O$375,MATCH(O391,$M$5:$M$375,0)),O391))</f>
        <v>Practice: DE interview questions specific to fintech (PII, compliance, reconciliation)</v>
      </c>
      <c r="G391" s="188" t="s">
        <v>496</v>
      </c>
      <c r="H391" s="39" t="n">
        <v>0.5</v>
      </c>
      <c r="I391" s="40" t="n">
        <v>0.75</v>
      </c>
      <c r="J391" s="41" t="n">
        <v>1</v>
      </c>
      <c r="K391" s="76" t="s">
        <v>1348</v>
      </c>
      <c r="L391" s="76" t="s">
        <v>1349</v>
      </c>
      <c r="M391" s="245"/>
      <c r="N391" s="63" t="str">
        <f aca="false">IF(AND(L391="🔄 SWAP ME",M391&lt;&gt;""),"⚡ SWAPPED","")</f>
        <v/>
      </c>
      <c r="O391" s="9" t="s">
        <v>1282</v>
      </c>
      <c r="P391" s="314" t="str">
        <f aca="true">IF(AND(L391="🔄 SWAP ME",M391&lt;&gt;""),TODAY(),"")</f>
        <v/>
      </c>
      <c r="Q391" s="315" t="s">
        <v>1283</v>
      </c>
    </row>
    <row r="392" customFormat="false" ht="19.5" hidden="false" customHeight="true" outlineLevel="0" collapsed="false">
      <c r="B392" s="50" t="s">
        <v>1434</v>
      </c>
      <c r="C392" s="273" t="s">
        <v>130</v>
      </c>
      <c r="D392" s="244" t="n">
        <v>46450</v>
      </c>
      <c r="E392" s="274" t="s">
        <v>623</v>
      </c>
      <c r="F392" s="37" t="str">
        <f aca="false">IF(AND(L392="🔄 SWAP ME",M392&lt;&gt;""),M392,IFERROR(INDEX($O$5:$O$375,MATCH(O392,$M$5:$M$375,0)),O392))</f>
        <v>Practice: DE questions specific to e-commerce (recommendations, inventory, A/B)</v>
      </c>
      <c r="G392" s="188" t="s">
        <v>496</v>
      </c>
      <c r="H392" s="39" t="n">
        <v>0.5</v>
      </c>
      <c r="I392" s="40" t="n">
        <v>0.75</v>
      </c>
      <c r="J392" s="41" t="n">
        <v>1</v>
      </c>
      <c r="K392" s="76" t="s">
        <v>1348</v>
      </c>
      <c r="L392" s="76" t="s">
        <v>1349</v>
      </c>
      <c r="M392" s="245"/>
      <c r="N392" s="63" t="str">
        <f aca="false">IF(AND(L392="🔄 SWAP ME",M392&lt;&gt;""),"⚡ SWAPPED","")</f>
        <v/>
      </c>
      <c r="O392" s="9" t="s">
        <v>1284</v>
      </c>
      <c r="P392" s="314" t="str">
        <f aca="true">IF(AND(L392="🔄 SWAP ME",M392&lt;&gt;""),TODAY(),"")</f>
        <v/>
      </c>
      <c r="Q392" s="315" t="s">
        <v>1285</v>
      </c>
    </row>
    <row r="393" customFormat="false" ht="19.5" hidden="false" customHeight="true" outlineLevel="0" collapsed="false">
      <c r="B393" s="50" t="s">
        <v>1434</v>
      </c>
      <c r="C393" s="273" t="s">
        <v>133</v>
      </c>
      <c r="D393" s="244" t="n">
        <v>46451</v>
      </c>
      <c r="E393" s="274" t="s">
        <v>623</v>
      </c>
      <c r="F393" s="37" t="str">
        <f aca="false">IF(AND(L393="🔄 SWAP ME",M393&lt;&gt;""),M393,IFERROR(INDEX($O$5:$O$375,MATCH(O393,$M$5:$M$375,0)),O393))</f>
        <v>DSA: 45 min timed mock + review</v>
      </c>
      <c r="G393" s="188" t="s">
        <v>496</v>
      </c>
      <c r="H393" s="39" t="n">
        <v>0.3</v>
      </c>
      <c r="I393" s="40" t="n">
        <v>0.5</v>
      </c>
      <c r="J393" s="41" t="n">
        <v>0.75</v>
      </c>
      <c r="K393" s="76" t="s">
        <v>1348</v>
      </c>
      <c r="L393" s="76" t="s">
        <v>1349</v>
      </c>
      <c r="M393" s="245"/>
      <c r="N393" s="63" t="str">
        <f aca="false">IF(AND(L393="🔄 SWAP ME",M393&lt;&gt;""),"⚡ SWAPPED","")</f>
        <v/>
      </c>
      <c r="O393" s="9" t="s">
        <v>1286</v>
      </c>
      <c r="P393" s="314" t="str">
        <f aca="true">IF(AND(L393="🔄 SWAP ME",M393&lt;&gt;""),TODAY(),"")</f>
        <v/>
      </c>
      <c r="Q393" s="315" t="s">
        <v>571</v>
      </c>
    </row>
    <row r="394" customFormat="false" ht="19.5" hidden="false" customHeight="true" outlineLevel="0" collapsed="false">
      <c r="B394" s="50" t="s">
        <v>1434</v>
      </c>
      <c r="C394" s="309" t="s">
        <v>516</v>
      </c>
      <c r="D394" s="240" t="n">
        <v>46452</v>
      </c>
      <c r="E394" s="36" t="s">
        <v>617</v>
      </c>
      <c r="F394" s="178" t="str">
        <f aca="false">IF(AND(L394="🔄 SWAP ME",M394&lt;&gt;""),M394,IFERROR(INDEX($O$5:$O$375,MATCH(O394,$M$5:$M$375,0)),O394))</f>
        <v>Continue active interviews and negotiations</v>
      </c>
      <c r="G394" s="188" t="s">
        <v>496</v>
      </c>
      <c r="H394" s="39" t="n">
        <v>1</v>
      </c>
      <c r="I394" s="40" t="n">
        <v>2</v>
      </c>
      <c r="J394" s="41" t="n">
        <v>3</v>
      </c>
      <c r="K394" s="179" t="s">
        <v>1351</v>
      </c>
      <c r="L394" s="179" t="s">
        <v>1349</v>
      </c>
      <c r="M394" s="241"/>
      <c r="N394" s="316" t="str">
        <f aca="false">IF(AND(L394="🔄 SWAP ME",M394&lt;&gt;""),"⚡ SWAPPED","")</f>
        <v/>
      </c>
      <c r="O394" s="9" t="s">
        <v>1287</v>
      </c>
      <c r="P394" s="317" t="str">
        <f aca="true">IF(AND(L394="🔄 SWAP ME",M394&lt;&gt;""),TODAY(),"")</f>
        <v/>
      </c>
      <c r="Q394" s="315" t="s">
        <v>1288</v>
      </c>
    </row>
    <row r="395" customFormat="false" ht="19.5" hidden="false" customHeight="true" outlineLevel="0" collapsed="false">
      <c r="B395" s="50" t="s">
        <v>1434</v>
      </c>
      <c r="C395" s="309" t="s">
        <v>517</v>
      </c>
      <c r="D395" s="240" t="n">
        <v>46453</v>
      </c>
      <c r="E395" s="183" t="s">
        <v>626</v>
      </c>
      <c r="F395" s="178" t="str">
        <f aca="false">IF(AND(L395="🔄 SWAP ME",M395&lt;&gt;""),M395,IFERROR(INDEX($O$5:$O$375,MATCH(O395,$M$5:$M$375,0)),O395))</f>
        <v>Rest and reflect — 49 weeks of learning — you are ready</v>
      </c>
      <c r="G395" s="188" t="s">
        <v>496</v>
      </c>
      <c r="H395" s="39" t="n">
        <v>0.5</v>
      </c>
      <c r="I395" s="40" t="n">
        <v>1</v>
      </c>
      <c r="J395" s="41" t="n">
        <v>2</v>
      </c>
      <c r="K395" s="179" t="s">
        <v>1348</v>
      </c>
      <c r="L395" s="179" t="s">
        <v>1349</v>
      </c>
      <c r="M395" s="241"/>
      <c r="N395" s="316" t="str">
        <f aca="false">IF(AND(L395="🔄 SWAP ME",M395&lt;&gt;""),"⚡ SWAPPED","")</f>
        <v/>
      </c>
      <c r="O395" s="9" t="s">
        <v>1289</v>
      </c>
      <c r="P395" s="317" t="str">
        <f aca="true">IF(AND(L395="🔄 SWAP ME",M395&lt;&gt;""),TODAY(),"")</f>
        <v/>
      </c>
      <c r="Q395" s="315" t="s">
        <v>1290</v>
      </c>
    </row>
    <row r="396" customFormat="false" ht="12" hidden="false" customHeight="true" outlineLevel="0" collapsed="false">
      <c r="B396" s="321" t="s">
        <v>1435</v>
      </c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</row>
    <row r="397" customFormat="false" ht="19.5" hidden="false" customHeight="true" outlineLevel="0" collapsed="false">
      <c r="B397" s="50" t="s">
        <v>1436</v>
      </c>
      <c r="C397" s="273" t="s">
        <v>118</v>
      </c>
      <c r="D397" s="244" t="n">
        <v>46454</v>
      </c>
      <c r="E397" s="274" t="s">
        <v>623</v>
      </c>
      <c r="F397" s="37" t="str">
        <f aca="false">IF(AND(L397="🔄 SWAP ME",M397&lt;&gt;""),M397,IFERROR(INDEX($O$5:$O$375,MATCH(O397,$M$5:$M$375,0)),O397))</f>
        <v>Company-specific deep prep for current interview loop</v>
      </c>
      <c r="G397" s="188" t="s">
        <v>496</v>
      </c>
      <c r="H397" s="39" t="n">
        <v>0.5</v>
      </c>
      <c r="I397" s="40" t="n">
        <v>1.5</v>
      </c>
      <c r="J397" s="41" t="n">
        <v>3</v>
      </c>
      <c r="K397" s="76" t="s">
        <v>1351</v>
      </c>
      <c r="L397" s="76" t="s">
        <v>1349</v>
      </c>
      <c r="M397" s="245"/>
      <c r="N397" s="63" t="str">
        <f aca="false">IF(AND(L397="🔄 SWAP ME",M397&lt;&gt;""),"⚡ SWAPPED","")</f>
        <v/>
      </c>
      <c r="O397" s="9" t="s">
        <v>1291</v>
      </c>
      <c r="P397" s="314" t="str">
        <f aca="true">IF(AND(L397="🔄 SWAP ME",M397&lt;&gt;""),TODAY(),"")</f>
        <v/>
      </c>
      <c r="Q397" s="315" t="s">
        <v>1292</v>
      </c>
    </row>
    <row r="398" customFormat="false" ht="19.5" hidden="false" customHeight="true" outlineLevel="0" collapsed="false">
      <c r="B398" s="50" t="s">
        <v>1436</v>
      </c>
      <c r="C398" s="273" t="s">
        <v>123</v>
      </c>
      <c r="D398" s="244" t="n">
        <v>46455</v>
      </c>
      <c r="E398" s="274" t="s">
        <v>623</v>
      </c>
      <c r="F398" s="37" t="str">
        <f aca="false">IF(AND(L398="🔄 SWAP ME",M398&lt;&gt;""),M398,IFERROR(INDEX($O$5:$O$375,MATCH(O398,$M$5:$M$375,0)),O398))</f>
        <v>System design specific to target company's scale</v>
      </c>
      <c r="G398" s="188" t="s">
        <v>496</v>
      </c>
      <c r="H398" s="39" t="n">
        <v>0.5</v>
      </c>
      <c r="I398" s="40" t="n">
        <v>1</v>
      </c>
      <c r="J398" s="41" t="n">
        <v>2</v>
      </c>
      <c r="K398" s="76" t="s">
        <v>1348</v>
      </c>
      <c r="L398" s="76" t="s">
        <v>1349</v>
      </c>
      <c r="M398" s="245"/>
      <c r="N398" s="63" t="str">
        <f aca="false">IF(AND(L398="🔄 SWAP ME",M398&lt;&gt;""),"⚡ SWAPPED","")</f>
        <v/>
      </c>
      <c r="O398" s="9" t="s">
        <v>1293</v>
      </c>
      <c r="P398" s="314" t="str">
        <f aca="true">IF(AND(L398="🔄 SWAP ME",M398&lt;&gt;""),TODAY(),"")</f>
        <v/>
      </c>
      <c r="Q398" s="315" t="s">
        <v>1072</v>
      </c>
    </row>
    <row r="399" customFormat="false" ht="19.5" hidden="false" customHeight="true" outlineLevel="0" collapsed="false">
      <c r="B399" s="50" t="s">
        <v>1436</v>
      </c>
      <c r="C399" s="273" t="s">
        <v>126</v>
      </c>
      <c r="D399" s="244" t="n">
        <v>46456</v>
      </c>
      <c r="E399" s="274" t="s">
        <v>623</v>
      </c>
      <c r="F399" s="37" t="str">
        <f aca="false">IF(AND(L399="🔄 SWAP ME",M399&lt;&gt;""),M399,IFERROR(INDEX($O$5:$O$375,MATCH(O399,$M$5:$M$375,0)),O399))</f>
        <v>DSA patterns specific to target company</v>
      </c>
      <c r="G399" s="188" t="s">
        <v>496</v>
      </c>
      <c r="H399" s="39" t="n">
        <v>0.5</v>
      </c>
      <c r="I399" s="40" t="n">
        <v>1</v>
      </c>
      <c r="J399" s="41" t="n">
        <v>1.5</v>
      </c>
      <c r="K399" s="76" t="s">
        <v>1348</v>
      </c>
      <c r="L399" s="76" t="s">
        <v>1349</v>
      </c>
      <c r="M399" s="245"/>
      <c r="N399" s="63" t="str">
        <f aca="false">IF(AND(L399="🔄 SWAP ME",M399&lt;&gt;""),"⚡ SWAPPED","")</f>
        <v/>
      </c>
      <c r="O399" s="9" t="s">
        <v>1294</v>
      </c>
      <c r="P399" s="314" t="str">
        <f aca="true">IF(AND(L399="🔄 SWAP ME",M399&lt;&gt;""),TODAY(),"")</f>
        <v/>
      </c>
      <c r="Q399" s="315" t="s">
        <v>1273</v>
      </c>
    </row>
    <row r="400" customFormat="false" ht="19.5" hidden="false" customHeight="true" outlineLevel="0" collapsed="false">
      <c r="B400" s="50" t="s">
        <v>1436</v>
      </c>
      <c r="C400" s="273" t="s">
        <v>130</v>
      </c>
      <c r="D400" s="244" t="n">
        <v>46457</v>
      </c>
      <c r="E400" s="274" t="s">
        <v>623</v>
      </c>
      <c r="F400" s="37" t="str">
        <f aca="false">IF(AND(L400="🔄 SWAP ME",M400&lt;&gt;""),M400,IFERROR(INDEX($O$5:$O$375,MATCH(O400,$M$5:$M$375,0)),O400))</f>
        <v>Behavioral — refine LP stories based on interview feedback</v>
      </c>
      <c r="G400" s="188" t="s">
        <v>496</v>
      </c>
      <c r="H400" s="39" t="n">
        <v>0.5</v>
      </c>
      <c r="I400" s="40" t="n">
        <v>0.75</v>
      </c>
      <c r="J400" s="41" t="n">
        <v>1</v>
      </c>
      <c r="K400" s="76" t="s">
        <v>1348</v>
      </c>
      <c r="L400" s="76" t="s">
        <v>1349</v>
      </c>
      <c r="M400" s="245"/>
      <c r="N400" s="63" t="str">
        <f aca="false">IF(AND(L400="🔄 SWAP ME",M400&lt;&gt;""),"⚡ SWAPPED","")</f>
        <v/>
      </c>
      <c r="O400" s="9" t="s">
        <v>1295</v>
      </c>
      <c r="P400" s="314" t="str">
        <f aca="true">IF(AND(L400="🔄 SWAP ME",M400&lt;&gt;""),TODAY(),"")</f>
        <v/>
      </c>
      <c r="Q400" s="315" t="s">
        <v>1296</v>
      </c>
    </row>
    <row r="401" customFormat="false" ht="19.5" hidden="false" customHeight="true" outlineLevel="0" collapsed="false">
      <c r="B401" s="50" t="s">
        <v>1436</v>
      </c>
      <c r="C401" s="273" t="s">
        <v>133</v>
      </c>
      <c r="D401" s="244" t="n">
        <v>46458</v>
      </c>
      <c r="E401" s="274" t="s">
        <v>623</v>
      </c>
      <c r="F401" s="37" t="str">
        <f aca="false">IF(AND(L401="🔄 SWAP ME",M401&lt;&gt;""),M401,IFERROR(INDEX($O$5:$O$375,MATCH(O401,$M$5:$M$375,0)),O401))</f>
        <v>DSA: Final mock 45 min timed</v>
      </c>
      <c r="G401" s="188" t="s">
        <v>496</v>
      </c>
      <c r="H401" s="39" t="n">
        <v>0.3</v>
      </c>
      <c r="I401" s="40" t="n">
        <v>0.5</v>
      </c>
      <c r="J401" s="41" t="n">
        <v>0.75</v>
      </c>
      <c r="K401" s="76" t="s">
        <v>1348</v>
      </c>
      <c r="L401" s="76" t="s">
        <v>1349</v>
      </c>
      <c r="M401" s="245"/>
      <c r="N401" s="63" t="str">
        <f aca="false">IF(AND(L401="🔄 SWAP ME",M401&lt;&gt;""),"⚡ SWAPPED","")</f>
        <v/>
      </c>
      <c r="O401" s="9" t="s">
        <v>1297</v>
      </c>
      <c r="P401" s="314" t="str">
        <f aca="true">IF(AND(L401="🔄 SWAP ME",M401&lt;&gt;""),TODAY(),"")</f>
        <v/>
      </c>
      <c r="Q401" s="315" t="s">
        <v>571</v>
      </c>
    </row>
    <row r="402" customFormat="false" ht="19.5" hidden="false" customHeight="true" outlineLevel="0" collapsed="false">
      <c r="B402" s="50" t="s">
        <v>1436</v>
      </c>
      <c r="C402" s="309" t="s">
        <v>516</v>
      </c>
      <c r="D402" s="240" t="n">
        <v>46459</v>
      </c>
      <c r="E402" s="36" t="s">
        <v>617</v>
      </c>
      <c r="F402" s="178" t="str">
        <f aca="false">IF(AND(L402="🔄 SWAP ME",M402&lt;&gt;""),M402,IFERROR(INDEX($O$5:$O$375,MATCH(O402,$M$5:$M$375,0)),O402))</f>
        <v>Follow up on all pending applications and interview loops</v>
      </c>
      <c r="G402" s="188" t="s">
        <v>496</v>
      </c>
      <c r="H402" s="39" t="n">
        <v>1</v>
      </c>
      <c r="I402" s="40" t="n">
        <v>1.5</v>
      </c>
      <c r="J402" s="41" t="n">
        <v>2</v>
      </c>
      <c r="K402" s="179" t="s">
        <v>1351</v>
      </c>
      <c r="L402" s="179" t="s">
        <v>1349</v>
      </c>
      <c r="M402" s="241"/>
      <c r="N402" s="316" t="str">
        <f aca="false">IF(AND(L402="🔄 SWAP ME",M402&lt;&gt;""),"⚡ SWAPPED","")</f>
        <v/>
      </c>
      <c r="O402" s="9" t="s">
        <v>1298</v>
      </c>
      <c r="P402" s="317" t="str">
        <f aca="true">IF(AND(L402="🔄 SWAP ME",M402&lt;&gt;""),TODAY(),"")</f>
        <v/>
      </c>
      <c r="Q402" s="315" t="s">
        <v>1275</v>
      </c>
    </row>
    <row r="403" customFormat="false" ht="19.5" hidden="false" customHeight="true" outlineLevel="0" collapsed="false">
      <c r="B403" s="50" t="s">
        <v>1436</v>
      </c>
      <c r="C403" s="309" t="s">
        <v>517</v>
      </c>
      <c r="D403" s="240" t="n">
        <v>46460</v>
      </c>
      <c r="E403" s="183" t="s">
        <v>626</v>
      </c>
      <c r="F403" s="178" t="str">
        <f aca="false">IF(AND(L403="🔄 SWAP ME",M403&lt;&gt;""),M403,IFERROR(INDEX($O$5:$O$375,MATCH(O403,$M$5:$M$375,0)),O403))</f>
        <v>Rest — 50 weeks — the job will come</v>
      </c>
      <c r="G403" s="188" t="s">
        <v>496</v>
      </c>
      <c r="H403" s="39" t="n">
        <v>0.5</v>
      </c>
      <c r="I403" s="40" t="n">
        <v>1</v>
      </c>
      <c r="J403" s="41" t="n">
        <v>2</v>
      </c>
      <c r="K403" s="179" t="s">
        <v>1348</v>
      </c>
      <c r="L403" s="179" t="s">
        <v>1349</v>
      </c>
      <c r="M403" s="241"/>
      <c r="N403" s="316" t="str">
        <f aca="false">IF(AND(L403="🔄 SWAP ME",M403&lt;&gt;""),"⚡ SWAPPED","")</f>
        <v/>
      </c>
      <c r="O403" s="9" t="s">
        <v>1299</v>
      </c>
      <c r="P403" s="317" t="str">
        <f aca="true">IF(AND(L403="🔄 SWAP ME",M403&lt;&gt;""),TODAY(),"")</f>
        <v/>
      </c>
      <c r="Q403" s="315" t="s">
        <v>1300</v>
      </c>
    </row>
    <row r="404" customFormat="false" ht="12" hidden="false" customHeight="true" outlineLevel="0" collapsed="false">
      <c r="B404" s="321" t="s">
        <v>1437</v>
      </c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</row>
    <row r="405" customFormat="false" ht="19.5" hidden="false" customHeight="true" outlineLevel="0" collapsed="false">
      <c r="B405" s="50" t="s">
        <v>1438</v>
      </c>
      <c r="C405" s="273" t="s">
        <v>118</v>
      </c>
      <c r="D405" s="244" t="n">
        <v>46461</v>
      </c>
      <c r="E405" s="36" t="s">
        <v>617</v>
      </c>
      <c r="F405" s="37" t="str">
        <f aca="false">IF(AND(L405="🔄 SWAP ME",M405&lt;&gt;""),M405,IFERROR(INDEX($O$5:$O$375,MATCH(O405,$M$5:$M$375,0)),O405))</f>
        <v>Any remaining cert prep or retake if needed</v>
      </c>
      <c r="G405" s="188" t="s">
        <v>496</v>
      </c>
      <c r="H405" s="39" t="n">
        <v>0.5</v>
      </c>
      <c r="I405" s="40" t="n">
        <v>1.5</v>
      </c>
      <c r="J405" s="41" t="n">
        <v>3</v>
      </c>
      <c r="K405" s="76" t="s">
        <v>1351</v>
      </c>
      <c r="L405" s="76" t="s">
        <v>1349</v>
      </c>
      <c r="M405" s="245"/>
      <c r="N405" s="63" t="str">
        <f aca="false">IF(AND(L405="🔄 SWAP ME",M405&lt;&gt;""),"⚡ SWAPPED","")</f>
        <v/>
      </c>
      <c r="O405" s="9" t="s">
        <v>1301</v>
      </c>
      <c r="P405" s="314" t="str">
        <f aca="true">IF(AND(L405="🔄 SWAP ME",M405&lt;&gt;""),TODAY(),"")</f>
        <v/>
      </c>
      <c r="Q405" s="315" t="s">
        <v>1302</v>
      </c>
    </row>
    <row r="406" customFormat="false" ht="19.5" hidden="false" customHeight="true" outlineLevel="0" collapsed="false">
      <c r="B406" s="50" t="s">
        <v>1438</v>
      </c>
      <c r="C406" s="273" t="s">
        <v>123</v>
      </c>
      <c r="D406" s="244" t="n">
        <v>46462</v>
      </c>
      <c r="E406" s="36" t="s">
        <v>617</v>
      </c>
      <c r="F406" s="37" t="str">
        <f aca="false">IF(AND(L406="🔄 SWAP ME",M406&lt;&gt;""),M406,IFERROR(INDEX($O$5:$O$375,MATCH(O406,$M$5:$M$375,0)),O406))</f>
        <v>Update portfolio — add new projects or certifications</v>
      </c>
      <c r="G406" s="188" t="s">
        <v>496</v>
      </c>
      <c r="H406" s="39" t="n">
        <v>0.5</v>
      </c>
      <c r="I406" s="40" t="n">
        <v>1</v>
      </c>
      <c r="J406" s="41" t="n">
        <v>2</v>
      </c>
      <c r="K406" s="76" t="s">
        <v>1348</v>
      </c>
      <c r="L406" s="76" t="s">
        <v>1349</v>
      </c>
      <c r="M406" s="245"/>
      <c r="N406" s="63" t="str">
        <f aca="false">IF(AND(L406="🔄 SWAP ME",M406&lt;&gt;""),"⚡ SWAPPED","")</f>
        <v/>
      </c>
      <c r="O406" s="9" t="s">
        <v>1303</v>
      </c>
      <c r="P406" s="314" t="str">
        <f aca="true">IF(AND(L406="🔄 SWAP ME",M406&lt;&gt;""),TODAY(),"")</f>
        <v/>
      </c>
      <c r="Q406" s="315" t="s">
        <v>1304</v>
      </c>
    </row>
    <row r="407" customFormat="false" ht="19.5" hidden="false" customHeight="true" outlineLevel="0" collapsed="false">
      <c r="B407" s="50" t="s">
        <v>1438</v>
      </c>
      <c r="C407" s="273" t="s">
        <v>126</v>
      </c>
      <c r="D407" s="244" t="n">
        <v>46463</v>
      </c>
      <c r="E407" s="274" t="s">
        <v>623</v>
      </c>
      <c r="F407" s="37" t="str">
        <f aca="false">IF(AND(L407="🔄 SWAP ME",M407&lt;&gt;""),M407,IFERROR(INDEX($O$5:$O$375,MATCH(O407,$M$5:$M$375,0)),O407))</f>
        <v>Practice: fintech DE scenarios (PII, reconciliation, compliance)</v>
      </c>
      <c r="G407" s="188" t="s">
        <v>496</v>
      </c>
      <c r="H407" s="39" t="n">
        <v>0.5</v>
      </c>
      <c r="I407" s="40" t="n">
        <v>0.75</v>
      </c>
      <c r="J407" s="41" t="n">
        <v>1</v>
      </c>
      <c r="K407" s="76" t="s">
        <v>1348</v>
      </c>
      <c r="L407" s="76" t="s">
        <v>1349</v>
      </c>
      <c r="M407" s="245"/>
      <c r="N407" s="63" t="str">
        <f aca="false">IF(AND(L407="🔄 SWAP ME",M407&lt;&gt;""),"⚡ SWAPPED","")</f>
        <v/>
      </c>
      <c r="O407" s="9" t="s">
        <v>1305</v>
      </c>
      <c r="P407" s="314" t="str">
        <f aca="true">IF(AND(L407="🔄 SWAP ME",M407&lt;&gt;""),TODAY(),"")</f>
        <v/>
      </c>
      <c r="Q407" s="315" t="s">
        <v>1306</v>
      </c>
    </row>
    <row r="408" customFormat="false" ht="19.5" hidden="false" customHeight="true" outlineLevel="0" collapsed="false">
      <c r="B408" s="50" t="s">
        <v>1438</v>
      </c>
      <c r="C408" s="273" t="s">
        <v>130</v>
      </c>
      <c r="D408" s="244" t="n">
        <v>46464</v>
      </c>
      <c r="E408" s="274" t="s">
        <v>623</v>
      </c>
      <c r="F408" s="37" t="str">
        <f aca="false">IF(AND(L408="🔄 SWAP ME",M408&lt;&gt;""),M408,IFERROR(INDEX($O$5:$O$375,MATCH(O408,$M$5:$M$375,0)),O408))</f>
        <v>Practice: e-commerce DE scenarios (recommendations, A/B, inventory)</v>
      </c>
      <c r="G408" s="188" t="s">
        <v>496</v>
      </c>
      <c r="H408" s="39" t="n">
        <v>0.5</v>
      </c>
      <c r="I408" s="40" t="n">
        <v>0.75</v>
      </c>
      <c r="J408" s="41" t="n">
        <v>1</v>
      </c>
      <c r="K408" s="76" t="s">
        <v>1348</v>
      </c>
      <c r="L408" s="76" t="s">
        <v>1349</v>
      </c>
      <c r="M408" s="245"/>
      <c r="N408" s="63" t="str">
        <f aca="false">IF(AND(L408="🔄 SWAP ME",M408&lt;&gt;""),"⚡ SWAPPED","")</f>
        <v/>
      </c>
      <c r="O408" s="9" t="s">
        <v>1307</v>
      </c>
      <c r="P408" s="314" t="str">
        <f aca="true">IF(AND(L408="🔄 SWAP ME",M408&lt;&gt;""),TODAY(),"")</f>
        <v/>
      </c>
      <c r="Q408" s="315" t="s">
        <v>1308</v>
      </c>
    </row>
    <row r="409" customFormat="false" ht="19.5" hidden="false" customHeight="true" outlineLevel="0" collapsed="false">
      <c r="B409" s="50" t="s">
        <v>1438</v>
      </c>
      <c r="C409" s="273" t="s">
        <v>133</v>
      </c>
      <c r="D409" s="244" t="n">
        <v>46465</v>
      </c>
      <c r="E409" s="274" t="s">
        <v>623</v>
      </c>
      <c r="F409" s="37" t="str">
        <f aca="false">IF(AND(L409="🔄 SWAP ME",M409&lt;&gt;""),M409,IFERROR(INDEX($O$5:$O$375,MATCH(O409,$M$5:$M$375,0)),O409))</f>
        <v>DSA: 45 min timed mock</v>
      </c>
      <c r="G409" s="188" t="s">
        <v>496</v>
      </c>
      <c r="H409" s="39" t="n">
        <v>0.3</v>
      </c>
      <c r="I409" s="40" t="n">
        <v>0.5</v>
      </c>
      <c r="J409" s="41" t="n">
        <v>0.75</v>
      </c>
      <c r="K409" s="76" t="s">
        <v>1348</v>
      </c>
      <c r="L409" s="76" t="s">
        <v>1349</v>
      </c>
      <c r="M409" s="245"/>
      <c r="N409" s="63" t="str">
        <f aca="false">IF(AND(L409="🔄 SWAP ME",M409&lt;&gt;""),"⚡ SWAPPED","")</f>
        <v/>
      </c>
      <c r="O409" s="9" t="s">
        <v>1309</v>
      </c>
      <c r="P409" s="314" t="str">
        <f aca="true">IF(AND(L409="🔄 SWAP ME",M409&lt;&gt;""),TODAY(),"")</f>
        <v/>
      </c>
      <c r="Q409" s="315" t="s">
        <v>571</v>
      </c>
    </row>
    <row r="410" customFormat="false" ht="19.5" hidden="false" customHeight="true" outlineLevel="0" collapsed="false">
      <c r="B410" s="50" t="s">
        <v>1438</v>
      </c>
      <c r="C410" s="309" t="s">
        <v>516</v>
      </c>
      <c r="D410" s="240" t="n">
        <v>46466</v>
      </c>
      <c r="E410" s="36" t="s">
        <v>617</v>
      </c>
      <c r="F410" s="178" t="str">
        <f aca="false">IF(AND(L410="🔄 SWAP ME",M410&lt;&gt;""),M410,IFERROR(INDEX($O$5:$O$375,MATCH(O410,$M$5:$M$375,0)),O410))</f>
        <v>Active job search: negotiate any pending offers</v>
      </c>
      <c r="G410" s="188" t="s">
        <v>496</v>
      </c>
      <c r="H410" s="39" t="n">
        <v>1</v>
      </c>
      <c r="I410" s="40" t="n">
        <v>2</v>
      </c>
      <c r="J410" s="41" t="n">
        <v>3</v>
      </c>
      <c r="K410" s="179" t="s">
        <v>1351</v>
      </c>
      <c r="L410" s="179" t="s">
        <v>1349</v>
      </c>
      <c r="M410" s="241"/>
      <c r="N410" s="316" t="str">
        <f aca="false">IF(AND(L410="🔄 SWAP ME",M410&lt;&gt;""),"⚡ SWAPPED","")</f>
        <v/>
      </c>
      <c r="O410" s="9" t="s">
        <v>1310</v>
      </c>
      <c r="P410" s="317" t="str">
        <f aca="true">IF(AND(L410="🔄 SWAP ME",M410&lt;&gt;""),TODAY(),"")</f>
        <v/>
      </c>
      <c r="Q410" s="315" t="s">
        <v>1311</v>
      </c>
    </row>
    <row r="411" customFormat="false" ht="19.5" hidden="false" customHeight="true" outlineLevel="0" collapsed="false">
      <c r="B411" s="50" t="s">
        <v>1438</v>
      </c>
      <c r="C411" s="309" t="s">
        <v>517</v>
      </c>
      <c r="D411" s="240" t="n">
        <v>46467</v>
      </c>
      <c r="E411" s="183" t="s">
        <v>626</v>
      </c>
      <c r="F411" s="178" t="str">
        <f aca="false">IF(AND(L411="🔄 SWAP ME",M411&lt;&gt;""),M411,IFERROR(INDEX($O$5:$O$375,MATCH(O411,$M$5:$M$375,0)),O411))</f>
        <v>Week 51: Keep going. 80+ LPA is close.</v>
      </c>
      <c r="G411" s="188" t="s">
        <v>496</v>
      </c>
      <c r="H411" s="39" t="n">
        <v>0.5</v>
      </c>
      <c r="I411" s="40" t="n">
        <v>1</v>
      </c>
      <c r="J411" s="41" t="n">
        <v>2</v>
      </c>
      <c r="K411" s="179" t="s">
        <v>1348</v>
      </c>
      <c r="L411" s="179" t="s">
        <v>1349</v>
      </c>
      <c r="M411" s="241"/>
      <c r="N411" s="316" t="str">
        <f aca="false">IF(AND(L411="🔄 SWAP ME",M411&lt;&gt;""),"⚡ SWAPPED","")</f>
        <v/>
      </c>
      <c r="O411" s="9" t="s">
        <v>1312</v>
      </c>
      <c r="P411" s="317" t="str">
        <f aca="true">IF(AND(L411="🔄 SWAP ME",M411&lt;&gt;""),TODAY(),"")</f>
        <v/>
      </c>
      <c r="Q411" s="315" t="s">
        <v>1290</v>
      </c>
    </row>
    <row r="412" customFormat="false" ht="12" hidden="false" customHeight="true" outlineLevel="0" collapsed="false">
      <c r="B412" s="321" t="s">
        <v>1439</v>
      </c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</row>
    <row r="413" customFormat="false" ht="19.5" hidden="false" customHeight="true" outlineLevel="0" collapsed="false">
      <c r="B413" s="50" t="s">
        <v>1440</v>
      </c>
      <c r="C413" s="273" t="s">
        <v>118</v>
      </c>
      <c r="D413" s="244" t="n">
        <v>46468</v>
      </c>
      <c r="E413" s="274" t="s">
        <v>623</v>
      </c>
      <c r="F413" s="37" t="str">
        <f aca="false">IF(AND(L413="🔄 SWAP ME",M413&lt;&gt;""),M413,IFERROR(INDEX($O$5:$O$375,MATCH(O413,$M$5:$M$375,0)),O413))</f>
        <v>Final mock loop — complete 5-round simulation with all topics</v>
      </c>
      <c r="G413" s="188" t="s">
        <v>496</v>
      </c>
      <c r="H413" s="39" t="n">
        <v>0.5</v>
      </c>
      <c r="I413" s="40" t="n">
        <v>1.5</v>
      </c>
      <c r="J413" s="41" t="n">
        <v>3</v>
      </c>
      <c r="K413" s="76" t="s">
        <v>1351</v>
      </c>
      <c r="L413" s="76" t="s">
        <v>1349</v>
      </c>
      <c r="M413" s="245"/>
      <c r="N413" s="63" t="str">
        <f aca="false">IF(AND(L413="🔄 SWAP ME",M413&lt;&gt;""),"⚡ SWAPPED","")</f>
        <v/>
      </c>
      <c r="O413" s="9" t="s">
        <v>1313</v>
      </c>
      <c r="P413" s="314" t="str">
        <f aca="true">IF(AND(L413="🔄 SWAP ME",M413&lt;&gt;""),TODAY(),"")</f>
        <v/>
      </c>
      <c r="Q413" s="315" t="s">
        <v>1277</v>
      </c>
    </row>
    <row r="414" customFormat="false" ht="19.5" hidden="false" customHeight="true" outlineLevel="0" collapsed="false">
      <c r="B414" s="50" t="s">
        <v>1440</v>
      </c>
      <c r="C414" s="273" t="s">
        <v>123</v>
      </c>
      <c r="D414" s="244" t="n">
        <v>46469</v>
      </c>
      <c r="E414" s="36" t="s">
        <v>617</v>
      </c>
      <c r="F414" s="37" t="str">
        <f aca="false">IF(AND(L414="🔄 SWAP ME",M414&lt;&gt;""),M414,IFERROR(INDEX($O$5:$O$375,MATCH(O414,$M$5:$M$375,0)),O414))</f>
        <v>Final resume update with all 7 certs + all 35 projects</v>
      </c>
      <c r="G414" s="188" t="s">
        <v>496</v>
      </c>
      <c r="H414" s="39" t="n">
        <v>0.5</v>
      </c>
      <c r="I414" s="40" t="n">
        <v>0.75</v>
      </c>
      <c r="J414" s="41" t="n">
        <v>1</v>
      </c>
      <c r="K414" s="76" t="s">
        <v>1348</v>
      </c>
      <c r="L414" s="76" t="s">
        <v>1349</v>
      </c>
      <c r="M414" s="245"/>
      <c r="N414" s="63" t="str">
        <f aca="false">IF(AND(L414="🔄 SWAP ME",M414&lt;&gt;""),"⚡ SWAPPED","")</f>
        <v/>
      </c>
      <c r="O414" s="9" t="s">
        <v>1314</v>
      </c>
      <c r="P414" s="314" t="str">
        <f aca="true">IF(AND(L414="🔄 SWAP ME",M414&lt;&gt;""),TODAY(),"")</f>
        <v/>
      </c>
      <c r="Q414" s="315" t="s">
        <v>1315</v>
      </c>
    </row>
    <row r="415" customFormat="false" ht="19.5" hidden="false" customHeight="true" outlineLevel="0" collapsed="false">
      <c r="B415" s="50" t="s">
        <v>1440</v>
      </c>
      <c r="C415" s="273" t="s">
        <v>126</v>
      </c>
      <c r="D415" s="244" t="n">
        <v>46470</v>
      </c>
      <c r="E415" s="36" t="s">
        <v>617</v>
      </c>
      <c r="F415" s="37" t="str">
        <f aca="false">IF(AND(L415="🔄 SWAP ME",M415&lt;&gt;""),M415,IFERROR(INDEX($O$5:$O$375,MATCH(O415,$M$5:$M$375,0)),O415))</f>
        <v>Final portfolio — all projects with architecture diagrams live on GitHub</v>
      </c>
      <c r="G415" s="188" t="s">
        <v>496</v>
      </c>
      <c r="H415" s="39" t="n">
        <v>0.5</v>
      </c>
      <c r="I415" s="40" t="n">
        <v>1</v>
      </c>
      <c r="J415" s="41" t="n">
        <v>2</v>
      </c>
      <c r="K415" s="76" t="s">
        <v>1348</v>
      </c>
      <c r="L415" s="76" t="s">
        <v>1349</v>
      </c>
      <c r="M415" s="245"/>
      <c r="N415" s="63" t="str">
        <f aca="false">IF(AND(L415="🔄 SWAP ME",M415&lt;&gt;""),"⚡ SWAPPED","")</f>
        <v/>
      </c>
      <c r="O415" s="9" t="s">
        <v>1316</v>
      </c>
      <c r="P415" s="314" t="str">
        <f aca="true">IF(AND(L415="🔄 SWAP ME",M415&lt;&gt;""),TODAY(),"")</f>
        <v/>
      </c>
      <c r="Q415" s="315" t="s">
        <v>1317</v>
      </c>
    </row>
    <row r="416" customFormat="false" ht="19.5" hidden="false" customHeight="true" outlineLevel="0" collapsed="false">
      <c r="B416" s="50" t="s">
        <v>1440</v>
      </c>
      <c r="C416" s="273" t="s">
        <v>130</v>
      </c>
      <c r="D416" s="244" t="n">
        <v>46471</v>
      </c>
      <c r="E416" s="36" t="s">
        <v>617</v>
      </c>
      <c r="F416" s="37" t="str">
        <f aca="false">IF(AND(L416="🔄 SWAP ME",M416&lt;&gt;""),M416,IFERROR(INDEX($O$5:$O$375,MATCH(O416,$M$5:$M$375,0)),O416))</f>
        <v>Final application batch — any remaining target companies</v>
      </c>
      <c r="G416" s="188" t="s">
        <v>496</v>
      </c>
      <c r="H416" s="39" t="n">
        <v>0.5</v>
      </c>
      <c r="I416" s="40" t="n">
        <v>1</v>
      </c>
      <c r="J416" s="41" t="n">
        <v>2</v>
      </c>
      <c r="K416" s="76" t="s">
        <v>1348</v>
      </c>
      <c r="L416" s="76" t="s">
        <v>1349</v>
      </c>
      <c r="M416" s="245"/>
      <c r="N416" s="63" t="str">
        <f aca="false">IF(AND(L416="🔄 SWAP ME",M416&lt;&gt;""),"⚡ SWAPPED","")</f>
        <v/>
      </c>
      <c r="O416" s="9" t="s">
        <v>1318</v>
      </c>
      <c r="P416" s="314" t="str">
        <f aca="true">IF(AND(L416="🔄 SWAP ME",M416&lt;&gt;""),TODAY(),"")</f>
        <v/>
      </c>
      <c r="Q416" s="315" t="s">
        <v>1319</v>
      </c>
    </row>
    <row r="417" customFormat="false" ht="19.5" hidden="false" customHeight="true" outlineLevel="0" collapsed="false">
      <c r="B417" s="50" t="s">
        <v>1440</v>
      </c>
      <c r="C417" s="273" t="s">
        <v>133</v>
      </c>
      <c r="D417" s="244" t="n">
        <v>46472</v>
      </c>
      <c r="E417" s="274" t="s">
        <v>623</v>
      </c>
      <c r="F417" s="37" t="str">
        <f aca="false">IF(AND(L417="🔄 SWAP ME",M417&lt;&gt;""),M417,IFERROR(INDEX($O$5:$O$375,MATCH(O417,$M$5:$M$375,0)),O417))</f>
        <v>DSA: Final 45 min timed — company-specific hard problems</v>
      </c>
      <c r="G417" s="188" t="s">
        <v>496</v>
      </c>
      <c r="H417" s="39" t="n">
        <v>0.3</v>
      </c>
      <c r="I417" s="40" t="n">
        <v>0.5</v>
      </c>
      <c r="J417" s="41" t="n">
        <v>0.75</v>
      </c>
      <c r="K417" s="76" t="s">
        <v>1348</v>
      </c>
      <c r="L417" s="76" t="s">
        <v>1349</v>
      </c>
      <c r="M417" s="245"/>
      <c r="N417" s="63" t="str">
        <f aca="false">IF(AND(L417="🔄 SWAP ME",M417&lt;&gt;""),"⚡ SWAPPED","")</f>
        <v/>
      </c>
      <c r="O417" s="9" t="s">
        <v>1320</v>
      </c>
      <c r="P417" s="314" t="str">
        <f aca="true">IF(AND(L417="🔄 SWAP ME",M417&lt;&gt;""),TODAY(),"")</f>
        <v/>
      </c>
      <c r="Q417" s="315" t="s">
        <v>571</v>
      </c>
    </row>
    <row r="418" customFormat="false" ht="19.5" hidden="false" customHeight="true" outlineLevel="0" collapsed="false">
      <c r="B418" s="50" t="s">
        <v>1440</v>
      </c>
      <c r="C418" s="309" t="s">
        <v>516</v>
      </c>
      <c r="D418" s="240" t="n">
        <v>46473</v>
      </c>
      <c r="E418" s="36" t="s">
        <v>617</v>
      </c>
      <c r="F418" s="178" t="str">
        <f aca="false">IF(AND(L418="🔄 SWAP ME",M418&lt;&gt;""),M418,IFERROR(INDEX($O$5:$O$375,MATCH(O418,$M$5:$M$375,0)),O418))</f>
        <v>Write LinkedIn post about your 52-week journey</v>
      </c>
      <c r="G418" s="188" t="s">
        <v>496</v>
      </c>
      <c r="H418" s="39" t="n">
        <v>0.5</v>
      </c>
      <c r="I418" s="40" t="n">
        <v>1</v>
      </c>
      <c r="J418" s="41" t="n">
        <v>2</v>
      </c>
      <c r="K418" s="179" t="s">
        <v>1348</v>
      </c>
      <c r="L418" s="179" t="s">
        <v>1349</v>
      </c>
      <c r="M418" s="241"/>
      <c r="N418" s="316" t="str">
        <f aca="false">IF(AND(L418="🔄 SWAP ME",M418&lt;&gt;""),"⚡ SWAPPED","")</f>
        <v/>
      </c>
      <c r="O418" s="9" t="s">
        <v>1321</v>
      </c>
      <c r="P418" s="317" t="str">
        <f aca="true">IF(AND(L418="🔄 SWAP ME",M418&lt;&gt;""),TODAY(),"")</f>
        <v/>
      </c>
      <c r="Q418" s="315" t="s">
        <v>1322</v>
      </c>
    </row>
    <row r="419" customFormat="false" ht="19.5" hidden="false" customHeight="true" outlineLevel="0" collapsed="false">
      <c r="B419" s="50" t="s">
        <v>1440</v>
      </c>
      <c r="C419" s="309" t="s">
        <v>517</v>
      </c>
      <c r="D419" s="240" t="n">
        <v>46474</v>
      </c>
      <c r="E419" s="183" t="s">
        <v>626</v>
      </c>
      <c r="F419" s="178" t="str">
        <f aca="false">IF(AND(L419="🔄 SWAP ME",M419&lt;&gt;""),M419,IFERROR(INDEX($O$5:$O$375,MATCH(O419,$M$5:$M$375,0)),O419))</f>
        <v>Week 52: 7 certs. 35+ projects. 200+ DSA. Apply confidently.</v>
      </c>
      <c r="G419" s="188" t="s">
        <v>496</v>
      </c>
      <c r="H419" s="39" t="n">
        <v>0.5</v>
      </c>
      <c r="I419" s="40" t="n">
        <v>1</v>
      </c>
      <c r="J419" s="41" t="n">
        <v>2</v>
      </c>
      <c r="K419" s="179" t="s">
        <v>1348</v>
      </c>
      <c r="L419" s="179" t="s">
        <v>1349</v>
      </c>
      <c r="M419" s="241"/>
      <c r="N419" s="316" t="str">
        <f aca="false">IF(AND(L419="🔄 SWAP ME",M419&lt;&gt;""),"⚡ SWAPPED","")</f>
        <v/>
      </c>
      <c r="O419" s="9" t="s">
        <v>1323</v>
      </c>
      <c r="P419" s="317" t="str">
        <f aca="true">IF(AND(L419="🔄 SWAP ME",M419&lt;&gt;""),TODAY(),"")</f>
        <v/>
      </c>
      <c r="Q419" s="315" t="s">
        <v>1324</v>
      </c>
    </row>
    <row r="420" customFormat="false" ht="12" hidden="false" customHeight="true" outlineLevel="0" collapsed="false">
      <c r="B420" s="321" t="s">
        <v>1441</v>
      </c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</row>
    <row r="421" customFormat="false" ht="19.5" hidden="false" customHeight="true" outlineLevel="0" collapsed="false">
      <c r="B421" s="50" t="s">
        <v>1442</v>
      </c>
      <c r="C421" s="273" t="s">
        <v>118</v>
      </c>
      <c r="D421" s="244" t="n">
        <v>46475</v>
      </c>
      <c r="E421" s="274" t="s">
        <v>623</v>
      </c>
      <c r="F421" s="37" t="str">
        <f aca="false">IF(AND(L421="🔄 SWAP ME",M421&lt;&gt;""),M421,IFERROR(INDEX($O$5:$O$375,MATCH(O421,$M$5:$M$375,0)),O421))</f>
        <v>Final buffer: Address remaining interview loop or negotiation</v>
      </c>
      <c r="G421" s="188" t="s">
        <v>496</v>
      </c>
      <c r="H421" s="39" t="n">
        <v>0.5</v>
      </c>
      <c r="I421" s="40" t="n">
        <v>1</v>
      </c>
      <c r="J421" s="41" t="n">
        <v>2</v>
      </c>
      <c r="K421" s="76" t="s">
        <v>1348</v>
      </c>
      <c r="L421" s="76" t="s">
        <v>1349</v>
      </c>
      <c r="M421" s="245"/>
      <c r="N421" s="63" t="str">
        <f aca="false">IF(AND(L421="🔄 SWAP ME",M421&lt;&gt;""),"⚡ SWAPPED","")</f>
        <v/>
      </c>
      <c r="O421" s="9" t="s">
        <v>1325</v>
      </c>
      <c r="P421" s="314" t="str">
        <f aca="true">IF(AND(L421="🔄 SWAP ME",M421&lt;&gt;""),TODAY(),"")</f>
        <v/>
      </c>
      <c r="Q421" s="315" t="s">
        <v>1326</v>
      </c>
    </row>
    <row r="422" customFormat="false" ht="19.5" hidden="false" customHeight="true" outlineLevel="0" collapsed="false">
      <c r="B422" s="50" t="s">
        <v>1442</v>
      </c>
      <c r="C422" s="273" t="s">
        <v>123</v>
      </c>
      <c r="D422" s="244" t="n">
        <v>46476</v>
      </c>
      <c r="E422" s="36" t="s">
        <v>617</v>
      </c>
      <c r="F422" s="37" t="str">
        <f aca="false">IF(AND(L422="🔄 SWAP ME",M422&lt;&gt;""),M422,IFERROR(INDEX($O$5:$O$375,MATCH(O422,$M$5:$M$375,0)),O422))</f>
        <v>Advanced study: any new topic that emerged during interviews</v>
      </c>
      <c r="G422" s="188" t="s">
        <v>496</v>
      </c>
      <c r="H422" s="39" t="n">
        <v>0.5</v>
      </c>
      <c r="I422" s="40" t="n">
        <v>1</v>
      </c>
      <c r="J422" s="41" t="n">
        <v>2</v>
      </c>
      <c r="K422" s="76" t="s">
        <v>1348</v>
      </c>
      <c r="L422" s="76" t="s">
        <v>1349</v>
      </c>
      <c r="M422" s="245"/>
      <c r="N422" s="63" t="str">
        <f aca="false">IF(AND(L422="🔄 SWAP ME",M422&lt;&gt;""),"⚡ SWAPPED","")</f>
        <v/>
      </c>
      <c r="O422" s="9" t="s">
        <v>1327</v>
      </c>
      <c r="P422" s="314" t="str">
        <f aca="true">IF(AND(L422="🔄 SWAP ME",M422&lt;&gt;""),TODAY(),"")</f>
        <v/>
      </c>
      <c r="Q422" s="315" t="s">
        <v>1328</v>
      </c>
    </row>
    <row r="423" customFormat="false" ht="19.5" hidden="false" customHeight="true" outlineLevel="0" collapsed="false">
      <c r="B423" s="50" t="s">
        <v>1442</v>
      </c>
      <c r="C423" s="273" t="s">
        <v>126</v>
      </c>
      <c r="D423" s="244" t="n">
        <v>46477</v>
      </c>
      <c r="E423" s="36" t="s">
        <v>617</v>
      </c>
      <c r="F423" s="37" t="str">
        <f aca="false">IF(AND(L423="🔄 SWAP ME",M423&lt;&gt;""),M423,IFERROR(INDEX($O$5:$O$375,MATCH(O423,$M$5:$M$375,0)),O423))</f>
        <v>Cert renewal check (Spark Assoc expires 2 years from exam date)</v>
      </c>
      <c r="G423" s="188" t="s">
        <v>496</v>
      </c>
      <c r="H423" s="39" t="n">
        <v>0.5</v>
      </c>
      <c r="I423" s="40" t="n">
        <v>1</v>
      </c>
      <c r="J423" s="41" t="n">
        <v>2</v>
      </c>
      <c r="K423" s="76" t="s">
        <v>1348</v>
      </c>
      <c r="L423" s="76" t="s">
        <v>1349</v>
      </c>
      <c r="M423" s="245"/>
      <c r="N423" s="63" t="str">
        <f aca="false">IF(AND(L423="🔄 SWAP ME",M423&lt;&gt;""),"⚡ SWAPPED","")</f>
        <v/>
      </c>
      <c r="O423" s="9" t="s">
        <v>1329</v>
      </c>
      <c r="P423" s="314" t="str">
        <f aca="true">IF(AND(L423="🔄 SWAP ME",M423&lt;&gt;""),TODAY(),"")</f>
        <v/>
      </c>
      <c r="Q423" s="315" t="s">
        <v>1330</v>
      </c>
    </row>
    <row r="424" customFormat="false" ht="19.5" hidden="false" customHeight="true" outlineLevel="0" collapsed="false">
      <c r="B424" s="50" t="s">
        <v>1442</v>
      </c>
      <c r="C424" s="273" t="s">
        <v>130</v>
      </c>
      <c r="D424" s="244" t="n">
        <v>46478</v>
      </c>
      <c r="E424" s="183" t="s">
        <v>626</v>
      </c>
      <c r="F424" s="37" t="str">
        <f aca="false">IF(AND(L424="🔄 SWAP ME",M424&lt;&gt;""),M424,IFERROR(INDEX($O$5:$O$375,MATCH(O424,$M$5:$M$375,0)),O424))</f>
        <v>Document lessons learned — what worked, what to improve</v>
      </c>
      <c r="G424" s="188" t="s">
        <v>496</v>
      </c>
      <c r="H424" s="39" t="n">
        <v>0.5</v>
      </c>
      <c r="I424" s="40" t="n">
        <v>1</v>
      </c>
      <c r="J424" s="41" t="n">
        <v>1.5</v>
      </c>
      <c r="K424" s="76" t="s">
        <v>1348</v>
      </c>
      <c r="L424" s="76" t="s">
        <v>1349</v>
      </c>
      <c r="M424" s="245"/>
      <c r="N424" s="63" t="str">
        <f aca="false">IF(AND(L424="🔄 SWAP ME",M424&lt;&gt;""),"⚡ SWAPPED","")</f>
        <v/>
      </c>
      <c r="O424" s="9" t="s">
        <v>1331</v>
      </c>
      <c r="P424" s="314" t="str">
        <f aca="true">IF(AND(L424="🔄 SWAP ME",M424&lt;&gt;""),TODAY(),"")</f>
        <v/>
      </c>
      <c r="Q424" s="315" t="s">
        <v>1332</v>
      </c>
    </row>
    <row r="425" customFormat="false" ht="19.5" hidden="false" customHeight="true" outlineLevel="0" collapsed="false">
      <c r="B425" s="50" t="s">
        <v>1442</v>
      </c>
      <c r="C425" s="273" t="s">
        <v>133</v>
      </c>
      <c r="D425" s="244" t="n">
        <v>46479</v>
      </c>
      <c r="E425" s="36" t="s">
        <v>617</v>
      </c>
      <c r="F425" s="37" t="str">
        <f aca="false">IF(AND(L425="🔄 SWAP ME",M425&lt;&gt;""),M425,IFERROR(INDEX($O$5:$O$375,MATCH(O425,$M$5:$M$375,0)),O425))</f>
        <v>DSA: One final 45 min mock — celebrate your progress</v>
      </c>
      <c r="G425" s="188" t="s">
        <v>496</v>
      </c>
      <c r="H425" s="39" t="n">
        <v>0.3</v>
      </c>
      <c r="I425" s="40" t="n">
        <v>0.5</v>
      </c>
      <c r="J425" s="41" t="n">
        <v>0.75</v>
      </c>
      <c r="K425" s="76" t="s">
        <v>1348</v>
      </c>
      <c r="L425" s="76" t="s">
        <v>1349</v>
      </c>
      <c r="M425" s="245"/>
      <c r="N425" s="63" t="str">
        <f aca="false">IF(AND(L425="🔄 SWAP ME",M425&lt;&gt;""),"⚡ SWAPPED","")</f>
        <v/>
      </c>
      <c r="O425" s="9" t="s">
        <v>1333</v>
      </c>
      <c r="P425" s="314" t="str">
        <f aca="true">IF(AND(L425="🔄 SWAP ME",M425&lt;&gt;""),TODAY(),"")</f>
        <v/>
      </c>
      <c r="Q425" s="315" t="s">
        <v>571</v>
      </c>
    </row>
    <row r="426" customFormat="false" ht="19.5" hidden="false" customHeight="true" outlineLevel="0" collapsed="false">
      <c r="B426" s="50" t="s">
        <v>1442</v>
      </c>
      <c r="C426" s="309" t="s">
        <v>516</v>
      </c>
      <c r="D426" s="240" t="n">
        <v>46480</v>
      </c>
      <c r="E426" s="36" t="s">
        <v>617</v>
      </c>
      <c r="F426" s="178" t="str">
        <f aca="false">IF(AND(L426="🔄 SWAP ME",M426&lt;&gt;""),M426,IFERROR(INDEX($O$5:$O$375,MATCH(O426,$M$5:$M$375,0)),O426))</f>
        <v>🎉 WEEK 53 COMPLETE — Roadmap done. 80+ LPA is yours to take.</v>
      </c>
      <c r="G426" s="188" t="s">
        <v>496</v>
      </c>
      <c r="H426" s="39" t="n">
        <v>0.5</v>
      </c>
      <c r="I426" s="40" t="n">
        <v>1</v>
      </c>
      <c r="J426" s="41" t="n">
        <v>2</v>
      </c>
      <c r="K426" s="179" t="s">
        <v>1348</v>
      </c>
      <c r="L426" s="179" t="s">
        <v>1349</v>
      </c>
      <c r="M426" s="241"/>
      <c r="N426" s="316" t="str">
        <f aca="false">IF(AND(L426="🔄 SWAP ME",M426&lt;&gt;""),"⚡ SWAPPED","")</f>
        <v/>
      </c>
      <c r="O426" s="9" t="s">
        <v>1334</v>
      </c>
      <c r="P426" s="317" t="str">
        <f aca="true">IF(AND(L426="🔄 SWAP ME",M426&lt;&gt;""),TODAY(),"")</f>
        <v/>
      </c>
      <c r="Q426" s="315" t="s">
        <v>1335</v>
      </c>
    </row>
    <row r="427" customFormat="false" ht="19.5" hidden="false" customHeight="true" outlineLevel="0" collapsed="false">
      <c r="B427" s="50" t="s">
        <v>1442</v>
      </c>
      <c r="C427" s="309" t="s">
        <v>517</v>
      </c>
      <c r="D427" s="240" t="n">
        <v>46481</v>
      </c>
      <c r="E427" s="183" t="s">
        <v>626</v>
      </c>
      <c r="F427" s="178" t="str">
        <f aca="false">IF(AND(L427="🔄 SWAP ME",M427&lt;&gt;""),M427,IFERROR(INDEX($O$5:$O$375,MATCH(O427,$M$5:$M$375,0)),O427))</f>
        <v>Welcome to 80+ LPA. Keep growing. Keep building.</v>
      </c>
      <c r="G427" s="188" t="s">
        <v>496</v>
      </c>
      <c r="H427" s="39" t="n">
        <v>0.5</v>
      </c>
      <c r="I427" s="40" t="n">
        <v>1</v>
      </c>
      <c r="J427" s="41" t="n">
        <v>2</v>
      </c>
      <c r="K427" s="179" t="s">
        <v>1348</v>
      </c>
      <c r="L427" s="179" t="s">
        <v>1349</v>
      </c>
      <c r="M427" s="241"/>
      <c r="N427" s="316" t="str">
        <f aca="false">IF(AND(L427="🔄 SWAP ME",M427&lt;&gt;""),"⚡ SWAPPED","")</f>
        <v/>
      </c>
      <c r="O427" s="9" t="s">
        <v>1336</v>
      </c>
      <c r="P427" s="317" t="str">
        <f aca="true">IF(AND(L427="🔄 SWAP ME",M427&lt;&gt;""),TODAY(),"")</f>
        <v/>
      </c>
      <c r="Q427" s="315" t="s">
        <v>1337</v>
      </c>
    </row>
    <row r="430" customFormat="false" ht="18" hidden="false" customHeight="true" outlineLevel="0" collapsed="false">
      <c r="B430" s="332" t="s">
        <v>1443</v>
      </c>
      <c r="C430" s="332"/>
      <c r="D430" s="332"/>
      <c r="E430" s="332"/>
      <c r="F430" s="332"/>
      <c r="G430" s="332"/>
      <c r="H430" s="332"/>
      <c r="I430" s="332"/>
      <c r="J430" s="332"/>
      <c r="K430" s="332"/>
      <c r="L430" s="332"/>
      <c r="M430" s="332"/>
      <c r="N430" s="332"/>
      <c r="O430" s="332"/>
      <c r="P430" s="332"/>
      <c r="Q430" s="332"/>
    </row>
    <row r="431" customFormat="false" ht="19.5" hidden="false" customHeight="true" outlineLevel="0" collapsed="false">
      <c r="B431" s="333" t="s">
        <v>1444</v>
      </c>
      <c r="C431" s="333"/>
      <c r="D431" s="333" t="s">
        <v>1445</v>
      </c>
      <c r="E431" s="333"/>
      <c r="F431" s="333"/>
      <c r="G431" s="333" t="s">
        <v>1446</v>
      </c>
      <c r="H431" s="333"/>
      <c r="I431" s="333"/>
      <c r="J431" s="333" t="s">
        <v>1345</v>
      </c>
      <c r="K431" s="333"/>
      <c r="L431" s="333" t="s">
        <v>50</v>
      </c>
      <c r="M431" s="333"/>
      <c r="N431" s="333"/>
    </row>
    <row r="432" customFormat="false" ht="18" hidden="false" customHeight="true" outlineLevel="0" collapsed="false">
      <c r="B432" s="334" t="str">
        <f aca="false">IFERROR(aggregate(15,6,ROW($L$5:$L$427)/($L$5:$L$427="🔄 SWAP ME"),1),"")</f>
        <v/>
      </c>
      <c r="C432" s="334"/>
      <c r="D432" s="335" t="str">
        <f aca="true">IF(B432&lt;&gt;"",INDIRECT("O"&amp;B432),"")</f>
        <v/>
      </c>
      <c r="E432" s="335"/>
      <c r="F432" s="335"/>
      <c r="G432" s="336" t="str">
        <f aca="true">IF(B432&lt;&gt;"",INDIRECT("M"&amp;B432),"")</f>
        <v/>
      </c>
      <c r="H432" s="336"/>
      <c r="I432" s="336"/>
      <c r="J432" s="337" t="str">
        <f aca="true">IF(B432&lt;&gt;"",INDIRECT("P"&amp;B432),"")</f>
        <v/>
      </c>
      <c r="K432" s="337"/>
      <c r="L432" s="338" t="str">
        <f aca="false">IF(B432&lt;&gt;"","✅ Both topics visible in schedule","")</f>
        <v/>
      </c>
      <c r="M432" s="338"/>
      <c r="N432" s="338"/>
    </row>
    <row r="433" customFormat="false" ht="18" hidden="false" customHeight="true" outlineLevel="0" collapsed="false">
      <c r="B433" s="339" t="str">
        <f aca="false">IFERROR(aggregate(15,6,ROW($L$5:$L$427)/($L$5:$L$427="🔄 SWAP ME"),2),"")</f>
        <v/>
      </c>
      <c r="C433" s="339"/>
      <c r="D433" s="340" t="str">
        <f aca="true">IF(B433&lt;&gt;"",INDIRECT("O"&amp;B433),"")</f>
        <v/>
      </c>
      <c r="E433" s="340"/>
      <c r="F433" s="340"/>
      <c r="G433" s="341" t="str">
        <f aca="true">IF(B433&lt;&gt;"",INDIRECT("M"&amp;B433),"")</f>
        <v/>
      </c>
      <c r="H433" s="341"/>
      <c r="I433" s="341"/>
      <c r="J433" s="342" t="str">
        <f aca="true">IF(B433&lt;&gt;"",INDIRECT("P"&amp;B433),"")</f>
        <v/>
      </c>
      <c r="K433" s="342"/>
      <c r="L433" s="343" t="str">
        <f aca="false">IF(B433&lt;&gt;"","✅ Both topics visible in schedule","")</f>
        <v/>
      </c>
      <c r="M433" s="343"/>
      <c r="N433" s="343"/>
    </row>
    <row r="434" customFormat="false" ht="18" hidden="false" customHeight="true" outlineLevel="0" collapsed="false">
      <c r="B434" s="334" t="str">
        <f aca="false">IFERROR(aggregate(15,6,ROW($L$5:$L$427)/($L$5:$L$427="🔄 SWAP ME"),3),"")</f>
        <v/>
      </c>
      <c r="C434" s="334"/>
      <c r="D434" s="335" t="str">
        <f aca="true">IF(B434&lt;&gt;"",INDIRECT("O"&amp;B434),"")</f>
        <v/>
      </c>
      <c r="E434" s="335"/>
      <c r="F434" s="335"/>
      <c r="G434" s="336" t="str">
        <f aca="true">IF(B434&lt;&gt;"",INDIRECT("M"&amp;B434),"")</f>
        <v/>
      </c>
      <c r="H434" s="336"/>
      <c r="I434" s="336"/>
      <c r="J434" s="337" t="str">
        <f aca="true">IF(B434&lt;&gt;"",INDIRECT("P"&amp;B434),"")</f>
        <v/>
      </c>
      <c r="K434" s="337"/>
      <c r="L434" s="338" t="str">
        <f aca="false">IF(B434&lt;&gt;"","✅ Both topics visible in schedule","")</f>
        <v/>
      </c>
      <c r="M434" s="338"/>
      <c r="N434" s="338"/>
    </row>
    <row r="435" customFormat="false" ht="18" hidden="false" customHeight="true" outlineLevel="0" collapsed="false">
      <c r="B435" s="339" t="str">
        <f aca="false">IFERROR(aggregate(15,6,ROW($L$5:$L$427)/($L$5:$L$427="🔄 SWAP ME"),4),"")</f>
        <v/>
      </c>
      <c r="C435" s="339"/>
      <c r="D435" s="340" t="str">
        <f aca="true">IF(B435&lt;&gt;"",INDIRECT("O"&amp;B435),"")</f>
        <v/>
      </c>
      <c r="E435" s="340"/>
      <c r="F435" s="340"/>
      <c r="G435" s="341" t="str">
        <f aca="true">IF(B435&lt;&gt;"",INDIRECT("M"&amp;B435),"")</f>
        <v/>
      </c>
      <c r="H435" s="341"/>
      <c r="I435" s="341"/>
      <c r="J435" s="342" t="str">
        <f aca="true">IF(B435&lt;&gt;"",INDIRECT("P"&amp;B435),"")</f>
        <v/>
      </c>
      <c r="K435" s="342"/>
      <c r="L435" s="343" t="str">
        <f aca="false">IF(B435&lt;&gt;"","✅ Both topics visible in schedule","")</f>
        <v/>
      </c>
      <c r="M435" s="343"/>
      <c r="N435" s="343"/>
    </row>
    <row r="436" customFormat="false" ht="18" hidden="false" customHeight="true" outlineLevel="0" collapsed="false">
      <c r="B436" s="334" t="str">
        <f aca="false">IFERROR(aggregate(15,6,ROW($L$5:$L$427)/($L$5:$L$427="🔄 SWAP ME"),5),"")</f>
        <v/>
      </c>
      <c r="C436" s="334"/>
      <c r="D436" s="335" t="str">
        <f aca="true">IF(B436&lt;&gt;"",INDIRECT("O"&amp;B436),"")</f>
        <v/>
      </c>
      <c r="E436" s="335"/>
      <c r="F436" s="335"/>
      <c r="G436" s="336" t="str">
        <f aca="true">IF(B436&lt;&gt;"",INDIRECT("M"&amp;B436),"")</f>
        <v/>
      </c>
      <c r="H436" s="336"/>
      <c r="I436" s="336"/>
      <c r="J436" s="337" t="str">
        <f aca="true">IF(B436&lt;&gt;"",INDIRECT("P"&amp;B436),"")</f>
        <v/>
      </c>
      <c r="K436" s="337"/>
      <c r="L436" s="338" t="str">
        <f aca="false">IF(B436&lt;&gt;"","✅ Both topics visible in schedule","")</f>
        <v/>
      </c>
      <c r="M436" s="338"/>
      <c r="N436" s="338"/>
    </row>
    <row r="437" customFormat="false" ht="18" hidden="false" customHeight="true" outlineLevel="0" collapsed="false">
      <c r="B437" s="339" t="str">
        <f aca="false">IFERROR(aggregate(15,6,ROW($L$5:$L$427)/($L$5:$L$427="🔄 SWAP ME"),6),"")</f>
        <v/>
      </c>
      <c r="C437" s="339"/>
      <c r="D437" s="340" t="str">
        <f aca="true">IF(B437&lt;&gt;"",INDIRECT("O"&amp;B437),"")</f>
        <v/>
      </c>
      <c r="E437" s="340"/>
      <c r="F437" s="340"/>
      <c r="G437" s="341" t="str">
        <f aca="true">IF(B437&lt;&gt;"",INDIRECT("M"&amp;B437),"")</f>
        <v/>
      </c>
      <c r="H437" s="341"/>
      <c r="I437" s="341"/>
      <c r="J437" s="342" t="str">
        <f aca="true">IF(B437&lt;&gt;"",INDIRECT("P"&amp;B437),"")</f>
        <v/>
      </c>
      <c r="K437" s="342"/>
      <c r="L437" s="343" t="str">
        <f aca="false">IF(B437&lt;&gt;"","✅ Both topics visible in schedule","")</f>
        <v/>
      </c>
      <c r="M437" s="343"/>
      <c r="N437" s="343"/>
    </row>
    <row r="438" customFormat="false" ht="18" hidden="false" customHeight="true" outlineLevel="0" collapsed="false">
      <c r="B438" s="334" t="str">
        <f aca="false">IFERROR(aggregate(15,6,ROW($L$5:$L$427)/($L$5:$L$427="🔄 SWAP ME"),7),"")</f>
        <v/>
      </c>
      <c r="C438" s="334"/>
      <c r="D438" s="335" t="str">
        <f aca="true">IF(B438&lt;&gt;"",INDIRECT("O"&amp;B438),"")</f>
        <v/>
      </c>
      <c r="E438" s="335"/>
      <c r="F438" s="335"/>
      <c r="G438" s="336" t="str">
        <f aca="true">IF(B438&lt;&gt;"",INDIRECT("M"&amp;B438),"")</f>
        <v/>
      </c>
      <c r="H438" s="336"/>
      <c r="I438" s="336"/>
      <c r="J438" s="337" t="str">
        <f aca="true">IF(B438&lt;&gt;"",INDIRECT("P"&amp;B438),"")</f>
        <v/>
      </c>
      <c r="K438" s="337"/>
      <c r="L438" s="338" t="str">
        <f aca="false">IF(B438&lt;&gt;"","✅ Both topics visible in schedule","")</f>
        <v/>
      </c>
      <c r="M438" s="338"/>
      <c r="N438" s="338"/>
    </row>
    <row r="439" customFormat="false" ht="18" hidden="false" customHeight="true" outlineLevel="0" collapsed="false">
      <c r="B439" s="339" t="str">
        <f aca="false">IFERROR(aggregate(15,6,ROW($L$5:$L$427)/($L$5:$L$427="🔄 SWAP ME"),8),"")</f>
        <v/>
      </c>
      <c r="C439" s="339"/>
      <c r="D439" s="340" t="str">
        <f aca="true">IF(B439&lt;&gt;"",INDIRECT("O"&amp;B439),"")</f>
        <v/>
      </c>
      <c r="E439" s="340"/>
      <c r="F439" s="340"/>
      <c r="G439" s="341" t="str">
        <f aca="true">IF(B439&lt;&gt;"",INDIRECT("M"&amp;B439),"")</f>
        <v/>
      </c>
      <c r="H439" s="341"/>
      <c r="I439" s="341"/>
      <c r="J439" s="342" t="str">
        <f aca="true">IF(B439&lt;&gt;"",INDIRECT("P"&amp;B439),"")</f>
        <v/>
      </c>
      <c r="K439" s="342"/>
      <c r="L439" s="343" t="str">
        <f aca="false">IF(B439&lt;&gt;"","✅ Both topics visible in schedule","")</f>
        <v/>
      </c>
      <c r="M439" s="343"/>
      <c r="N439" s="343"/>
    </row>
    <row r="440" customFormat="false" ht="18" hidden="false" customHeight="true" outlineLevel="0" collapsed="false">
      <c r="B440" s="334" t="str">
        <f aca="false">IFERROR(aggregate(15,6,ROW($L$5:$L$427)/($L$5:$L$427="🔄 SWAP ME"),9),"")</f>
        <v/>
      </c>
      <c r="C440" s="334"/>
      <c r="D440" s="335" t="str">
        <f aca="true">IF(B440&lt;&gt;"",INDIRECT("O"&amp;B440),"")</f>
        <v/>
      </c>
      <c r="E440" s="335"/>
      <c r="F440" s="335"/>
      <c r="G440" s="336" t="str">
        <f aca="true">IF(B440&lt;&gt;"",INDIRECT("M"&amp;B440),"")</f>
        <v/>
      </c>
      <c r="H440" s="336"/>
      <c r="I440" s="336"/>
      <c r="J440" s="337" t="str">
        <f aca="true">IF(B440&lt;&gt;"",INDIRECT("P"&amp;B440),"")</f>
        <v/>
      </c>
      <c r="K440" s="337"/>
      <c r="L440" s="338" t="str">
        <f aca="false">IF(B440&lt;&gt;"","✅ Both topics visible in schedule","")</f>
        <v/>
      </c>
      <c r="M440" s="338"/>
      <c r="N440" s="338"/>
    </row>
    <row r="441" customFormat="false" ht="18" hidden="false" customHeight="true" outlineLevel="0" collapsed="false">
      <c r="B441" s="339" t="str">
        <f aca="false">IFERROR(aggregate(15,6,ROW($L$5:$L$427)/($L$5:$L$427="🔄 SWAP ME"),10),"")</f>
        <v/>
      </c>
      <c r="C441" s="339"/>
      <c r="D441" s="340" t="str">
        <f aca="true">IF(B441&lt;&gt;"",INDIRECT("O"&amp;B441),"")</f>
        <v/>
      </c>
      <c r="E441" s="340"/>
      <c r="F441" s="340"/>
      <c r="G441" s="341" t="str">
        <f aca="true">IF(B441&lt;&gt;"",INDIRECT("M"&amp;B441),"")</f>
        <v/>
      </c>
      <c r="H441" s="341"/>
      <c r="I441" s="341"/>
      <c r="J441" s="342" t="str">
        <f aca="true">IF(B441&lt;&gt;"",INDIRECT("P"&amp;B441),"")</f>
        <v/>
      </c>
      <c r="K441" s="342"/>
      <c r="L441" s="343" t="str">
        <f aca="false">IF(B441&lt;&gt;"","✅ Both topics visible in schedule","")</f>
        <v/>
      </c>
      <c r="M441" s="343"/>
      <c r="N441" s="343"/>
    </row>
    <row r="442" customFormat="false" ht="18" hidden="false" customHeight="true" outlineLevel="0" collapsed="false">
      <c r="B442" s="334" t="str">
        <f aca="false">IFERROR(aggregate(15,6,ROW($L$5:$L$427)/($L$5:$L$427="🔄 SWAP ME"),11),"")</f>
        <v/>
      </c>
      <c r="C442" s="334"/>
      <c r="D442" s="335" t="str">
        <f aca="true">IF(B442&lt;&gt;"",INDIRECT("O"&amp;B442),"")</f>
        <v/>
      </c>
      <c r="E442" s="335"/>
      <c r="F442" s="335"/>
      <c r="G442" s="336" t="str">
        <f aca="true">IF(B442&lt;&gt;"",INDIRECT("M"&amp;B442),"")</f>
        <v/>
      </c>
      <c r="H442" s="336"/>
      <c r="I442" s="336"/>
      <c r="J442" s="337" t="str">
        <f aca="true">IF(B442&lt;&gt;"",INDIRECT("P"&amp;B442),"")</f>
        <v/>
      </c>
      <c r="K442" s="337"/>
      <c r="L442" s="338" t="str">
        <f aca="false">IF(B442&lt;&gt;"","✅ Both topics visible in schedule","")</f>
        <v/>
      </c>
      <c r="M442" s="338"/>
      <c r="N442" s="338"/>
    </row>
    <row r="443" customFormat="false" ht="18" hidden="false" customHeight="true" outlineLevel="0" collapsed="false">
      <c r="B443" s="339" t="str">
        <f aca="false">IFERROR(aggregate(15,6,ROW($L$5:$L$427)/($L$5:$L$427="🔄 SWAP ME"),12),"")</f>
        <v/>
      </c>
      <c r="C443" s="339"/>
      <c r="D443" s="340" t="str">
        <f aca="true">IF(B443&lt;&gt;"",INDIRECT("O"&amp;B443),"")</f>
        <v/>
      </c>
      <c r="E443" s="340"/>
      <c r="F443" s="340"/>
      <c r="G443" s="341" t="str">
        <f aca="true">IF(B443&lt;&gt;"",INDIRECT("M"&amp;B443),"")</f>
        <v/>
      </c>
      <c r="H443" s="341"/>
      <c r="I443" s="341"/>
      <c r="J443" s="342" t="str">
        <f aca="true">IF(B443&lt;&gt;"",INDIRECT("P"&amp;B443),"")</f>
        <v/>
      </c>
      <c r="K443" s="342"/>
      <c r="L443" s="343" t="str">
        <f aca="false">IF(B443&lt;&gt;"","✅ Both topics visible in schedule","")</f>
        <v/>
      </c>
      <c r="M443" s="343"/>
      <c r="N443" s="343"/>
    </row>
    <row r="444" customFormat="false" ht="18" hidden="false" customHeight="true" outlineLevel="0" collapsed="false">
      <c r="B444" s="334" t="str">
        <f aca="false">IFERROR(aggregate(15,6,ROW($L$5:$L$427)/($L$5:$L$427="🔄 SWAP ME"),13),"")</f>
        <v/>
      </c>
      <c r="C444" s="334"/>
      <c r="D444" s="335" t="str">
        <f aca="true">IF(B444&lt;&gt;"",INDIRECT("O"&amp;B444),"")</f>
        <v/>
      </c>
      <c r="E444" s="335"/>
      <c r="F444" s="335"/>
      <c r="G444" s="336" t="str">
        <f aca="true">IF(B444&lt;&gt;"",INDIRECT("M"&amp;B444),"")</f>
        <v/>
      </c>
      <c r="H444" s="336"/>
      <c r="I444" s="336"/>
      <c r="J444" s="337" t="str">
        <f aca="true">IF(B444&lt;&gt;"",INDIRECT("P"&amp;B444),"")</f>
        <v/>
      </c>
      <c r="K444" s="337"/>
      <c r="L444" s="338" t="str">
        <f aca="false">IF(B444&lt;&gt;"","✅ Both topics visible in schedule","")</f>
        <v/>
      </c>
      <c r="M444" s="338"/>
      <c r="N444" s="338"/>
    </row>
    <row r="445" customFormat="false" ht="18" hidden="false" customHeight="true" outlineLevel="0" collapsed="false">
      <c r="B445" s="339" t="str">
        <f aca="false">IFERROR(aggregate(15,6,ROW($L$5:$L$427)/($L$5:$L$427="🔄 SWAP ME"),14),"")</f>
        <v/>
      </c>
      <c r="C445" s="339"/>
      <c r="D445" s="340" t="str">
        <f aca="true">IF(B445&lt;&gt;"",INDIRECT("O"&amp;B445),"")</f>
        <v/>
      </c>
      <c r="E445" s="340"/>
      <c r="F445" s="340"/>
      <c r="G445" s="341" t="str">
        <f aca="true">IF(B445&lt;&gt;"",INDIRECT("M"&amp;B445),"")</f>
        <v/>
      </c>
      <c r="H445" s="341"/>
      <c r="I445" s="341"/>
      <c r="J445" s="342" t="str">
        <f aca="true">IF(B445&lt;&gt;"",INDIRECT("P"&amp;B445),"")</f>
        <v/>
      </c>
      <c r="K445" s="342"/>
      <c r="L445" s="343" t="str">
        <f aca="false">IF(B445&lt;&gt;"","✅ Both topics visible in schedule","")</f>
        <v/>
      </c>
      <c r="M445" s="343"/>
      <c r="N445" s="343"/>
    </row>
    <row r="446" customFormat="false" ht="18" hidden="false" customHeight="true" outlineLevel="0" collapsed="false">
      <c r="B446" s="334" t="str">
        <f aca="false">IFERROR(aggregate(15,6,ROW($L$5:$L$427)/($L$5:$L$427="🔄 SWAP ME"),15),"")</f>
        <v/>
      </c>
      <c r="C446" s="334"/>
      <c r="D446" s="335" t="str">
        <f aca="true">IF(B446&lt;&gt;"",INDIRECT("O"&amp;B446),"")</f>
        <v/>
      </c>
      <c r="E446" s="335"/>
      <c r="F446" s="335"/>
      <c r="G446" s="336" t="str">
        <f aca="true">IF(B446&lt;&gt;"",INDIRECT("M"&amp;B446),"")</f>
        <v/>
      </c>
      <c r="H446" s="336"/>
      <c r="I446" s="336"/>
      <c r="J446" s="337" t="str">
        <f aca="true">IF(B446&lt;&gt;"",INDIRECT("P"&amp;B446),"")</f>
        <v/>
      </c>
      <c r="K446" s="337"/>
      <c r="L446" s="338" t="str">
        <f aca="false">IF(B446&lt;&gt;"","✅ Both topics visible in schedule","")</f>
        <v/>
      </c>
      <c r="M446" s="338"/>
      <c r="N446" s="338"/>
    </row>
    <row r="447" customFormat="false" ht="18" hidden="false" customHeight="true" outlineLevel="0" collapsed="false">
      <c r="B447" s="339" t="str">
        <f aca="false">IFERROR(aggregate(15,6,ROW($L$5:$L$427)/($L$5:$L$427="🔄 SWAP ME"),16),"")</f>
        <v/>
      </c>
      <c r="C447" s="339"/>
      <c r="D447" s="340" t="str">
        <f aca="true">IF(B447&lt;&gt;"",INDIRECT("O"&amp;B447),"")</f>
        <v/>
      </c>
      <c r="E447" s="340"/>
      <c r="F447" s="340"/>
      <c r="G447" s="341" t="str">
        <f aca="true">IF(B447&lt;&gt;"",INDIRECT("M"&amp;B447),"")</f>
        <v/>
      </c>
      <c r="H447" s="341"/>
      <c r="I447" s="341"/>
      <c r="J447" s="342" t="str">
        <f aca="true">IF(B447&lt;&gt;"",INDIRECT("P"&amp;B447),"")</f>
        <v/>
      </c>
      <c r="K447" s="342"/>
      <c r="L447" s="343" t="str">
        <f aca="false">IF(B447&lt;&gt;"","✅ Both topics visible in schedule","")</f>
        <v/>
      </c>
      <c r="M447" s="343"/>
      <c r="N447" s="343"/>
    </row>
    <row r="448" customFormat="false" ht="18" hidden="false" customHeight="true" outlineLevel="0" collapsed="false">
      <c r="B448" s="334" t="str">
        <f aca="false">IFERROR(aggregate(15,6,ROW($L$5:$L$427)/($L$5:$L$427="🔄 SWAP ME"),17),"")</f>
        <v/>
      </c>
      <c r="C448" s="334"/>
      <c r="D448" s="335" t="str">
        <f aca="true">IF(B448&lt;&gt;"",INDIRECT("O"&amp;B448),"")</f>
        <v/>
      </c>
      <c r="E448" s="335"/>
      <c r="F448" s="335"/>
      <c r="G448" s="336" t="str">
        <f aca="true">IF(B448&lt;&gt;"",INDIRECT("M"&amp;B448),"")</f>
        <v/>
      </c>
      <c r="H448" s="336"/>
      <c r="I448" s="336"/>
      <c r="J448" s="337" t="str">
        <f aca="true">IF(B448&lt;&gt;"",INDIRECT("P"&amp;B448),"")</f>
        <v/>
      </c>
      <c r="K448" s="337"/>
      <c r="L448" s="338" t="str">
        <f aca="false">IF(B448&lt;&gt;"","✅ Both topics visible in schedule","")</f>
        <v/>
      </c>
      <c r="M448" s="338"/>
      <c r="N448" s="338"/>
    </row>
    <row r="449" customFormat="false" ht="18" hidden="false" customHeight="true" outlineLevel="0" collapsed="false">
      <c r="B449" s="339" t="str">
        <f aca="false">IFERROR(aggregate(15,6,ROW($L$5:$L$427)/($L$5:$L$427="🔄 SWAP ME"),18),"")</f>
        <v/>
      </c>
      <c r="C449" s="339"/>
      <c r="D449" s="340" t="str">
        <f aca="true">IF(B449&lt;&gt;"",INDIRECT("O"&amp;B449),"")</f>
        <v/>
      </c>
      <c r="E449" s="340"/>
      <c r="F449" s="340"/>
      <c r="G449" s="341" t="str">
        <f aca="true">IF(B449&lt;&gt;"",INDIRECT("M"&amp;B449),"")</f>
        <v/>
      </c>
      <c r="H449" s="341"/>
      <c r="I449" s="341"/>
      <c r="J449" s="342" t="str">
        <f aca="true">IF(B449&lt;&gt;"",INDIRECT("P"&amp;B449),"")</f>
        <v/>
      </c>
      <c r="K449" s="342"/>
      <c r="L449" s="343" t="str">
        <f aca="false">IF(B449&lt;&gt;"","✅ Both topics visible in schedule","")</f>
        <v/>
      </c>
      <c r="M449" s="343"/>
      <c r="N449" s="343"/>
    </row>
    <row r="450" customFormat="false" ht="18" hidden="false" customHeight="true" outlineLevel="0" collapsed="false">
      <c r="B450" s="334" t="str">
        <f aca="false">IFERROR(aggregate(15,6,ROW($L$5:$L$427)/($L$5:$L$427="🔄 SWAP ME"),19),"")</f>
        <v/>
      </c>
      <c r="C450" s="334"/>
      <c r="D450" s="335" t="str">
        <f aca="true">IF(B450&lt;&gt;"",INDIRECT("O"&amp;B450),"")</f>
        <v/>
      </c>
      <c r="E450" s="335"/>
      <c r="F450" s="335"/>
      <c r="G450" s="336" t="str">
        <f aca="true">IF(B450&lt;&gt;"",INDIRECT("M"&amp;B450),"")</f>
        <v/>
      </c>
      <c r="H450" s="336"/>
      <c r="I450" s="336"/>
      <c r="J450" s="337" t="str">
        <f aca="true">IF(B450&lt;&gt;"",INDIRECT("P"&amp;B450),"")</f>
        <v/>
      </c>
      <c r="K450" s="337"/>
      <c r="L450" s="338" t="str">
        <f aca="false">IF(B450&lt;&gt;"","✅ Both topics visible in schedule","")</f>
        <v/>
      </c>
      <c r="M450" s="338"/>
      <c r="N450" s="338"/>
    </row>
    <row r="451" customFormat="false" ht="18" hidden="false" customHeight="true" outlineLevel="0" collapsed="false">
      <c r="B451" s="339" t="str">
        <f aca="false">IFERROR(aggregate(15,6,ROW($L$5:$L$427)/($L$5:$L$427="🔄 SWAP ME"),20),"")</f>
        <v/>
      </c>
      <c r="C451" s="339"/>
      <c r="D451" s="340" t="str">
        <f aca="true">IF(B451&lt;&gt;"",INDIRECT("O"&amp;B451),"")</f>
        <v/>
      </c>
      <c r="E451" s="340"/>
      <c r="F451" s="340"/>
      <c r="G451" s="341" t="str">
        <f aca="true">IF(B451&lt;&gt;"",INDIRECT("M"&amp;B451),"")</f>
        <v/>
      </c>
      <c r="H451" s="341"/>
      <c r="I451" s="341"/>
      <c r="J451" s="342" t="str">
        <f aca="true">IF(B451&lt;&gt;"",INDIRECT("P"&amp;B451),"")</f>
        <v/>
      </c>
      <c r="K451" s="342"/>
      <c r="L451" s="343" t="str">
        <f aca="false">IF(B451&lt;&gt;"","✅ Both topics visible in schedule","")</f>
        <v/>
      </c>
      <c r="M451" s="343"/>
      <c r="N451" s="343"/>
    </row>
  </sheetData>
  <mergeCells count="161">
    <mergeCell ref="A1:Q1"/>
    <mergeCell ref="A2:Q2"/>
    <mergeCell ref="B4:Q4"/>
    <mergeCell ref="B12:Q12"/>
    <mergeCell ref="B20:Q20"/>
    <mergeCell ref="B28:Q28"/>
    <mergeCell ref="B36:Q36"/>
    <mergeCell ref="B44:Q44"/>
    <mergeCell ref="B52:Q52"/>
    <mergeCell ref="B60:Q60"/>
    <mergeCell ref="B68:Q68"/>
    <mergeCell ref="B76:Q76"/>
    <mergeCell ref="B84:Q84"/>
    <mergeCell ref="B92:Q92"/>
    <mergeCell ref="B100:Q100"/>
    <mergeCell ref="B108:Q108"/>
    <mergeCell ref="B116:Q116"/>
    <mergeCell ref="B124:Q124"/>
    <mergeCell ref="B132:Q132"/>
    <mergeCell ref="B140:Q140"/>
    <mergeCell ref="B148:Q148"/>
    <mergeCell ref="B156:Q156"/>
    <mergeCell ref="B164:Q164"/>
    <mergeCell ref="B172:Q172"/>
    <mergeCell ref="B180:Q180"/>
    <mergeCell ref="B188:Q188"/>
    <mergeCell ref="B196:Q196"/>
    <mergeCell ref="B204:Q204"/>
    <mergeCell ref="B212:Q212"/>
    <mergeCell ref="B220:Q220"/>
    <mergeCell ref="B228:Q228"/>
    <mergeCell ref="B236:Q236"/>
    <mergeCell ref="B244:Q244"/>
    <mergeCell ref="B252:Q252"/>
    <mergeCell ref="B260:Q260"/>
    <mergeCell ref="B268:Q268"/>
    <mergeCell ref="B276:Q276"/>
    <mergeCell ref="B284:Q284"/>
    <mergeCell ref="B292:Q292"/>
    <mergeCell ref="B300:Q300"/>
    <mergeCell ref="B308:Q308"/>
    <mergeCell ref="B316:Q316"/>
    <mergeCell ref="B324:Q324"/>
    <mergeCell ref="B332:Q332"/>
    <mergeCell ref="B340:Q340"/>
    <mergeCell ref="B348:Q348"/>
    <mergeCell ref="B356:Q356"/>
    <mergeCell ref="B364:Q364"/>
    <mergeCell ref="B372:Q372"/>
    <mergeCell ref="B380:Q380"/>
    <mergeCell ref="B388:Q388"/>
    <mergeCell ref="B396:Q396"/>
    <mergeCell ref="B404:Q404"/>
    <mergeCell ref="B412:Q412"/>
    <mergeCell ref="B420:Q420"/>
    <mergeCell ref="B430:Q430"/>
    <mergeCell ref="B431:C431"/>
    <mergeCell ref="D431:F431"/>
    <mergeCell ref="G431:I431"/>
    <mergeCell ref="J431:K431"/>
    <mergeCell ref="L431:N431"/>
    <mergeCell ref="B432:C432"/>
    <mergeCell ref="D432:F432"/>
    <mergeCell ref="G432:I432"/>
    <mergeCell ref="J432:K432"/>
    <mergeCell ref="L432:N432"/>
    <mergeCell ref="B433:C433"/>
    <mergeCell ref="D433:F433"/>
    <mergeCell ref="G433:I433"/>
    <mergeCell ref="J433:K433"/>
    <mergeCell ref="L433:N433"/>
    <mergeCell ref="B434:C434"/>
    <mergeCell ref="D434:F434"/>
    <mergeCell ref="G434:I434"/>
    <mergeCell ref="J434:K434"/>
    <mergeCell ref="L434:N434"/>
    <mergeCell ref="B435:C435"/>
    <mergeCell ref="D435:F435"/>
    <mergeCell ref="G435:I435"/>
    <mergeCell ref="J435:K435"/>
    <mergeCell ref="L435:N435"/>
    <mergeCell ref="B436:C436"/>
    <mergeCell ref="D436:F436"/>
    <mergeCell ref="G436:I436"/>
    <mergeCell ref="J436:K436"/>
    <mergeCell ref="L436:N436"/>
    <mergeCell ref="B437:C437"/>
    <mergeCell ref="D437:F437"/>
    <mergeCell ref="G437:I437"/>
    <mergeCell ref="J437:K437"/>
    <mergeCell ref="L437:N437"/>
    <mergeCell ref="B438:C438"/>
    <mergeCell ref="D438:F438"/>
    <mergeCell ref="G438:I438"/>
    <mergeCell ref="J438:K438"/>
    <mergeCell ref="L438:N438"/>
    <mergeCell ref="B439:C439"/>
    <mergeCell ref="D439:F439"/>
    <mergeCell ref="G439:I439"/>
    <mergeCell ref="J439:K439"/>
    <mergeCell ref="L439:N439"/>
    <mergeCell ref="B440:C440"/>
    <mergeCell ref="D440:F440"/>
    <mergeCell ref="G440:I440"/>
    <mergeCell ref="J440:K440"/>
    <mergeCell ref="L440:N440"/>
    <mergeCell ref="B441:C441"/>
    <mergeCell ref="D441:F441"/>
    <mergeCell ref="G441:I441"/>
    <mergeCell ref="J441:K441"/>
    <mergeCell ref="L441:N441"/>
    <mergeCell ref="B442:C442"/>
    <mergeCell ref="D442:F442"/>
    <mergeCell ref="G442:I442"/>
    <mergeCell ref="J442:K442"/>
    <mergeCell ref="L442:N442"/>
    <mergeCell ref="B443:C443"/>
    <mergeCell ref="D443:F443"/>
    <mergeCell ref="G443:I443"/>
    <mergeCell ref="J443:K443"/>
    <mergeCell ref="L443:N443"/>
    <mergeCell ref="B444:C444"/>
    <mergeCell ref="D444:F444"/>
    <mergeCell ref="G444:I444"/>
    <mergeCell ref="J444:K444"/>
    <mergeCell ref="L444:N444"/>
    <mergeCell ref="B445:C445"/>
    <mergeCell ref="D445:F445"/>
    <mergeCell ref="G445:I445"/>
    <mergeCell ref="J445:K445"/>
    <mergeCell ref="L445:N445"/>
    <mergeCell ref="B446:C446"/>
    <mergeCell ref="D446:F446"/>
    <mergeCell ref="G446:I446"/>
    <mergeCell ref="J446:K446"/>
    <mergeCell ref="L446:N446"/>
    <mergeCell ref="B447:C447"/>
    <mergeCell ref="D447:F447"/>
    <mergeCell ref="G447:I447"/>
    <mergeCell ref="J447:K447"/>
    <mergeCell ref="L447:N447"/>
    <mergeCell ref="B448:C448"/>
    <mergeCell ref="D448:F448"/>
    <mergeCell ref="G448:I448"/>
    <mergeCell ref="J448:K448"/>
    <mergeCell ref="L448:N448"/>
    <mergeCell ref="B449:C449"/>
    <mergeCell ref="D449:F449"/>
    <mergeCell ref="G449:I449"/>
    <mergeCell ref="J449:K449"/>
    <mergeCell ref="L449:N449"/>
    <mergeCell ref="B450:C450"/>
    <mergeCell ref="D450:F450"/>
    <mergeCell ref="G450:I450"/>
    <mergeCell ref="J450:K450"/>
    <mergeCell ref="L450:N450"/>
    <mergeCell ref="B451:C451"/>
    <mergeCell ref="D451:F451"/>
    <mergeCell ref="G451:I451"/>
    <mergeCell ref="J451:K451"/>
    <mergeCell ref="L451:N451"/>
  </mergeCells>
  <conditionalFormatting sqref="B5:Q427">
    <cfRule type="expression" priority="2" aboveAverage="0" equalAverage="0" bottom="0" percent="0" rank="0" text="" dxfId="31">
      <formula>AND(L5&lt;&gt;"🔄 SWAP ME",COUNTIF($M$5:$M$427,O5)&gt;0)</formula>
    </cfRule>
  </conditionalFormatting>
  <dataValidations count="3">
    <dataValidation allowBlank="false" errorStyle="stop" operator="between" showDropDown="false" showErrorMessage="false" showInputMessage="false" sqref="L5:L427" type="list">
      <formula1>"— Keep as planned,🔄 SWAP ME"</formula1>
      <formula2>0</formula2>
    </dataValidation>
    <dataValidation allowBlank="true" errorStyle="stop" operator="between" showDropDown="false" showErrorMessage="false" showInputMessage="false" sqref="M5:M427" type="list">
      <formula1>'🔄 Topic Pool'!$D$4:$D$374</formula1>
      <formula2>0</formula2>
    </dataValidation>
    <dataValidation allowBlank="true" errorStyle="stop" operator="between" showDropDown="false" showErrorMessage="false" showInputMessage="false" sqref="Q5:Q427" type="list">
      <formula1>"✅ Done,🔄 Partial,❌ Missed,⏸ Skip,⬜ Upcoming"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2026-03-28T15:20:03Z</dcterms:created>
  <dc:creator>openpyxl</dc:creator>
  <dc:description/>
  <dc:language>en-US</dc:language>
  <cp:lastModifiedBy/>
  <dcterms:modified xsi:type="dcterms:W3CDTF">2026-03-30T03:48:22Z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